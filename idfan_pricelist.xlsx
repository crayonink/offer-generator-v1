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EC131B2-FF12-439A-AB8B-8ABC10C9A2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1" l="1"/>
  <c r="Z6" i="1"/>
  <c r="Z7" i="1"/>
  <c r="Z8" i="1"/>
  <c r="Z9" i="1"/>
  <c r="Z10" i="1"/>
  <c r="Z11" i="1"/>
  <c r="Z12" i="1"/>
  <c r="Z4" i="1"/>
  <c r="X5" i="1"/>
  <c r="X6" i="1"/>
  <c r="X7" i="1"/>
  <c r="X8" i="1"/>
  <c r="X9" i="1"/>
  <c r="X10" i="1"/>
  <c r="X11" i="1"/>
  <c r="X12" i="1"/>
  <c r="X4" i="1"/>
</calcChain>
</file>

<file path=xl/sharedStrings.xml><?xml version="1.0" encoding="utf-8"?>
<sst xmlns="http://schemas.openxmlformats.org/spreadsheetml/2006/main" count="61" uniqueCount="56">
  <si>
    <r>
      <rPr>
        <sz val="7"/>
        <rFont val="Calibri"/>
        <family val="1"/>
      </rPr>
      <t xml:space="preserve">Ref. No:Q26-ETPL-0803
</t>
    </r>
    <r>
      <rPr>
        <sz val="7"/>
        <rFont val="Calibri"/>
        <family val="1"/>
      </rPr>
      <t xml:space="preserve">Name of Customer: M/S ENCON THERMAL  ENGINEERS PVT LTD
</t>
    </r>
    <r>
      <rPr>
        <sz val="7"/>
        <rFont val="Calibri"/>
        <family val="1"/>
      </rPr>
      <t xml:space="preserve">Conserned Person: Mr SAURAV KUMAR ji,
</t>
    </r>
    <r>
      <rPr>
        <sz val="7"/>
        <rFont val="Calibri"/>
        <family val="1"/>
      </rPr>
      <t xml:space="preserve">Address: :53 KM STONE, DELHI-MATHURA ROAD VILL- BAGHOLA, DIST – PALWAL (HR)
</t>
    </r>
    <r>
      <rPr>
        <sz val="7"/>
        <rFont val="Calibri"/>
        <family val="1"/>
      </rPr>
      <t xml:space="preserve">Quote validity 30 Days
</t>
    </r>
    <r>
      <rPr>
        <sz val="7"/>
        <rFont val="Calibri"/>
        <family val="1"/>
      </rPr>
      <t>Blower Drive Type : V Belt Driven Arrangement (Arr-Y)</t>
    </r>
  </si>
  <si>
    <r>
      <rPr>
        <b/>
        <sz val="7.5"/>
        <rFont val="Calibri"/>
        <family val="1"/>
      </rPr>
      <t>Sl.</t>
    </r>
  </si>
  <si>
    <r>
      <rPr>
        <b/>
        <sz val="7.5"/>
        <rFont val="Calibri"/>
        <family val="1"/>
      </rPr>
      <t>Air Cap.</t>
    </r>
  </si>
  <si>
    <r>
      <rPr>
        <b/>
        <sz val="7.5"/>
        <rFont val="Calibri"/>
        <family val="1"/>
      </rPr>
      <t>St. Pr.</t>
    </r>
  </si>
  <si>
    <r>
      <rPr>
        <b/>
        <sz val="7.5"/>
        <rFont val="Calibri"/>
        <family val="1"/>
      </rPr>
      <t>T Pr.</t>
    </r>
  </si>
  <si>
    <r>
      <rPr>
        <b/>
        <sz val="7.5"/>
        <rFont val="Calibri"/>
        <family val="1"/>
      </rPr>
      <t>Blower</t>
    </r>
  </si>
  <si>
    <r>
      <rPr>
        <b/>
        <sz val="7.5"/>
        <rFont val="Calibri"/>
        <family val="1"/>
      </rPr>
      <t>Inlet D</t>
    </r>
  </si>
  <si>
    <r>
      <rPr>
        <b/>
        <sz val="7.5"/>
        <rFont val="Calibri"/>
        <family val="1"/>
      </rPr>
      <t>Imp.D</t>
    </r>
  </si>
  <si>
    <r>
      <rPr>
        <b/>
        <sz val="7.5"/>
        <rFont val="Calibri"/>
        <family val="1"/>
      </rPr>
      <t>Fan</t>
    </r>
  </si>
  <si>
    <r>
      <rPr>
        <b/>
        <sz val="7.5"/>
        <rFont val="Calibri"/>
        <family val="1"/>
      </rPr>
      <t>Shaft</t>
    </r>
  </si>
  <si>
    <r>
      <rPr>
        <b/>
        <sz val="7.5"/>
        <rFont val="Calibri"/>
        <family val="1"/>
      </rPr>
      <t>Bearing</t>
    </r>
  </si>
  <si>
    <r>
      <rPr>
        <b/>
        <sz val="7.5"/>
        <rFont val="Calibri"/>
        <family val="1"/>
      </rPr>
      <t>BHP</t>
    </r>
  </si>
  <si>
    <r>
      <rPr>
        <b/>
        <sz val="7.5"/>
        <rFont val="Calibri"/>
        <family val="1"/>
      </rPr>
      <t>Motor-IE2,B3</t>
    </r>
  </si>
  <si>
    <r>
      <rPr>
        <b/>
        <sz val="7.5"/>
        <rFont val="Calibri"/>
        <family val="1"/>
      </rPr>
      <t>Price</t>
    </r>
  </si>
  <si>
    <r>
      <rPr>
        <b/>
        <sz val="7.5"/>
        <rFont val="Calibri"/>
        <family val="1"/>
      </rPr>
      <t>Total</t>
    </r>
  </si>
  <si>
    <r>
      <rPr>
        <b/>
        <sz val="7.5"/>
        <rFont val="Calibri"/>
        <family val="1"/>
      </rPr>
      <t>No.</t>
    </r>
  </si>
  <si>
    <r>
      <rPr>
        <b/>
        <sz val="7.5"/>
        <rFont val="Calibri"/>
        <family val="1"/>
      </rPr>
      <t>CMH</t>
    </r>
  </si>
  <si>
    <r>
      <rPr>
        <b/>
        <sz val="7.5"/>
        <rFont val="Calibri"/>
        <family val="1"/>
      </rPr>
      <t>mmwc</t>
    </r>
  </si>
  <si>
    <r>
      <rPr>
        <b/>
        <sz val="7.5"/>
        <rFont val="Calibri"/>
        <family val="1"/>
      </rPr>
      <t>Model</t>
    </r>
  </si>
  <si>
    <r>
      <rPr>
        <b/>
        <sz val="7.5"/>
        <rFont val="Calibri"/>
        <family val="1"/>
      </rPr>
      <t>in mm</t>
    </r>
  </si>
  <si>
    <r>
      <rPr>
        <b/>
        <sz val="7.5"/>
        <rFont val="Calibri"/>
        <family val="1"/>
      </rPr>
      <t>mm</t>
    </r>
  </si>
  <si>
    <r>
      <rPr>
        <b/>
        <sz val="7.5"/>
        <rFont val="Calibri"/>
        <family val="1"/>
      </rPr>
      <t>RPM</t>
    </r>
  </si>
  <si>
    <r>
      <rPr>
        <b/>
        <sz val="7.5"/>
        <rFont val="Calibri"/>
        <family val="1"/>
      </rPr>
      <t>mmø</t>
    </r>
  </si>
  <si>
    <r>
      <rPr>
        <b/>
        <sz val="7.5"/>
        <rFont val="Calibri"/>
        <family val="1"/>
      </rPr>
      <t>Arr (Y)</t>
    </r>
  </si>
  <si>
    <r>
      <rPr>
        <b/>
        <sz val="7.5"/>
        <rFont val="Calibri"/>
        <family val="1"/>
      </rPr>
      <t>Opt. Temp.</t>
    </r>
  </si>
  <si>
    <r>
      <rPr>
        <b/>
        <sz val="7.5"/>
        <rFont val="Calibri"/>
        <family val="1"/>
      </rPr>
      <t>Amb. Temp.</t>
    </r>
  </si>
  <si>
    <r>
      <rPr>
        <b/>
        <sz val="7.5"/>
        <rFont val="Calibri"/>
        <family val="1"/>
      </rPr>
      <t>KW</t>
    </r>
  </si>
  <si>
    <r>
      <rPr>
        <b/>
        <sz val="7.5"/>
        <rFont val="Calibri"/>
        <family val="1"/>
      </rPr>
      <t>HP</t>
    </r>
  </si>
  <si>
    <r>
      <rPr>
        <b/>
        <sz val="7.5"/>
        <rFont val="Calibri"/>
        <family val="1"/>
      </rPr>
      <t>Pole</t>
    </r>
  </si>
  <si>
    <r>
      <rPr>
        <b/>
        <sz val="7.5"/>
        <rFont val="Calibri"/>
        <family val="1"/>
      </rPr>
      <t>Base Frame</t>
    </r>
  </si>
  <si>
    <r>
      <rPr>
        <b/>
        <sz val="7.5"/>
        <rFont val="Calibri"/>
        <family val="1"/>
      </rPr>
      <t>Pulley Drive Set</t>
    </r>
  </si>
  <si>
    <r>
      <rPr>
        <b/>
        <sz val="7.5"/>
        <rFont val="Calibri"/>
        <family val="1"/>
      </rPr>
      <t xml:space="preserve">Anti Vibration
</t>
    </r>
    <r>
      <rPr>
        <b/>
        <sz val="7.5"/>
        <rFont val="Calibri"/>
        <family val="1"/>
      </rPr>
      <t>Pads</t>
    </r>
  </si>
  <si>
    <r>
      <rPr>
        <b/>
        <sz val="7.5"/>
        <rFont val="Calibri"/>
        <family val="1"/>
      </rPr>
      <t>Inlet Damper</t>
    </r>
  </si>
  <si>
    <r>
      <rPr>
        <b/>
        <sz val="7.5"/>
        <rFont val="Calibri"/>
        <family val="1"/>
      </rPr>
      <t xml:space="preserve">I/L Flexi.
</t>
    </r>
    <r>
      <rPr>
        <b/>
        <sz val="7.5"/>
        <rFont val="Calibri"/>
        <family val="1"/>
      </rPr>
      <t>Conn</t>
    </r>
  </si>
  <si>
    <r>
      <rPr>
        <b/>
        <sz val="7.5"/>
        <rFont val="Calibri"/>
        <family val="1"/>
      </rPr>
      <t>Outlet Damper</t>
    </r>
  </si>
  <si>
    <r>
      <rPr>
        <b/>
        <sz val="7.5"/>
        <rFont val="Calibri"/>
        <family val="1"/>
      </rPr>
      <t xml:space="preserve">O/L Flexi.
</t>
    </r>
    <r>
      <rPr>
        <b/>
        <sz val="7.5"/>
        <rFont val="Calibri"/>
        <family val="1"/>
      </rPr>
      <t>Conn</t>
    </r>
  </si>
  <si>
    <r>
      <rPr>
        <b/>
        <sz val="7.5"/>
        <rFont val="Calibri"/>
        <family val="1"/>
      </rPr>
      <t>Blower unit Price</t>
    </r>
  </si>
  <si>
    <r>
      <rPr>
        <sz val="7.5"/>
        <rFont val="Calibri"/>
        <family val="1"/>
      </rPr>
      <t>PCBLY-30-135</t>
    </r>
  </si>
  <si>
    <r>
      <rPr>
        <sz val="7.5"/>
        <rFont val="Calibri"/>
        <family val="1"/>
      </rPr>
      <t>22312K</t>
    </r>
  </si>
  <si>
    <r>
      <rPr>
        <sz val="7.5"/>
        <rFont val="Calibri"/>
        <family val="1"/>
      </rPr>
      <t>PCBLY-40-135</t>
    </r>
  </si>
  <si>
    <r>
      <rPr>
        <sz val="7.5"/>
        <rFont val="Calibri"/>
        <family val="1"/>
      </rPr>
      <t>22313K</t>
    </r>
  </si>
  <si>
    <r>
      <rPr>
        <sz val="7.5"/>
        <rFont val="Calibri"/>
        <family val="1"/>
      </rPr>
      <t>PCBLY-50-135</t>
    </r>
  </si>
  <si>
    <r>
      <rPr>
        <sz val="7.5"/>
        <rFont val="Calibri"/>
        <family val="1"/>
      </rPr>
      <t>PCBLY-55-135</t>
    </r>
  </si>
  <si>
    <r>
      <rPr>
        <sz val="7.5"/>
        <rFont val="Calibri"/>
        <family val="1"/>
      </rPr>
      <t>22315K</t>
    </r>
  </si>
  <si>
    <r>
      <rPr>
        <sz val="7.5"/>
        <rFont val="Calibri"/>
        <family val="1"/>
      </rPr>
      <t>PCBLY-60-135</t>
    </r>
  </si>
  <si>
    <r>
      <rPr>
        <sz val="7.5"/>
        <rFont val="Calibri"/>
        <family val="1"/>
      </rPr>
      <t>PCBLY-65-135</t>
    </r>
  </si>
  <si>
    <r>
      <rPr>
        <sz val="7.5"/>
        <rFont val="Calibri"/>
        <family val="1"/>
      </rPr>
      <t>22317K</t>
    </r>
  </si>
  <si>
    <r>
      <rPr>
        <sz val="7.5"/>
        <rFont val="Calibri"/>
        <family val="1"/>
      </rPr>
      <t>PCBLY-70-135</t>
    </r>
  </si>
  <si>
    <r>
      <rPr>
        <sz val="7.5"/>
        <rFont val="Calibri"/>
        <family val="1"/>
      </rPr>
      <t>22320K</t>
    </r>
  </si>
  <si>
    <r>
      <rPr>
        <sz val="7.5"/>
        <rFont val="Calibri"/>
        <family val="1"/>
      </rPr>
      <t>PCBLY-80-135</t>
    </r>
  </si>
  <si>
    <r>
      <rPr>
        <sz val="7.5"/>
        <rFont val="Calibri"/>
        <family val="1"/>
      </rPr>
      <t>22322K</t>
    </r>
  </si>
  <si>
    <r>
      <rPr>
        <sz val="7.5"/>
        <rFont val="Calibri"/>
        <family val="1"/>
      </rPr>
      <t>PCBLY-90-135</t>
    </r>
  </si>
  <si>
    <r>
      <rPr>
        <sz val="7"/>
        <rFont val="Calibri"/>
        <family val="1"/>
      </rPr>
      <t xml:space="preserve">Items description: Blower, Coupling,
</t>
    </r>
    <r>
      <rPr>
        <sz val="7"/>
        <rFont val="Calibri"/>
        <family val="1"/>
      </rPr>
      <t xml:space="preserve">S.No. Item Descrip                                   MOC                             Make
</t>
    </r>
    <r>
      <rPr>
        <sz val="7"/>
        <rFont val="Calibri"/>
        <family val="1"/>
      </rPr>
      <t xml:space="preserve">1     Casing                                        MS 4-5 mm                         Self
</t>
    </r>
    <r>
      <rPr>
        <sz val="7"/>
        <rFont val="Calibri"/>
        <family val="1"/>
      </rPr>
      <t xml:space="preserve">2     Impeller D/B/S                  MS 8 to 12- 5-5 mm                  Self
</t>
    </r>
    <r>
      <rPr>
        <sz val="7"/>
        <rFont val="Calibri"/>
        <family val="1"/>
      </rPr>
      <t xml:space="preserve">3     Padestal                                    MS 8-16 mm                        Self
</t>
    </r>
    <r>
      <rPr>
        <sz val="7"/>
        <rFont val="Calibri"/>
        <family val="1"/>
      </rPr>
      <t xml:space="preserve">4     Shaft                                         EN-8-Grinded                       Self
</t>
    </r>
    <r>
      <rPr>
        <sz val="7"/>
        <rFont val="Calibri"/>
        <family val="1"/>
      </rPr>
      <t xml:space="preserve">5     Bearing                                Ball/Roller -K-Series        NTN/FAG/SKF
</t>
    </r>
    <r>
      <rPr>
        <sz val="7"/>
        <rFont val="Calibri"/>
        <family val="1"/>
      </rPr>
      <t xml:space="preserve">6     Plumber Block                         CI- 600 series                       ZKL
</t>
    </r>
    <r>
      <rPr>
        <sz val="7"/>
        <rFont val="Calibri"/>
        <family val="1"/>
      </rPr>
      <t xml:space="preserve">7     VI Pad                                       Rubber+Steel                       Plus
</t>
    </r>
    <r>
      <rPr>
        <sz val="7"/>
        <rFont val="Calibri"/>
        <family val="1"/>
      </rPr>
      <t xml:space="preserve">8     Coupling                                      Rubber+CI                       Fanner
</t>
    </r>
    <r>
      <rPr>
        <sz val="7"/>
        <rFont val="Calibri"/>
        <family val="1"/>
      </rPr>
      <t xml:space="preserve">9     Shaft Guard                                MS 1.2mm                         Self
</t>
    </r>
    <r>
      <rPr>
        <sz val="7"/>
        <rFont val="Calibri"/>
        <family val="1"/>
      </rPr>
      <t xml:space="preserve">10   Inlet Damper Butterfl               MS 3-4mm                         Self
</t>
    </r>
    <r>
      <rPr>
        <sz val="7"/>
        <rFont val="Calibri"/>
        <family val="1"/>
      </rPr>
      <t xml:space="preserve">11   Outlet Damper Butter              MS 3-4mm                         Self
</t>
    </r>
    <r>
      <rPr>
        <sz val="7"/>
        <rFont val="Calibri"/>
        <family val="1"/>
      </rPr>
      <t xml:space="preserve">12   Inlet Silicon Flexible c             Silicon 250°C                       Self
</t>
    </r>
    <r>
      <rPr>
        <sz val="7"/>
        <rFont val="Calibri"/>
        <family val="1"/>
      </rPr>
      <t xml:space="preserve">13   Outlet Silicon Flexible             Silicon 250°C                       Self
</t>
    </r>
    <r>
      <rPr>
        <sz val="7"/>
        <rFont val="Calibri"/>
        <family val="1"/>
      </rPr>
      <t xml:space="preserve">14   Shaft Seal                                    Aluminum                          Self
</t>
    </r>
    <r>
      <rPr>
        <sz val="7"/>
        <rFont val="Calibri"/>
        <family val="1"/>
      </rPr>
      <t xml:space="preserve">15   Fastners                                         Matric                         Reputed
</t>
    </r>
    <r>
      <rPr>
        <b/>
        <sz val="7"/>
        <rFont val="Calibri"/>
        <family val="1"/>
      </rPr>
      <t xml:space="preserve">Exclusions:
</t>
    </r>
    <r>
      <rPr>
        <sz val="7"/>
        <rFont val="Calibri"/>
        <family val="1"/>
      </rPr>
      <t xml:space="preserve">1-Above rates are excluding Taxs, Packing &amp; freight Etc.
</t>
    </r>
    <r>
      <rPr>
        <sz val="7"/>
        <rFont val="Calibri"/>
        <family val="1"/>
      </rPr>
      <t xml:space="preserve">2-Electrical Motor, Electrical Controls &amp; Switch Gears, Installation &amp; Commissioning, etc
</t>
    </r>
    <r>
      <rPr>
        <sz val="7"/>
        <rFont val="Calibri"/>
        <family val="1"/>
      </rPr>
      <t xml:space="preserve">3-Accessories of blowers such as Additional base frame, Silencers, Canopies etc at extra cost.
</t>
    </r>
    <r>
      <rPr>
        <b/>
        <sz val="7"/>
        <rFont val="Calibri"/>
        <family val="1"/>
      </rPr>
      <t xml:space="preserve">Note:
</t>
    </r>
    <r>
      <rPr>
        <sz val="7"/>
        <rFont val="Calibri"/>
        <family val="1"/>
      </rPr>
      <t xml:space="preserve">All blower are duly Dynamically balanced G 6.3.
</t>
    </r>
    <r>
      <rPr>
        <sz val="7"/>
        <rFont val="Calibri"/>
        <family val="1"/>
      </rPr>
      <t xml:space="preserve">Silencer is provided to maintain noise level &lt;85 DbA, Inlet Flexible conn. at Inlet and Air control damper at suction control( Extra cost ). Considering - Motor TEFC, IE2, 415-430V, 50Hz, 3 Phase AC Foot Mounted CI, By Customer only
</t>
    </r>
    <r>
      <rPr>
        <sz val="7"/>
        <rFont val="Calibri"/>
        <family val="1"/>
      </rPr>
      <t>Before dispatch of Blower Customer shall inspect in all respect for his satisfaction.</t>
    </r>
  </si>
  <si>
    <t>Motor Unit Price</t>
  </si>
  <si>
    <t>Total Price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</si>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</sst>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2" x14ac:knownFonts="1">
    <font>
      <sz val="10"/>
      <color rgb="FF000000"/>
      <name val="Times New Roman"/>
      <charset val="204"/>
    </font>
    <font>
      <b/>
      <sz val="7.5"/>
      <name val="Calibri"/>
    </font>
    <font>
      <b/>
      <sz val="7.5"/>
      <color rgb="FF000000"/>
      <name val="Calibri"/>
      <family val="2"/>
    </font>
    <font>
      <sz val="7.5"/>
      <color rgb="FF000000"/>
      <name val="Calibri"/>
      <family val="2"/>
    </font>
    <font>
      <sz val="7.5"/>
      <name val="Calibri"/>
    </font>
    <font>
      <sz val="7"/>
      <name val="Calibri"/>
      <family val="1"/>
    </font>
    <font>
      <b/>
      <sz val="7.5"/>
      <name val="Calibri"/>
      <family val="1"/>
    </font>
    <font>
      <sz val="7.5"/>
      <name val="Calibri"/>
      <family val="1"/>
    </font>
    <font>
      <b/>
      <sz val="7"/>
      <name val="Calibri"/>
      <family val="1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" fontId="2" fillId="2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0" fontId="0" fillId="2" borderId="1" xfId="0" applyFill="1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/>
    </xf>
    <xf numFmtId="165" fontId="7" fillId="0" borderId="2" xfId="1" applyNumberFormat="1" applyFont="1" applyBorder="1" applyAlignment="1">
      <alignment horizontal="center" vertical="top" wrapText="1"/>
    </xf>
    <xf numFmtId="165" fontId="11" fillId="0" borderId="8" xfId="0" applyNumberFormat="1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21081</xdr:colOff>
      <xdr:row>0</xdr:row>
      <xdr:rowOff>9144</xdr:rowOff>
    </xdr:from>
    <xdr:ext cx="1583435" cy="733043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3435" cy="733043"/>
        </a:xfrm>
        <a:prstGeom prst="rect">
          <a:avLst/>
        </a:prstGeom>
      </xdr:spPr>
    </xdr:pic>
    <xdr:clientData/>
  </xdr:oneCellAnchor>
  <xdr:oneCellAnchor>
    <xdr:from>
      <xdr:col>19</xdr:col>
      <xdr:colOff>147574</xdr:colOff>
      <xdr:row>13</xdr:row>
      <xdr:rowOff>0</xdr:rowOff>
    </xdr:from>
    <xdr:ext cx="1886711" cy="1975104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711" cy="197510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tabSelected="1" topLeftCell="E1" zoomScale="142" zoomScaleNormal="142" workbookViewId="0">
      <selection activeCell="Z7" sqref="Z7"/>
    </sheetView>
  </sheetViews>
  <sheetFormatPr defaultRowHeight="12.75" x14ac:dyDescent="0.2"/>
  <cols>
    <col min="1" max="1" width="3.5" customWidth="1"/>
    <col min="2" max="2" width="8.6640625" customWidth="1"/>
    <col min="3" max="4" width="5.83203125" customWidth="1"/>
    <col min="5" max="5" width="11.33203125" customWidth="1"/>
    <col min="6" max="6" width="5.33203125" customWidth="1"/>
    <col min="7" max="7" width="5.5" customWidth="1"/>
    <col min="8" max="8" width="5.33203125" customWidth="1"/>
    <col min="9" max="9" width="4.1640625" customWidth="1"/>
    <col min="10" max="11" width="6.6640625" customWidth="1"/>
    <col min="12" max="12" width="6" customWidth="1"/>
    <col min="13" max="15" width="4.1640625" customWidth="1"/>
    <col min="16" max="16" width="7.5" customWidth="1"/>
    <col min="17" max="20" width="7.33203125" customWidth="1"/>
    <col min="21" max="21" width="6" customWidth="1"/>
    <col min="22" max="22" width="8" customWidth="1"/>
    <col min="23" max="23" width="6" customWidth="1"/>
    <col min="24" max="24" width="10" customWidth="1"/>
    <col min="25" max="25" width="12" customWidth="1"/>
    <col min="26" max="26" width="12.83203125" customWidth="1"/>
  </cols>
  <sheetData>
    <row r="1" spans="1:26" ht="59.45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2"/>
    </row>
    <row r="2" spans="1:26" ht="17.2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3" t="s">
        <v>11</v>
      </c>
      <c r="L2" s="14"/>
      <c r="M2" s="15" t="s">
        <v>12</v>
      </c>
      <c r="N2" s="16"/>
      <c r="O2" s="17"/>
      <c r="P2" s="13" t="s">
        <v>13</v>
      </c>
      <c r="Q2" s="18"/>
      <c r="R2" s="18"/>
      <c r="S2" s="18"/>
      <c r="T2" s="18"/>
      <c r="U2" s="18"/>
      <c r="V2" s="18"/>
      <c r="W2" s="14"/>
      <c r="X2" s="2" t="s">
        <v>14</v>
      </c>
      <c r="Y2" s="24"/>
      <c r="Z2" s="24" t="s">
        <v>55</v>
      </c>
    </row>
    <row r="3" spans="1:26" ht="29.25" customHeight="1" x14ac:dyDescent="0.2">
      <c r="A3" s="1" t="s">
        <v>15</v>
      </c>
      <c r="B3" s="1" t="s">
        <v>16</v>
      </c>
      <c r="C3" s="1" t="s">
        <v>17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3" t="s">
        <v>24</v>
      </c>
      <c r="L3" s="3" t="s">
        <v>25</v>
      </c>
      <c r="M3" s="1" t="s">
        <v>26</v>
      </c>
      <c r="N3" s="1" t="s">
        <v>27</v>
      </c>
      <c r="O3" s="1" t="s">
        <v>28</v>
      </c>
      <c r="P3" s="1" t="s">
        <v>5</v>
      </c>
      <c r="Q3" s="3" t="s">
        <v>29</v>
      </c>
      <c r="R3" s="3" t="s">
        <v>30</v>
      </c>
      <c r="S3" s="4" t="s">
        <v>31</v>
      </c>
      <c r="T3" s="3" t="s">
        <v>32</v>
      </c>
      <c r="U3" s="4" t="s">
        <v>33</v>
      </c>
      <c r="V3" s="3" t="s">
        <v>34</v>
      </c>
      <c r="W3" s="4" t="s">
        <v>35</v>
      </c>
      <c r="X3" s="22" t="s">
        <v>36</v>
      </c>
      <c r="Y3" s="23" t="s">
        <v>53</v>
      </c>
      <c r="Z3" s="24" t="s">
        <v>54</v>
      </c>
    </row>
    <row r="4" spans="1:26" ht="12" customHeight="1" x14ac:dyDescent="0.2">
      <c r="A4" s="5">
        <v>1</v>
      </c>
      <c r="B4" s="6">
        <v>5000</v>
      </c>
      <c r="C4" s="6">
        <v>500</v>
      </c>
      <c r="D4" s="6">
        <v>520</v>
      </c>
      <c r="E4" s="7" t="s">
        <v>37</v>
      </c>
      <c r="F4" s="6">
        <v>300</v>
      </c>
      <c r="G4" s="6">
        <v>1350</v>
      </c>
      <c r="H4" s="6">
        <v>1588</v>
      </c>
      <c r="I4" s="6">
        <v>55</v>
      </c>
      <c r="J4" s="7" t="s">
        <v>38</v>
      </c>
      <c r="K4" s="8">
        <v>14.59</v>
      </c>
      <c r="L4" s="8">
        <v>28.53</v>
      </c>
      <c r="M4" s="6">
        <v>15</v>
      </c>
      <c r="N4" s="6">
        <v>20</v>
      </c>
      <c r="O4" s="6">
        <v>4</v>
      </c>
      <c r="P4" s="6">
        <v>145000</v>
      </c>
      <c r="Q4" s="6">
        <v>10000</v>
      </c>
      <c r="R4" s="6">
        <v>12000</v>
      </c>
      <c r="S4" s="6">
        <v>2500</v>
      </c>
      <c r="T4" s="6">
        <v>6000</v>
      </c>
      <c r="U4" s="6">
        <v>3900</v>
      </c>
      <c r="V4" s="6">
        <v>6000</v>
      </c>
      <c r="W4" s="6">
        <v>3900</v>
      </c>
      <c r="X4" s="25">
        <f>W4+V4+U4+T4+S4+R4+Q4+P4</f>
        <v>189300</v>
      </c>
      <c r="Y4" s="26">
        <v>58000</v>
      </c>
      <c r="Z4" s="26">
        <f>Y4+X4</f>
        <v>247300</v>
      </c>
    </row>
    <row r="5" spans="1:26" ht="12" customHeight="1" x14ac:dyDescent="0.2">
      <c r="A5" s="5">
        <v>2</v>
      </c>
      <c r="B5" s="6">
        <v>9000</v>
      </c>
      <c r="C5" s="6">
        <v>500</v>
      </c>
      <c r="D5" s="6">
        <v>520</v>
      </c>
      <c r="E5" s="7" t="s">
        <v>39</v>
      </c>
      <c r="F5" s="6">
        <v>400</v>
      </c>
      <c r="G5" s="6">
        <v>1350</v>
      </c>
      <c r="H5" s="6">
        <v>1590</v>
      </c>
      <c r="I5" s="6">
        <v>60</v>
      </c>
      <c r="J5" s="7" t="s">
        <v>40</v>
      </c>
      <c r="K5" s="8">
        <v>24.14</v>
      </c>
      <c r="L5" s="8">
        <v>47.22</v>
      </c>
      <c r="M5" s="6">
        <v>22</v>
      </c>
      <c r="N5" s="6">
        <v>30</v>
      </c>
      <c r="O5" s="6">
        <v>4</v>
      </c>
      <c r="P5" s="6">
        <v>172000</v>
      </c>
      <c r="Q5" s="6">
        <v>16000</v>
      </c>
      <c r="R5" s="6">
        <v>15000</v>
      </c>
      <c r="S5" s="6">
        <v>2500</v>
      </c>
      <c r="T5" s="6">
        <v>8000</v>
      </c>
      <c r="U5" s="6">
        <v>5200</v>
      </c>
      <c r="V5" s="6">
        <v>8000</v>
      </c>
      <c r="W5" s="6">
        <v>5200</v>
      </c>
      <c r="X5" s="25">
        <f t="shared" ref="X5:X12" si="0">W5+V5+U5+T5+S5+R5+Q5+P5</f>
        <v>231900</v>
      </c>
      <c r="Y5" s="26">
        <v>82100</v>
      </c>
      <c r="Z5" s="26">
        <f t="shared" ref="Z5:Z12" si="1">Y5+X5</f>
        <v>314000</v>
      </c>
    </row>
    <row r="6" spans="1:26" ht="12" customHeight="1" x14ac:dyDescent="0.2">
      <c r="A6" s="5">
        <v>3</v>
      </c>
      <c r="B6" s="6">
        <v>12000</v>
      </c>
      <c r="C6" s="6">
        <v>500</v>
      </c>
      <c r="D6" s="6">
        <v>515</v>
      </c>
      <c r="E6" s="7" t="s">
        <v>41</v>
      </c>
      <c r="F6" s="6">
        <v>500</v>
      </c>
      <c r="G6" s="6">
        <v>1350</v>
      </c>
      <c r="H6" s="6">
        <v>1600</v>
      </c>
      <c r="I6" s="6">
        <v>60</v>
      </c>
      <c r="J6" s="7" t="s">
        <v>40</v>
      </c>
      <c r="K6" s="8">
        <v>31.27</v>
      </c>
      <c r="L6" s="8">
        <v>61.15</v>
      </c>
      <c r="M6" s="6">
        <v>30</v>
      </c>
      <c r="N6" s="6">
        <v>40</v>
      </c>
      <c r="O6" s="6">
        <v>4</v>
      </c>
      <c r="P6" s="6">
        <v>199000</v>
      </c>
      <c r="Q6" s="6">
        <v>22000</v>
      </c>
      <c r="R6" s="6">
        <v>18000</v>
      </c>
      <c r="S6" s="6">
        <v>4500</v>
      </c>
      <c r="T6" s="6">
        <v>10000</v>
      </c>
      <c r="U6" s="6">
        <v>6500</v>
      </c>
      <c r="V6" s="6">
        <v>10000</v>
      </c>
      <c r="W6" s="6">
        <v>6500</v>
      </c>
      <c r="X6" s="25">
        <f t="shared" si="0"/>
        <v>276500</v>
      </c>
      <c r="Y6" s="26">
        <v>114000</v>
      </c>
      <c r="Z6" s="26">
        <f t="shared" si="1"/>
        <v>390500</v>
      </c>
    </row>
    <row r="7" spans="1:26" ht="12.75" customHeight="1" x14ac:dyDescent="0.2">
      <c r="A7" s="5">
        <v>4</v>
      </c>
      <c r="B7" s="6">
        <v>16000</v>
      </c>
      <c r="C7" s="6">
        <v>500</v>
      </c>
      <c r="D7" s="6">
        <v>518</v>
      </c>
      <c r="E7" s="7" t="s">
        <v>42</v>
      </c>
      <c r="F7" s="6">
        <v>550</v>
      </c>
      <c r="G7" s="6">
        <v>1350</v>
      </c>
      <c r="H7" s="6">
        <v>1605</v>
      </c>
      <c r="I7" s="6">
        <v>65</v>
      </c>
      <c r="J7" s="7" t="s">
        <v>43</v>
      </c>
      <c r="K7" s="8">
        <v>40.79</v>
      </c>
      <c r="L7" s="8">
        <v>79.77</v>
      </c>
      <c r="M7" s="6">
        <v>37</v>
      </c>
      <c r="N7" s="6">
        <v>50</v>
      </c>
      <c r="O7" s="6">
        <v>4</v>
      </c>
      <c r="P7" s="6">
        <v>226000</v>
      </c>
      <c r="Q7" s="6">
        <v>28000</v>
      </c>
      <c r="R7" s="6">
        <v>21000</v>
      </c>
      <c r="S7" s="6">
        <v>4500</v>
      </c>
      <c r="T7" s="6">
        <v>11000</v>
      </c>
      <c r="U7" s="6">
        <v>7150</v>
      </c>
      <c r="V7" s="6">
        <v>11000</v>
      </c>
      <c r="W7" s="6">
        <v>7150</v>
      </c>
      <c r="X7" s="25">
        <f t="shared" si="0"/>
        <v>315800</v>
      </c>
      <c r="Y7" s="26">
        <v>133200</v>
      </c>
      <c r="Z7" s="26">
        <f t="shared" si="1"/>
        <v>449000</v>
      </c>
    </row>
    <row r="8" spans="1:26" ht="12.75" customHeight="1" x14ac:dyDescent="0.2">
      <c r="A8" s="5">
        <v>5</v>
      </c>
      <c r="B8" s="6">
        <v>20000</v>
      </c>
      <c r="C8" s="6">
        <v>500</v>
      </c>
      <c r="D8" s="6">
        <v>520</v>
      </c>
      <c r="E8" s="7" t="s">
        <v>44</v>
      </c>
      <c r="F8" s="6">
        <v>600</v>
      </c>
      <c r="G8" s="6">
        <v>1350</v>
      </c>
      <c r="H8" s="6">
        <v>1610</v>
      </c>
      <c r="I8" s="6">
        <v>65</v>
      </c>
      <c r="J8" s="7" t="s">
        <v>43</v>
      </c>
      <c r="K8" s="8">
        <v>50.32</v>
      </c>
      <c r="L8" s="8">
        <v>98.41</v>
      </c>
      <c r="M8" s="6">
        <v>45</v>
      </c>
      <c r="N8" s="6">
        <v>60</v>
      </c>
      <c r="O8" s="6">
        <v>4</v>
      </c>
      <c r="P8" s="6">
        <v>253000</v>
      </c>
      <c r="Q8" s="6">
        <v>34000</v>
      </c>
      <c r="R8" s="6">
        <v>24000</v>
      </c>
      <c r="S8" s="6">
        <v>5500</v>
      </c>
      <c r="T8" s="6">
        <v>12000</v>
      </c>
      <c r="U8" s="6">
        <v>7800</v>
      </c>
      <c r="V8" s="6">
        <v>12000</v>
      </c>
      <c r="W8" s="6">
        <v>7800</v>
      </c>
      <c r="X8" s="25">
        <f t="shared" si="0"/>
        <v>356100</v>
      </c>
      <c r="Y8" s="26">
        <v>160300</v>
      </c>
      <c r="Z8" s="26">
        <f t="shared" si="1"/>
        <v>516400</v>
      </c>
    </row>
    <row r="9" spans="1:26" ht="12.75" customHeight="1" x14ac:dyDescent="0.2">
      <c r="A9" s="5">
        <v>6</v>
      </c>
      <c r="B9" s="6">
        <v>24000</v>
      </c>
      <c r="C9" s="6">
        <v>500</v>
      </c>
      <c r="D9" s="6">
        <v>521</v>
      </c>
      <c r="E9" s="7" t="s">
        <v>45</v>
      </c>
      <c r="F9" s="6">
        <v>650</v>
      </c>
      <c r="G9" s="6">
        <v>1350</v>
      </c>
      <c r="H9" s="6">
        <v>1615</v>
      </c>
      <c r="I9" s="6">
        <v>75</v>
      </c>
      <c r="J9" s="7" t="s">
        <v>46</v>
      </c>
      <c r="K9" s="8">
        <v>59.87</v>
      </c>
      <c r="L9" s="8">
        <v>117.08</v>
      </c>
      <c r="M9" s="6">
        <v>55</v>
      </c>
      <c r="N9" s="6">
        <v>75</v>
      </c>
      <c r="O9" s="6">
        <v>4</v>
      </c>
      <c r="P9" s="6">
        <v>280000</v>
      </c>
      <c r="Q9" s="6">
        <v>40000</v>
      </c>
      <c r="R9" s="6">
        <v>27000</v>
      </c>
      <c r="S9" s="6">
        <v>5500</v>
      </c>
      <c r="T9" s="6">
        <v>13000</v>
      </c>
      <c r="U9" s="6">
        <v>8450</v>
      </c>
      <c r="V9" s="6">
        <v>13000</v>
      </c>
      <c r="W9" s="6">
        <v>8450</v>
      </c>
      <c r="X9" s="25">
        <f t="shared" si="0"/>
        <v>395400</v>
      </c>
      <c r="Y9" s="26">
        <v>205300</v>
      </c>
      <c r="Z9" s="26">
        <f t="shared" si="1"/>
        <v>600700</v>
      </c>
    </row>
    <row r="10" spans="1:26" ht="12.75" customHeight="1" x14ac:dyDescent="0.2">
      <c r="A10" s="5">
        <v>7</v>
      </c>
      <c r="B10" s="6">
        <v>30000</v>
      </c>
      <c r="C10" s="6">
        <v>500</v>
      </c>
      <c r="D10" s="6">
        <v>524</v>
      </c>
      <c r="E10" s="7" t="s">
        <v>47</v>
      </c>
      <c r="F10" s="6">
        <v>700</v>
      </c>
      <c r="G10" s="6">
        <v>1350</v>
      </c>
      <c r="H10" s="6">
        <v>1620</v>
      </c>
      <c r="I10" s="6">
        <v>90</v>
      </c>
      <c r="J10" s="7" t="s">
        <v>48</v>
      </c>
      <c r="K10" s="8">
        <v>74.23</v>
      </c>
      <c r="L10" s="8">
        <v>145.16999999999999</v>
      </c>
      <c r="M10" s="6">
        <v>75</v>
      </c>
      <c r="N10" s="6">
        <v>100</v>
      </c>
      <c r="O10" s="6">
        <v>4</v>
      </c>
      <c r="P10" s="6">
        <v>307000</v>
      </c>
      <c r="Q10" s="6">
        <v>46000</v>
      </c>
      <c r="R10" s="6">
        <v>30000</v>
      </c>
      <c r="S10" s="6">
        <v>5500</v>
      </c>
      <c r="T10" s="6">
        <v>14000</v>
      </c>
      <c r="U10" s="6">
        <v>9100</v>
      </c>
      <c r="V10" s="6">
        <v>14000</v>
      </c>
      <c r="W10" s="6">
        <v>9100</v>
      </c>
      <c r="X10" s="25">
        <f t="shared" si="0"/>
        <v>434700</v>
      </c>
      <c r="Y10" s="26">
        <v>311200</v>
      </c>
      <c r="Z10" s="26">
        <f t="shared" si="1"/>
        <v>745900</v>
      </c>
    </row>
    <row r="11" spans="1:26" ht="12.75" customHeight="1" x14ac:dyDescent="0.2">
      <c r="A11" s="5">
        <v>8</v>
      </c>
      <c r="B11" s="6">
        <v>38000</v>
      </c>
      <c r="C11" s="6">
        <v>500</v>
      </c>
      <c r="D11" s="6">
        <v>522</v>
      </c>
      <c r="E11" s="7" t="s">
        <v>49</v>
      </c>
      <c r="F11" s="6">
        <v>800</v>
      </c>
      <c r="G11" s="6">
        <v>1350</v>
      </c>
      <c r="H11" s="6">
        <v>1630</v>
      </c>
      <c r="I11" s="6">
        <v>100</v>
      </c>
      <c r="J11" s="7" t="s">
        <v>50</v>
      </c>
      <c r="K11" s="8">
        <v>92.53</v>
      </c>
      <c r="L11" s="8">
        <v>180.97</v>
      </c>
      <c r="M11" s="6">
        <v>90</v>
      </c>
      <c r="N11" s="6">
        <v>120</v>
      </c>
      <c r="O11" s="6">
        <v>4</v>
      </c>
      <c r="P11" s="6">
        <v>334000</v>
      </c>
      <c r="Q11" s="6">
        <v>52000</v>
      </c>
      <c r="R11" s="6">
        <v>33000</v>
      </c>
      <c r="S11" s="6">
        <v>7500</v>
      </c>
      <c r="T11" s="6">
        <v>16000</v>
      </c>
      <c r="U11" s="6">
        <v>10400</v>
      </c>
      <c r="V11" s="6">
        <v>16000</v>
      </c>
      <c r="W11" s="6">
        <v>10400</v>
      </c>
      <c r="X11" s="25">
        <f t="shared" si="0"/>
        <v>479300</v>
      </c>
      <c r="Y11" s="26">
        <v>350400</v>
      </c>
      <c r="Z11" s="26">
        <f t="shared" si="1"/>
        <v>829700</v>
      </c>
    </row>
    <row r="12" spans="1:26" ht="13.5" customHeight="1" x14ac:dyDescent="0.2">
      <c r="A12" s="5">
        <v>9</v>
      </c>
      <c r="B12" s="6">
        <v>48000</v>
      </c>
      <c r="C12" s="6">
        <v>500</v>
      </c>
      <c r="D12" s="6">
        <v>522</v>
      </c>
      <c r="E12" s="7" t="s">
        <v>51</v>
      </c>
      <c r="F12" s="6">
        <v>900</v>
      </c>
      <c r="G12" s="6">
        <v>1350</v>
      </c>
      <c r="H12" s="6">
        <v>1645</v>
      </c>
      <c r="I12" s="6">
        <v>100</v>
      </c>
      <c r="J12" s="7" t="s">
        <v>50</v>
      </c>
      <c r="K12" s="8">
        <v>117.6</v>
      </c>
      <c r="L12" s="8">
        <v>230</v>
      </c>
      <c r="M12" s="6">
        <v>112</v>
      </c>
      <c r="N12" s="6">
        <v>150</v>
      </c>
      <c r="O12" s="6">
        <v>4</v>
      </c>
      <c r="P12" s="6">
        <v>361000</v>
      </c>
      <c r="Q12" s="6">
        <v>58000</v>
      </c>
      <c r="R12" s="6">
        <v>36000</v>
      </c>
      <c r="S12" s="6">
        <v>7500</v>
      </c>
      <c r="T12" s="6">
        <v>18000</v>
      </c>
      <c r="U12" s="6">
        <v>11700</v>
      </c>
      <c r="V12" s="6">
        <v>18000</v>
      </c>
      <c r="W12" s="6">
        <v>11700</v>
      </c>
      <c r="X12" s="25">
        <f t="shared" si="0"/>
        <v>521900</v>
      </c>
      <c r="Y12" s="26">
        <v>430600</v>
      </c>
      <c r="Z12" s="26">
        <f t="shared" si="1"/>
        <v>952500</v>
      </c>
    </row>
    <row r="13" spans="1:26" ht="10.35" customHeight="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6" ht="225" customHeight="1" x14ac:dyDescent="0.2">
      <c r="A14" s="19" t="s">
        <v>52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1"/>
    </row>
  </sheetData>
  <mergeCells count="5">
    <mergeCell ref="A1:X1"/>
    <mergeCell ref="K2:L2"/>
    <mergeCell ref="M2:O2"/>
    <mergeCell ref="P2:W2"/>
    <mergeCell ref="A14:X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Quote PCBLY-300T-1600N-BI-20-150H4P.xlsx</dc:title>
  <cp:lastModifiedBy>manish sharma</cp:lastModifiedBy>
  <dcterms:created xsi:type="dcterms:W3CDTF">2026-08-04T05:37:38Z</dcterms:created>
  <dcterms:modified xsi:type="dcterms:W3CDTF">2026-08-04T05:50:54Z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2026-08-03T00:00:00Z</vt:filetime>
  </property>
  <property fmtid="{D5CDD505-2E9C-101B-9397-08002B2CF9AE}" pid="4" name="LastSaved">
    <vt:filetime>2026-08-04T00:00:00Z</vt:filetime>
  </property>
  <property fmtid="{D5CDD505-2E9C-101B-9397-08002B2CF9AE}" pid="5" name="Producer">
    <vt:lpwstr>Microsoft: Print To PDF</vt:lpwstr>
  </property>
</Properties>
</file>