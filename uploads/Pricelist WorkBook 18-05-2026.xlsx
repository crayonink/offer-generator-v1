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UPA\Downloads\"/>
    </mc:Choice>
  </mc:AlternateContent>
  <xr:revisionPtr revIDLastSave="0" documentId="13_ncr:1_{3344CA8A-F7AC-4051-B0B7-459F9A4BC265}" xr6:coauthVersionLast="47" xr6:coauthVersionMax="47" xr10:uidLastSave="{00000000-0000-0000-0000-000000000000}"/>
  <bookViews>
    <workbookView xWindow="-108" yWindow="-108" windowWidth="23256" windowHeight="12456" activeTab="5" xr2:uid="{00000000-000D-0000-FFFF-FFFF00000000}"/>
  </bookViews>
  <sheets>
    <sheet name="Rates" sheetId="1" r:id="rId1"/>
    <sheet name=" Oil Burner" sheetId="2" r:id="rId2"/>
    <sheet name="HV  Oil Burner" sheetId="3" r:id="rId3"/>
    <sheet name="Recuperator" sheetId="4" r:id="rId4"/>
    <sheet name="Gas Burner" sheetId="5" r:id="rId5"/>
    <sheet name="Blower" sheetId="6" r:id="rId6"/>
    <sheet name="HPU" sheetId="7" r:id="rId7"/>
    <sheet name="Rad Heat (TATA)" sheetId="8" r:id="rId8"/>
    <sheet name="GAIL GAS Burner" sheetId="9" r:id="rId9"/>
    <sheet name="Rad Heat" sheetId="10" r:id="rId10"/>
    <sheet name="BURNER" sheetId="11" r:id="rId11"/>
    <sheet name="Horizontal" sheetId="12" r:id="rId12"/>
    <sheet name="Vertical"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13" l="1"/>
  <c r="D31" i="13"/>
  <c r="D30" i="13"/>
  <c r="D28" i="13"/>
  <c r="D25" i="13"/>
  <c r="N21" i="13"/>
  <c r="I21" i="13"/>
  <c r="D21" i="13"/>
  <c r="N20" i="13"/>
  <c r="I20" i="13"/>
  <c r="D20" i="13"/>
  <c r="N19" i="13"/>
  <c r="I19" i="13"/>
  <c r="D19" i="13"/>
  <c r="N17" i="13"/>
  <c r="I17" i="13"/>
  <c r="D17" i="13"/>
  <c r="N14" i="13"/>
  <c r="I14" i="13"/>
  <c r="D14" i="13"/>
  <c r="N10" i="13"/>
  <c r="I10" i="13"/>
  <c r="D10" i="13"/>
  <c r="N9" i="13"/>
  <c r="I9" i="13"/>
  <c r="D9" i="13"/>
  <c r="N8" i="13"/>
  <c r="I8" i="13"/>
  <c r="D8" i="13"/>
  <c r="N6" i="13"/>
  <c r="I6" i="13"/>
  <c r="D6" i="13"/>
  <c r="N3" i="13"/>
  <c r="I3" i="13"/>
  <c r="D3" i="13"/>
  <c r="N22" i="12"/>
  <c r="I22" i="12"/>
  <c r="D22" i="12"/>
  <c r="N21" i="12"/>
  <c r="I21" i="12"/>
  <c r="D21" i="12"/>
  <c r="N20" i="12"/>
  <c r="I20" i="12"/>
  <c r="D20" i="12"/>
  <c r="N19" i="12"/>
  <c r="I19" i="12"/>
  <c r="D19" i="12"/>
  <c r="N17" i="12"/>
  <c r="I17" i="12"/>
  <c r="D17" i="12"/>
  <c r="N14" i="12"/>
  <c r="I14" i="12"/>
  <c r="D14" i="12"/>
  <c r="N10" i="12"/>
  <c r="I10" i="12"/>
  <c r="D10" i="12"/>
  <c r="N9" i="12"/>
  <c r="I9" i="12"/>
  <c r="D9" i="12"/>
  <c r="N8" i="12"/>
  <c r="I8" i="12"/>
  <c r="D8" i="12"/>
  <c r="N7" i="12"/>
  <c r="I7" i="12"/>
  <c r="D7" i="12"/>
  <c r="N5" i="12"/>
  <c r="I5" i="12"/>
  <c r="D5" i="12"/>
  <c r="N2" i="12"/>
  <c r="I2" i="12"/>
  <c r="D2" i="12"/>
  <c r="G82" i="11"/>
  <c r="G77" i="11"/>
  <c r="C59" i="11"/>
  <c r="G79" i="11" s="1"/>
  <c r="C58" i="11"/>
  <c r="G78" i="11" s="1"/>
  <c r="C57" i="11"/>
  <c r="E47" i="11" s="1"/>
  <c r="C56" i="11"/>
  <c r="E46" i="11" s="1"/>
  <c r="D55" i="11"/>
  <c r="B55" i="11"/>
  <c r="C54" i="11"/>
  <c r="C55" i="11" s="1"/>
  <c r="D49" i="11"/>
  <c r="D48" i="11"/>
  <c r="D47" i="11"/>
  <c r="D46" i="11"/>
  <c r="D45" i="11"/>
  <c r="C45" i="11"/>
  <c r="C36" i="11"/>
  <c r="G30" i="11"/>
  <c r="E30" i="11"/>
  <c r="G29" i="11"/>
  <c r="G28" i="11"/>
  <c r="D27" i="11"/>
  <c r="G26" i="11"/>
  <c r="C19" i="11"/>
  <c r="C10" i="11"/>
  <c r="E40" i="11" s="1"/>
  <c r="G5" i="11"/>
  <c r="H26" i="11" s="1"/>
  <c r="S23" i="10"/>
  <c r="R23" i="10"/>
  <c r="S22" i="10"/>
  <c r="R22" i="10"/>
  <c r="S21" i="10"/>
  <c r="R21" i="10"/>
  <c r="S20" i="10"/>
  <c r="R20" i="10"/>
  <c r="S19" i="10"/>
  <c r="R19" i="10"/>
  <c r="S18" i="10"/>
  <c r="R18" i="10"/>
  <c r="S17" i="10"/>
  <c r="R17" i="10"/>
  <c r="S16" i="10"/>
  <c r="R16" i="10"/>
  <c r="J16" i="10"/>
  <c r="S15" i="10"/>
  <c r="R15" i="10"/>
  <c r="Q15" i="10"/>
  <c r="J15" i="10"/>
  <c r="W14" i="10"/>
  <c r="S14" i="10"/>
  <c r="R14" i="10"/>
  <c r="Q14" i="10"/>
  <c r="J14" i="10"/>
  <c r="S13" i="10"/>
  <c r="R13" i="10"/>
  <c r="Q13" i="10"/>
  <c r="J13" i="10"/>
  <c r="S12" i="10"/>
  <c r="R12" i="10"/>
  <c r="Q12" i="10"/>
  <c r="S11" i="10"/>
  <c r="R11" i="10"/>
  <c r="Q11" i="10"/>
  <c r="S10" i="10"/>
  <c r="R10" i="10"/>
  <c r="Q10" i="10"/>
  <c r="S9" i="10"/>
  <c r="R9" i="10"/>
  <c r="Q9" i="10"/>
  <c r="S8" i="10"/>
  <c r="R8" i="10"/>
  <c r="Q8" i="10"/>
  <c r="N8" i="10"/>
  <c r="M8" i="10"/>
  <c r="J8" i="10"/>
  <c r="S7" i="10"/>
  <c r="R7" i="10"/>
  <c r="Q7" i="10"/>
  <c r="M7" i="10"/>
  <c r="J7" i="10"/>
  <c r="N7" i="10" s="1"/>
  <c r="S6" i="10"/>
  <c r="R6" i="10"/>
  <c r="Q6" i="10"/>
  <c r="N6" i="10"/>
  <c r="M6" i="10"/>
  <c r="J6" i="10"/>
  <c r="S5" i="10"/>
  <c r="R5" i="10"/>
  <c r="Q5" i="10"/>
  <c r="M5" i="10"/>
  <c r="J5" i="10"/>
  <c r="N5" i="10" s="1"/>
  <c r="S4" i="10"/>
  <c r="R4" i="10"/>
  <c r="Q4" i="10"/>
  <c r="S23" i="8"/>
  <c r="R23" i="8"/>
  <c r="S22" i="8"/>
  <c r="R22" i="8"/>
  <c r="S21" i="8"/>
  <c r="R21" i="8"/>
  <c r="S20" i="8"/>
  <c r="R20" i="8"/>
  <c r="S19" i="8"/>
  <c r="R19" i="8"/>
  <c r="S18" i="8"/>
  <c r="R18" i="8"/>
  <c r="S17" i="8"/>
  <c r="R17" i="8"/>
  <c r="S16" i="8"/>
  <c r="R16" i="8"/>
  <c r="S15" i="8"/>
  <c r="R15" i="8"/>
  <c r="Q15" i="8"/>
  <c r="N15" i="8"/>
  <c r="W14" i="8"/>
  <c r="S14" i="8"/>
  <c r="R14" i="8"/>
  <c r="Q14" i="8"/>
  <c r="N14" i="8"/>
  <c r="S13" i="8"/>
  <c r="R13" i="8"/>
  <c r="Q13" i="8"/>
  <c r="N13" i="8"/>
  <c r="S12" i="8"/>
  <c r="R12" i="8"/>
  <c r="Q12" i="8"/>
  <c r="N12" i="8"/>
  <c r="S11" i="8"/>
  <c r="R11" i="8"/>
  <c r="Q11" i="8"/>
  <c r="S10" i="8"/>
  <c r="R10" i="8"/>
  <c r="Q10" i="8"/>
  <c r="S9" i="8"/>
  <c r="R9" i="8"/>
  <c r="Q9" i="8"/>
  <c r="S8" i="8"/>
  <c r="R8" i="8"/>
  <c r="Q8" i="8"/>
  <c r="N8" i="8"/>
  <c r="M8" i="8"/>
  <c r="J8" i="8"/>
  <c r="S7" i="8"/>
  <c r="R7" i="8"/>
  <c r="Q7" i="8"/>
  <c r="M7" i="8"/>
  <c r="J7" i="8"/>
  <c r="N7" i="8" s="1"/>
  <c r="S6" i="8"/>
  <c r="R6" i="8"/>
  <c r="Q6" i="8"/>
  <c r="N6" i="8"/>
  <c r="M6" i="8"/>
  <c r="K6" i="8"/>
  <c r="O6" i="8" s="1"/>
  <c r="E6" i="8" s="1"/>
  <c r="J6" i="8"/>
  <c r="S5" i="8"/>
  <c r="R5" i="8"/>
  <c r="Q5" i="8"/>
  <c r="M5" i="8"/>
  <c r="J5" i="8"/>
  <c r="N5" i="8" s="1"/>
  <c r="S4" i="8"/>
  <c r="R4" i="8"/>
  <c r="Q4" i="8"/>
  <c r="DG48" i="7"/>
  <c r="FA47" i="7"/>
  <c r="EW47" i="7"/>
  <c r="ES47" i="7"/>
  <c r="EK47" i="7"/>
  <c r="EG47" i="7"/>
  <c r="EC47" i="7"/>
  <c r="DU47" i="7"/>
  <c r="DQ47" i="7"/>
  <c r="DM47" i="7"/>
  <c r="DF47" i="7"/>
  <c r="DB47" i="7"/>
  <c r="CX47" i="7"/>
  <c r="CP47" i="7"/>
  <c r="DG47" i="7" s="1"/>
  <c r="CL47" i="7"/>
  <c r="CH47" i="7"/>
  <c r="BZ47" i="7"/>
  <c r="BV47" i="7"/>
  <c r="BR47" i="7"/>
  <c r="BJ47" i="7"/>
  <c r="BF47" i="7"/>
  <c r="BB47" i="7"/>
  <c r="AT47" i="7"/>
  <c r="AP47" i="7"/>
  <c r="AL47" i="7"/>
  <c r="N47" i="7"/>
  <c r="J47" i="7"/>
  <c r="F47" i="7"/>
  <c r="FA46" i="7"/>
  <c r="EW46" i="7"/>
  <c r="ES46" i="7"/>
  <c r="EK46" i="7"/>
  <c r="EG46" i="7"/>
  <c r="EC46" i="7"/>
  <c r="DU46" i="7"/>
  <c r="DQ46" i="7"/>
  <c r="DM46" i="7"/>
  <c r="DG46" i="7"/>
  <c r="DF46" i="7"/>
  <c r="DB46" i="7"/>
  <c r="CX46" i="7"/>
  <c r="CP46" i="7"/>
  <c r="CL46" i="7"/>
  <c r="CH46" i="7"/>
  <c r="BZ46" i="7"/>
  <c r="BV46" i="7"/>
  <c r="BR46" i="7"/>
  <c r="BJ46" i="7"/>
  <c r="BF46" i="7"/>
  <c r="BB46" i="7"/>
  <c r="AT46" i="7"/>
  <c r="AP46" i="7"/>
  <c r="AL46" i="7"/>
  <c r="AD46" i="7"/>
  <c r="Z46" i="7"/>
  <c r="V46" i="7"/>
  <c r="N46" i="7"/>
  <c r="J46" i="7"/>
  <c r="F46" i="7"/>
  <c r="FA45" i="7"/>
  <c r="EW45" i="7"/>
  <c r="ES45" i="7"/>
  <c r="EK45" i="7"/>
  <c r="EG45" i="7"/>
  <c r="EC45" i="7"/>
  <c r="DU45" i="7"/>
  <c r="DQ45" i="7"/>
  <c r="DM45" i="7"/>
  <c r="DG45" i="7"/>
  <c r="DF45" i="7"/>
  <c r="DB45" i="7"/>
  <c r="CX45" i="7"/>
  <c r="CP45" i="7"/>
  <c r="CL45" i="7"/>
  <c r="CH45" i="7"/>
  <c r="BZ45" i="7"/>
  <c r="BR45" i="7"/>
  <c r="BJ45" i="7"/>
  <c r="BF45" i="7"/>
  <c r="BB45" i="7"/>
  <c r="AT45" i="7"/>
  <c r="AL45" i="7"/>
  <c r="AD45" i="7"/>
  <c r="Z45" i="7"/>
  <c r="V45" i="7"/>
  <c r="N45" i="7"/>
  <c r="J45" i="7"/>
  <c r="F45" i="7"/>
  <c r="FA44" i="7"/>
  <c r="EW44" i="7"/>
  <c r="ES44" i="7"/>
  <c r="EK44" i="7"/>
  <c r="EG44" i="7"/>
  <c r="EC44" i="7"/>
  <c r="DU44" i="7"/>
  <c r="DQ44" i="7"/>
  <c r="DM44" i="7"/>
  <c r="DG44" i="7"/>
  <c r="DF44" i="7"/>
  <c r="DB44" i="7"/>
  <c r="CX44" i="7"/>
  <c r="CP44" i="7"/>
  <c r="CL44" i="7"/>
  <c r="CH44" i="7"/>
  <c r="BZ44" i="7"/>
  <c r="BV44" i="7"/>
  <c r="BR44" i="7"/>
  <c r="BJ44" i="7"/>
  <c r="BF44" i="7"/>
  <c r="BB44" i="7"/>
  <c r="AT44" i="7"/>
  <c r="AP44" i="7"/>
  <c r="AL44" i="7"/>
  <c r="AD44" i="7"/>
  <c r="Z44" i="7"/>
  <c r="V44" i="7"/>
  <c r="N44" i="7"/>
  <c r="J44" i="7"/>
  <c r="F44" i="7"/>
  <c r="FA43" i="7"/>
  <c r="EW43" i="7"/>
  <c r="ES43" i="7"/>
  <c r="EK43" i="7"/>
  <c r="EG43" i="7"/>
  <c r="EC43" i="7"/>
  <c r="DU43" i="7"/>
  <c r="DQ43" i="7"/>
  <c r="DM43" i="7"/>
  <c r="DG43" i="7"/>
  <c r="DF43" i="7"/>
  <c r="DB43" i="7"/>
  <c r="CX43" i="7"/>
  <c r="CP43" i="7"/>
  <c r="CL43" i="7"/>
  <c r="CH43" i="7"/>
  <c r="BZ43" i="7"/>
  <c r="BV43" i="7"/>
  <c r="BR43" i="7"/>
  <c r="BJ43" i="7"/>
  <c r="BF43" i="7"/>
  <c r="BB43" i="7"/>
  <c r="AT43" i="7"/>
  <c r="AP43" i="7"/>
  <c r="AL43" i="7"/>
  <c r="AD43" i="7"/>
  <c r="Z43" i="7"/>
  <c r="V43" i="7"/>
  <c r="N43" i="7"/>
  <c r="J43" i="7"/>
  <c r="F43" i="7"/>
  <c r="FA42" i="7"/>
  <c r="EW42" i="7"/>
  <c r="ES42" i="7"/>
  <c r="EK42" i="7"/>
  <c r="EG42" i="7"/>
  <c r="EC42" i="7"/>
  <c r="DU42" i="7"/>
  <c r="DQ42" i="7"/>
  <c r="DM42" i="7"/>
  <c r="DG42" i="7"/>
  <c r="DF42" i="7"/>
  <c r="DB42" i="7"/>
  <c r="CX42" i="7"/>
  <c r="CP42" i="7"/>
  <c r="CL42" i="7"/>
  <c r="CH42" i="7"/>
  <c r="BZ42" i="7"/>
  <c r="BV42" i="7"/>
  <c r="BR42" i="7"/>
  <c r="BJ42" i="7"/>
  <c r="BF42" i="7"/>
  <c r="BB42" i="7"/>
  <c r="AT42" i="7"/>
  <c r="AP42" i="7"/>
  <c r="AL42" i="7"/>
  <c r="AD42" i="7"/>
  <c r="Z42" i="7"/>
  <c r="V42" i="7"/>
  <c r="N42" i="7"/>
  <c r="J42" i="7"/>
  <c r="F42" i="7"/>
  <c r="FA41" i="7"/>
  <c r="EW41" i="7"/>
  <c r="ES41" i="7"/>
  <c r="EK41" i="7"/>
  <c r="EG41" i="7"/>
  <c r="EC41" i="7"/>
  <c r="DU41" i="7"/>
  <c r="DQ41" i="7"/>
  <c r="DM41" i="7"/>
  <c r="DF41" i="7"/>
  <c r="DG41" i="7" s="1"/>
  <c r="DB41" i="7"/>
  <c r="CX41" i="7"/>
  <c r="CP41" i="7"/>
  <c r="CL41" i="7"/>
  <c r="CH41" i="7"/>
  <c r="BZ41" i="7"/>
  <c r="BV41" i="7"/>
  <c r="BR41" i="7"/>
  <c r="BJ41" i="7"/>
  <c r="BF41" i="7"/>
  <c r="BB41" i="7"/>
  <c r="AT41" i="7"/>
  <c r="AP41" i="7"/>
  <c r="AL41" i="7"/>
  <c r="AD41" i="7"/>
  <c r="Z41" i="7"/>
  <c r="V41" i="7"/>
  <c r="N41" i="7"/>
  <c r="J41" i="7"/>
  <c r="F41" i="7"/>
  <c r="FA40" i="7"/>
  <c r="EW40" i="7"/>
  <c r="ES40" i="7"/>
  <c r="EK40" i="7"/>
  <c r="EG40" i="7"/>
  <c r="EC40" i="7"/>
  <c r="DU40" i="7"/>
  <c r="DQ40" i="7"/>
  <c r="DM40" i="7"/>
  <c r="DF40" i="7"/>
  <c r="DG40" i="7" s="1"/>
  <c r="DB40" i="7"/>
  <c r="CX40" i="7"/>
  <c r="CP40" i="7"/>
  <c r="CL40" i="7"/>
  <c r="CH40" i="7"/>
  <c r="BZ40" i="7"/>
  <c r="BV40" i="7"/>
  <c r="BR40" i="7"/>
  <c r="BJ40" i="7"/>
  <c r="BF40" i="7"/>
  <c r="BB40" i="7"/>
  <c r="AT40" i="7"/>
  <c r="AP40" i="7"/>
  <c r="AL40" i="7"/>
  <c r="AD40" i="7"/>
  <c r="Z40" i="7"/>
  <c r="V40" i="7"/>
  <c r="N40" i="7"/>
  <c r="J40" i="7"/>
  <c r="F40" i="7"/>
  <c r="EW39" i="7"/>
  <c r="EG39" i="7"/>
  <c r="DQ39" i="7"/>
  <c r="DG39" i="7"/>
  <c r="DB39" i="7"/>
  <c r="CL39" i="7"/>
  <c r="BV39" i="7"/>
  <c r="BF39" i="7"/>
  <c r="AP39" i="7"/>
  <c r="AD39" i="7"/>
  <c r="Z39" i="7"/>
  <c r="V39" i="7"/>
  <c r="J39" i="7"/>
  <c r="FA38" i="7"/>
  <c r="EW38" i="7"/>
  <c r="ES38" i="7"/>
  <c r="EK38" i="7"/>
  <c r="EG38" i="7"/>
  <c r="EC38" i="7"/>
  <c r="DU38" i="7"/>
  <c r="DQ38" i="7"/>
  <c r="DM38" i="7"/>
  <c r="DG38" i="7"/>
  <c r="DF38" i="7"/>
  <c r="DB38" i="7"/>
  <c r="CX38" i="7"/>
  <c r="CP38" i="7"/>
  <c r="CL38" i="7"/>
  <c r="CH38" i="7"/>
  <c r="BZ38" i="7"/>
  <c r="BV38" i="7"/>
  <c r="BR38" i="7"/>
  <c r="BJ38" i="7"/>
  <c r="BF38" i="7"/>
  <c r="BB38" i="7"/>
  <c r="AT38" i="7"/>
  <c r="AP38" i="7"/>
  <c r="AL38" i="7"/>
  <c r="Z38" i="7"/>
  <c r="N38" i="7"/>
  <c r="J38" i="7"/>
  <c r="F38" i="7"/>
  <c r="FA37" i="7"/>
  <c r="EW37" i="7"/>
  <c r="ES37" i="7"/>
  <c r="EK37" i="7"/>
  <c r="EG37" i="7"/>
  <c r="EC37" i="7"/>
  <c r="DU37" i="7"/>
  <c r="DQ37" i="7"/>
  <c r="DM37" i="7"/>
  <c r="DF37" i="7"/>
  <c r="DG37" i="7" s="1"/>
  <c r="DB37" i="7"/>
  <c r="CX37" i="7"/>
  <c r="CP37" i="7"/>
  <c r="CL37" i="7"/>
  <c r="CH37" i="7"/>
  <c r="BZ37" i="7"/>
  <c r="BV37" i="7"/>
  <c r="BR37" i="7"/>
  <c r="BJ37" i="7"/>
  <c r="BF37" i="7"/>
  <c r="BB37" i="7"/>
  <c r="AT37" i="7"/>
  <c r="AP37" i="7"/>
  <c r="AL37" i="7"/>
  <c r="AD37" i="7"/>
  <c r="Z37" i="7"/>
  <c r="V37" i="7"/>
  <c r="N37" i="7"/>
  <c r="J37" i="7"/>
  <c r="F37" i="7"/>
  <c r="FA36" i="7"/>
  <c r="EW36" i="7"/>
  <c r="ES36" i="7"/>
  <c r="EK36" i="7"/>
  <c r="EG36" i="7"/>
  <c r="EC36" i="7"/>
  <c r="DU36" i="7"/>
  <c r="DQ36" i="7"/>
  <c r="DM36" i="7"/>
  <c r="DG36" i="7"/>
  <c r="DF36" i="7"/>
  <c r="DB36" i="7"/>
  <c r="CX36" i="7"/>
  <c r="CP36" i="7"/>
  <c r="CL36" i="7"/>
  <c r="CH36" i="7"/>
  <c r="BZ36" i="7"/>
  <c r="BV36" i="7"/>
  <c r="BR36" i="7"/>
  <c r="BJ36" i="7"/>
  <c r="BF36" i="7"/>
  <c r="BB36" i="7"/>
  <c r="AT36" i="7"/>
  <c r="AP36" i="7"/>
  <c r="AL36" i="7"/>
  <c r="AD36" i="7"/>
  <c r="Z36" i="7"/>
  <c r="V36" i="7"/>
  <c r="N36" i="7"/>
  <c r="J36" i="7"/>
  <c r="F36" i="7"/>
  <c r="FA35" i="7"/>
  <c r="EW35" i="7"/>
  <c r="ES35" i="7"/>
  <c r="EK35" i="7"/>
  <c r="EG35" i="7"/>
  <c r="EC35" i="7"/>
  <c r="DU35" i="7"/>
  <c r="DQ35" i="7"/>
  <c r="DM35" i="7"/>
  <c r="DG35" i="7"/>
  <c r="DF35" i="7"/>
  <c r="DB35" i="7"/>
  <c r="CX35" i="7"/>
  <c r="CP35" i="7"/>
  <c r="CL35" i="7"/>
  <c r="CH35" i="7"/>
  <c r="BZ35" i="7"/>
  <c r="BV35" i="7"/>
  <c r="BR35" i="7"/>
  <c r="BJ35" i="7"/>
  <c r="BF35" i="7"/>
  <c r="BB35" i="7"/>
  <c r="AT35" i="7"/>
  <c r="AP35" i="7"/>
  <c r="AL35" i="7"/>
  <c r="AD35" i="7"/>
  <c r="Z35" i="7"/>
  <c r="V35" i="7"/>
  <c r="N35" i="7"/>
  <c r="J35" i="7"/>
  <c r="F35" i="7"/>
  <c r="FA34" i="7"/>
  <c r="EW34" i="7"/>
  <c r="ES34" i="7"/>
  <c r="EK34" i="7"/>
  <c r="EG34" i="7"/>
  <c r="EC34" i="7"/>
  <c r="DU34" i="7"/>
  <c r="DQ34" i="7"/>
  <c r="DM34" i="7"/>
  <c r="DG34" i="7"/>
  <c r="DF34" i="7"/>
  <c r="DB34" i="7"/>
  <c r="CX34" i="7"/>
  <c r="CP34" i="7"/>
  <c r="CL34" i="7"/>
  <c r="CH34" i="7"/>
  <c r="BZ34" i="7"/>
  <c r="BV34" i="7"/>
  <c r="BR34" i="7"/>
  <c r="BJ34" i="7"/>
  <c r="BF34" i="7"/>
  <c r="AT34" i="7"/>
  <c r="AP34" i="7"/>
  <c r="AL34" i="7"/>
  <c r="AD34" i="7"/>
  <c r="Z34" i="7"/>
  <c r="V34" i="7"/>
  <c r="N34" i="7"/>
  <c r="J34" i="7"/>
  <c r="F34" i="7"/>
  <c r="FA33" i="7"/>
  <c r="EW33" i="7"/>
  <c r="ES33" i="7"/>
  <c r="EK33" i="7"/>
  <c r="EG33" i="7"/>
  <c r="EC33" i="7"/>
  <c r="DU33" i="7"/>
  <c r="DQ33" i="7"/>
  <c r="DM33" i="7"/>
  <c r="DF33" i="7"/>
  <c r="DG33" i="7" s="1"/>
  <c r="DB33" i="7"/>
  <c r="CX33" i="7"/>
  <c r="CP33" i="7"/>
  <c r="CL33" i="7"/>
  <c r="CH33" i="7"/>
  <c r="BZ33" i="7"/>
  <c r="BV33" i="7"/>
  <c r="BR33" i="7"/>
  <c r="BJ33" i="7"/>
  <c r="BF33" i="7"/>
  <c r="BB33" i="7"/>
  <c r="AT33" i="7"/>
  <c r="AP33" i="7"/>
  <c r="AL33" i="7"/>
  <c r="AD33" i="7"/>
  <c r="Z33" i="7"/>
  <c r="V33" i="7"/>
  <c r="N33" i="7"/>
  <c r="J33" i="7"/>
  <c r="F33" i="7"/>
  <c r="FA32" i="7"/>
  <c r="EW32" i="7"/>
  <c r="ES32" i="7"/>
  <c r="EK32" i="7"/>
  <c r="EG32" i="7"/>
  <c r="EC32" i="7"/>
  <c r="DU32" i="7"/>
  <c r="DQ32" i="7"/>
  <c r="DM32" i="7"/>
  <c r="DF32" i="7"/>
  <c r="DB32" i="7"/>
  <c r="CX32" i="7"/>
  <c r="CP32" i="7"/>
  <c r="DG32" i="7" s="1"/>
  <c r="CL32" i="7"/>
  <c r="CH32" i="7"/>
  <c r="BZ32" i="7"/>
  <c r="BV32" i="7"/>
  <c r="BR32" i="7"/>
  <c r="BJ32" i="7"/>
  <c r="BF32" i="7"/>
  <c r="BB32" i="7"/>
  <c r="AT32" i="7"/>
  <c r="AP32" i="7"/>
  <c r="AL32" i="7"/>
  <c r="AD32" i="7"/>
  <c r="Z32" i="7"/>
  <c r="V32" i="7"/>
  <c r="N32" i="7"/>
  <c r="J32" i="7"/>
  <c r="F32" i="7"/>
  <c r="FA31" i="7"/>
  <c r="EW31" i="7"/>
  <c r="ES31" i="7"/>
  <c r="EK31" i="7"/>
  <c r="EG31" i="7"/>
  <c r="EC31" i="7"/>
  <c r="DU31" i="7"/>
  <c r="DQ31" i="7"/>
  <c r="DM31" i="7"/>
  <c r="DF31" i="7"/>
  <c r="DB31" i="7"/>
  <c r="CX31" i="7"/>
  <c r="CP31" i="7"/>
  <c r="DG31" i="7" s="1"/>
  <c r="CL31" i="7"/>
  <c r="CH31" i="7"/>
  <c r="BZ31" i="7"/>
  <c r="BV31" i="7"/>
  <c r="BR31" i="7"/>
  <c r="BJ31" i="7"/>
  <c r="BF31" i="7"/>
  <c r="BB31" i="7"/>
  <c r="AT31" i="7"/>
  <c r="AP31" i="7"/>
  <c r="AL31" i="7"/>
  <c r="AD31" i="7"/>
  <c r="Z31" i="7"/>
  <c r="V31" i="7"/>
  <c r="N31" i="7"/>
  <c r="J31" i="7"/>
  <c r="F31" i="7"/>
  <c r="FA30" i="7"/>
  <c r="EW30" i="7"/>
  <c r="ES30" i="7"/>
  <c r="EK30" i="7"/>
  <c r="EG30" i="7"/>
  <c r="EC30" i="7"/>
  <c r="DU30" i="7"/>
  <c r="DQ30" i="7"/>
  <c r="DM30" i="7"/>
  <c r="DF30" i="7"/>
  <c r="DG30" i="7" s="1"/>
  <c r="DB30" i="7"/>
  <c r="CX30" i="7"/>
  <c r="CP30" i="7"/>
  <c r="CL30" i="7"/>
  <c r="CH30" i="7"/>
  <c r="BZ30" i="7"/>
  <c r="BV30" i="7"/>
  <c r="BR30" i="7"/>
  <c r="BJ30" i="7"/>
  <c r="BF30" i="7"/>
  <c r="BB30" i="7"/>
  <c r="AT30" i="7"/>
  <c r="AP30" i="7"/>
  <c r="AL30" i="7"/>
  <c r="AD30" i="7"/>
  <c r="Z30" i="7"/>
  <c r="V30" i="7"/>
  <c r="N30" i="7"/>
  <c r="J30" i="7"/>
  <c r="F30" i="7"/>
  <c r="FA29" i="7"/>
  <c r="EW29" i="7"/>
  <c r="ES29" i="7"/>
  <c r="EK29" i="7"/>
  <c r="EG29" i="7"/>
  <c r="EC29" i="7"/>
  <c r="DU29" i="7"/>
  <c r="DQ29" i="7"/>
  <c r="DM29" i="7"/>
  <c r="DG29" i="7"/>
  <c r="DF29" i="7"/>
  <c r="DB29" i="7"/>
  <c r="CX29" i="7"/>
  <c r="CP29" i="7"/>
  <c r="CL29" i="7"/>
  <c r="CH29" i="7"/>
  <c r="BZ29" i="7"/>
  <c r="BV29" i="7"/>
  <c r="BR29" i="7"/>
  <c r="BJ29" i="7"/>
  <c r="BF29" i="7"/>
  <c r="BB29" i="7"/>
  <c r="AT29" i="7"/>
  <c r="AP29" i="7"/>
  <c r="AL29" i="7"/>
  <c r="AD29" i="7"/>
  <c r="Z29" i="7"/>
  <c r="V29" i="7"/>
  <c r="N29" i="7"/>
  <c r="J29" i="7"/>
  <c r="F29" i="7"/>
  <c r="FA28" i="7"/>
  <c r="EW28" i="7"/>
  <c r="ES28" i="7"/>
  <c r="EK28" i="7"/>
  <c r="EG28" i="7"/>
  <c r="EC28" i="7"/>
  <c r="DU28" i="7"/>
  <c r="DQ28" i="7"/>
  <c r="DM28" i="7"/>
  <c r="DG28" i="7"/>
  <c r="DF28" i="7"/>
  <c r="DB28" i="7"/>
  <c r="CX28" i="7"/>
  <c r="CP28" i="7"/>
  <c r="CL28" i="7"/>
  <c r="CH28" i="7"/>
  <c r="BZ28" i="7"/>
  <c r="BV28" i="7"/>
  <c r="BR28" i="7"/>
  <c r="BJ28" i="7"/>
  <c r="BF28" i="7"/>
  <c r="BB28" i="7"/>
  <c r="AT28" i="7"/>
  <c r="AP28" i="7"/>
  <c r="AL28" i="7"/>
  <c r="AD28" i="7"/>
  <c r="Z28" i="7"/>
  <c r="V28" i="7"/>
  <c r="N28" i="7"/>
  <c r="J28" i="7"/>
  <c r="F28" i="7"/>
  <c r="FA27" i="7"/>
  <c r="EW27" i="7"/>
  <c r="ES27" i="7"/>
  <c r="EK27" i="7"/>
  <c r="EG27" i="7"/>
  <c r="EC27" i="7"/>
  <c r="DU27" i="7"/>
  <c r="DQ27" i="7"/>
  <c r="DM27" i="7"/>
  <c r="DF27" i="7"/>
  <c r="DG27" i="7" s="1"/>
  <c r="DB27" i="7"/>
  <c r="CX27" i="7"/>
  <c r="CP27" i="7"/>
  <c r="CL27" i="7"/>
  <c r="CH27" i="7"/>
  <c r="BZ27" i="7"/>
  <c r="BV27" i="7"/>
  <c r="BR27" i="7"/>
  <c r="BJ27" i="7"/>
  <c r="BF27" i="7"/>
  <c r="BB27" i="7"/>
  <c r="AT27" i="7"/>
  <c r="AP27" i="7"/>
  <c r="AL27" i="7"/>
  <c r="AD27" i="7"/>
  <c r="Z27" i="7"/>
  <c r="V27" i="7"/>
  <c r="N27" i="7"/>
  <c r="J27" i="7"/>
  <c r="F27" i="7"/>
  <c r="FA26" i="7"/>
  <c r="EW26" i="7"/>
  <c r="ES26" i="7"/>
  <c r="EK26" i="7"/>
  <c r="EG26" i="7"/>
  <c r="EC26" i="7"/>
  <c r="DU26" i="7"/>
  <c r="DQ26" i="7"/>
  <c r="DM26" i="7"/>
  <c r="DF26" i="7"/>
  <c r="DG26" i="7" s="1"/>
  <c r="DB26" i="7"/>
  <c r="CX26" i="7"/>
  <c r="CP26" i="7"/>
  <c r="CL26" i="7"/>
  <c r="CH26" i="7"/>
  <c r="BZ26" i="7"/>
  <c r="BV26" i="7"/>
  <c r="BR26" i="7"/>
  <c r="BJ26" i="7"/>
  <c r="BF26" i="7"/>
  <c r="BB26" i="7"/>
  <c r="AT26" i="7"/>
  <c r="AP26" i="7"/>
  <c r="AL26" i="7"/>
  <c r="AD26" i="7"/>
  <c r="Z26" i="7"/>
  <c r="V26" i="7"/>
  <c r="N26" i="7"/>
  <c r="J26" i="7"/>
  <c r="F26" i="7"/>
  <c r="FA25" i="7"/>
  <c r="EW25" i="7"/>
  <c r="ES25" i="7"/>
  <c r="EK25" i="7"/>
  <c r="EG25" i="7"/>
  <c r="EC25" i="7"/>
  <c r="DU25" i="7"/>
  <c r="DQ25" i="7"/>
  <c r="DM25" i="7"/>
  <c r="DF25" i="7"/>
  <c r="DG25" i="7" s="1"/>
  <c r="DB25" i="7"/>
  <c r="CX25" i="7"/>
  <c r="CP25" i="7"/>
  <c r="CL25" i="7"/>
  <c r="CH25" i="7"/>
  <c r="BZ25" i="7"/>
  <c r="BV25" i="7"/>
  <c r="BR25" i="7"/>
  <c r="BJ25" i="7"/>
  <c r="BF25" i="7"/>
  <c r="BB25" i="7"/>
  <c r="AT25" i="7"/>
  <c r="AP25" i="7"/>
  <c r="AL25" i="7"/>
  <c r="AD25" i="7"/>
  <c r="Z25" i="7"/>
  <c r="V25" i="7"/>
  <c r="N25" i="7"/>
  <c r="J25" i="7"/>
  <c r="F25" i="7"/>
  <c r="FA24" i="7"/>
  <c r="EW24" i="7"/>
  <c r="ES24" i="7"/>
  <c r="EK24" i="7"/>
  <c r="EG24" i="7"/>
  <c r="EC24" i="7"/>
  <c r="DU24" i="7"/>
  <c r="DQ24" i="7"/>
  <c r="DM24" i="7"/>
  <c r="DF24" i="7"/>
  <c r="DG24" i="7" s="1"/>
  <c r="DB24" i="7"/>
  <c r="CX24" i="7"/>
  <c r="CP24" i="7"/>
  <c r="CL24" i="7"/>
  <c r="CH24" i="7"/>
  <c r="BZ24" i="7"/>
  <c r="BV24" i="7"/>
  <c r="BR24" i="7"/>
  <c r="BJ24" i="7"/>
  <c r="BF24" i="7"/>
  <c r="BB24" i="7"/>
  <c r="AT24" i="7"/>
  <c r="AP24" i="7"/>
  <c r="AL24" i="7"/>
  <c r="AD24" i="7"/>
  <c r="Z24" i="7"/>
  <c r="V24" i="7"/>
  <c r="N24" i="7"/>
  <c r="J24" i="7"/>
  <c r="F24" i="7"/>
  <c r="FA23" i="7"/>
  <c r="EW23" i="7"/>
  <c r="ES23" i="7"/>
  <c r="EK23" i="7"/>
  <c r="EG23" i="7"/>
  <c r="EC23" i="7"/>
  <c r="DU23" i="7"/>
  <c r="DQ23" i="7"/>
  <c r="DM23" i="7"/>
  <c r="DF23" i="7"/>
  <c r="DG23" i="7" s="1"/>
  <c r="DB23" i="7"/>
  <c r="CX23" i="7"/>
  <c r="CP23" i="7"/>
  <c r="CL23" i="7"/>
  <c r="CH23" i="7"/>
  <c r="BZ23" i="7"/>
  <c r="BV23" i="7"/>
  <c r="BR23" i="7"/>
  <c r="BJ23" i="7"/>
  <c r="BF23" i="7"/>
  <c r="BB23" i="7"/>
  <c r="AT23" i="7"/>
  <c r="AP23" i="7"/>
  <c r="AL23" i="7"/>
  <c r="AD23" i="7"/>
  <c r="Z23" i="7"/>
  <c r="V23" i="7"/>
  <c r="N23" i="7"/>
  <c r="J23" i="7"/>
  <c r="F23" i="7"/>
  <c r="FA22" i="7"/>
  <c r="EW22" i="7"/>
  <c r="ES22" i="7"/>
  <c r="EK22" i="7"/>
  <c r="EG22" i="7"/>
  <c r="EC22" i="7"/>
  <c r="DU22" i="7"/>
  <c r="DQ22" i="7"/>
  <c r="DM22" i="7"/>
  <c r="DF22" i="7"/>
  <c r="DG22" i="7" s="1"/>
  <c r="DB22" i="7"/>
  <c r="CX22" i="7"/>
  <c r="CP22" i="7"/>
  <c r="CL22" i="7"/>
  <c r="CH22" i="7"/>
  <c r="BZ22" i="7"/>
  <c r="BV22" i="7"/>
  <c r="BR22" i="7"/>
  <c r="BJ22" i="7"/>
  <c r="BF22" i="7"/>
  <c r="BB22" i="7"/>
  <c r="AT22" i="7"/>
  <c r="AP22" i="7"/>
  <c r="AL22" i="7"/>
  <c r="AD22" i="7"/>
  <c r="Z22" i="7"/>
  <c r="V22" i="7"/>
  <c r="N22" i="7"/>
  <c r="J22" i="7"/>
  <c r="F22" i="7"/>
  <c r="FA21" i="7"/>
  <c r="EW21" i="7"/>
  <c r="ES21" i="7"/>
  <c r="EK21" i="7"/>
  <c r="EG21" i="7"/>
  <c r="EC21" i="7"/>
  <c r="DU21" i="7"/>
  <c r="DQ21" i="7"/>
  <c r="DM21" i="7"/>
  <c r="DF21" i="7"/>
  <c r="DG21" i="7" s="1"/>
  <c r="DB21" i="7"/>
  <c r="CX21" i="7"/>
  <c r="CP21" i="7"/>
  <c r="CL21" i="7"/>
  <c r="CH21" i="7"/>
  <c r="BZ21" i="7"/>
  <c r="BV21" i="7"/>
  <c r="BR21" i="7"/>
  <c r="BJ21" i="7"/>
  <c r="BF21" i="7"/>
  <c r="BB21" i="7"/>
  <c r="AT21" i="7"/>
  <c r="AP21" i="7"/>
  <c r="AL21" i="7"/>
  <c r="AD21" i="7"/>
  <c r="Z21" i="7"/>
  <c r="V21" i="7"/>
  <c r="N21" i="7"/>
  <c r="J21" i="7"/>
  <c r="F21" i="7"/>
  <c r="FA20" i="7"/>
  <c r="EW20" i="7"/>
  <c r="ES20" i="7"/>
  <c r="EK20" i="7"/>
  <c r="EG20" i="7"/>
  <c r="EC20" i="7"/>
  <c r="DU20" i="7"/>
  <c r="DQ20" i="7"/>
  <c r="DM20" i="7"/>
  <c r="DG20" i="7"/>
  <c r="DF20" i="7"/>
  <c r="DB20" i="7"/>
  <c r="CX20" i="7"/>
  <c r="CP20" i="7"/>
  <c r="CO20" i="7"/>
  <c r="CL20" i="7"/>
  <c r="CH20" i="7"/>
  <c r="BZ20" i="7"/>
  <c r="BV20" i="7"/>
  <c r="BR20" i="7"/>
  <c r="BJ20" i="7"/>
  <c r="BF20" i="7"/>
  <c r="BB20" i="7"/>
  <c r="AT20" i="7"/>
  <c r="AP20" i="7"/>
  <c r="AL20" i="7"/>
  <c r="AD20" i="7"/>
  <c r="Z20" i="7"/>
  <c r="V20" i="7"/>
  <c r="N20" i="7"/>
  <c r="J20" i="7"/>
  <c r="F20" i="7"/>
  <c r="FA19" i="7"/>
  <c r="EW19" i="7"/>
  <c r="ES19" i="7"/>
  <c r="EK19" i="7"/>
  <c r="EG19" i="7"/>
  <c r="EC19" i="7"/>
  <c r="DU19" i="7"/>
  <c r="DQ19" i="7"/>
  <c r="DM19" i="7"/>
  <c r="DF19" i="7"/>
  <c r="DB19" i="7"/>
  <c r="CX19" i="7"/>
  <c r="CP19" i="7"/>
  <c r="CL19" i="7"/>
  <c r="CH19" i="7"/>
  <c r="BZ19" i="7"/>
  <c r="BV19" i="7"/>
  <c r="BR19" i="7"/>
  <c r="BJ19" i="7"/>
  <c r="BF19" i="7"/>
  <c r="BB19" i="7"/>
  <c r="AT19" i="7"/>
  <c r="AP19" i="7"/>
  <c r="AL19" i="7"/>
  <c r="AD19" i="7"/>
  <c r="Z19" i="7"/>
  <c r="V19" i="7"/>
  <c r="N19" i="7"/>
  <c r="J19" i="7"/>
  <c r="F19" i="7"/>
  <c r="FA18" i="7"/>
  <c r="EW18" i="7"/>
  <c r="ES18" i="7"/>
  <c r="EK18" i="7"/>
  <c r="EG18" i="7"/>
  <c r="EC18" i="7"/>
  <c r="DU18" i="7"/>
  <c r="DQ18" i="7"/>
  <c r="DM18" i="7"/>
  <c r="DF18" i="7"/>
  <c r="DG18" i="7" s="1"/>
  <c r="DB18" i="7"/>
  <c r="CX18" i="7"/>
  <c r="CP18" i="7"/>
  <c r="CL18" i="7"/>
  <c r="CH18" i="7"/>
  <c r="BZ18" i="7"/>
  <c r="BV18" i="7"/>
  <c r="BR18" i="7"/>
  <c r="BJ18" i="7"/>
  <c r="BF18" i="7"/>
  <c r="BB18" i="7"/>
  <c r="AT18" i="7"/>
  <c r="AP18" i="7"/>
  <c r="AL18" i="7"/>
  <c r="AD18" i="7"/>
  <c r="Z18" i="7"/>
  <c r="V18" i="7"/>
  <c r="N18" i="7"/>
  <c r="J18" i="7"/>
  <c r="F18" i="7"/>
  <c r="EZ17" i="7"/>
  <c r="FA17" i="7" s="1"/>
  <c r="EV17" i="7"/>
  <c r="EW17" i="7" s="1"/>
  <c r="ER17" i="7"/>
  <c r="ES17" i="7" s="1"/>
  <c r="EF17" i="7"/>
  <c r="EG17" i="7" s="1"/>
  <c r="EC17" i="7"/>
  <c r="EB17" i="7"/>
  <c r="EJ17" i="7" s="1"/>
  <c r="EK17" i="7" s="1"/>
  <c r="DT17" i="7"/>
  <c r="DU17" i="7" s="1"/>
  <c r="DP17" i="7"/>
  <c r="DQ17" i="7" s="1"/>
  <c r="DL17" i="7"/>
  <c r="DM17" i="7" s="1"/>
  <c r="DE17" i="7"/>
  <c r="DF17" i="7" s="1"/>
  <c r="DA17" i="7"/>
  <c r="DB17" i="7" s="1"/>
  <c r="CX17" i="7"/>
  <c r="CW17" i="7"/>
  <c r="CO17" i="7"/>
  <c r="CP17" i="7" s="1"/>
  <c r="CG17" i="7"/>
  <c r="CK17" i="7" s="1"/>
  <c r="CL17" i="7" s="1"/>
  <c r="BY17" i="7"/>
  <c r="BZ17" i="7" s="1"/>
  <c r="BV17" i="7"/>
  <c r="BU17" i="7"/>
  <c r="BR17" i="7"/>
  <c r="BQ17" i="7"/>
  <c r="BI17" i="7"/>
  <c r="BJ17" i="7" s="1"/>
  <c r="BF17" i="7"/>
  <c r="BA17" i="7"/>
  <c r="BE17" i="7" s="1"/>
  <c r="AS17" i="7"/>
  <c r="AT17" i="7" s="1"/>
  <c r="AP17" i="7"/>
  <c r="AO17" i="7"/>
  <c r="AL17" i="7"/>
  <c r="AK17" i="7"/>
  <c r="AD17" i="7"/>
  <c r="Z17" i="7"/>
  <c r="V17" i="7"/>
  <c r="E17" i="7"/>
  <c r="FA16" i="7"/>
  <c r="EW16" i="7"/>
  <c r="ES16" i="7"/>
  <c r="EK16" i="7"/>
  <c r="EG16" i="7"/>
  <c r="EC16" i="7"/>
  <c r="DU16" i="7"/>
  <c r="DQ16" i="7"/>
  <c r="DM16" i="7"/>
  <c r="DF16" i="7"/>
  <c r="DG16" i="7" s="1"/>
  <c r="DB16" i="7"/>
  <c r="CX16" i="7"/>
  <c r="CP16" i="7"/>
  <c r="CL16" i="7"/>
  <c r="CH16" i="7"/>
  <c r="BZ16" i="7"/>
  <c r="BV16" i="7"/>
  <c r="BR16" i="7"/>
  <c r="BJ16" i="7"/>
  <c r="BF16" i="7"/>
  <c r="BB16" i="7"/>
  <c r="AT16" i="7"/>
  <c r="AP16" i="7"/>
  <c r="AL16" i="7"/>
  <c r="AD16" i="7"/>
  <c r="AC16" i="7"/>
  <c r="Y16" i="7"/>
  <c r="Z16" i="7" s="1"/>
  <c r="V16" i="7"/>
  <c r="U16" i="7"/>
  <c r="N16" i="7"/>
  <c r="J16" i="7"/>
  <c r="F16" i="7"/>
  <c r="EZ15" i="7"/>
  <c r="FA15" i="7" s="1"/>
  <c r="EW15" i="7"/>
  <c r="EV15" i="7"/>
  <c r="ER15" i="7"/>
  <c r="ES15" i="7" s="1"/>
  <c r="EJ15" i="7"/>
  <c r="EK15" i="7" s="1"/>
  <c r="EB15" i="7"/>
  <c r="EF15" i="7" s="1"/>
  <c r="EG15" i="7" s="1"/>
  <c r="DT15" i="7"/>
  <c r="DU15" i="7" s="1"/>
  <c r="DQ15" i="7"/>
  <c r="DP15" i="7"/>
  <c r="DL15" i="7"/>
  <c r="DM15" i="7" s="1"/>
  <c r="DF15" i="7"/>
  <c r="CW15" i="7"/>
  <c r="DE15" i="7" s="1"/>
  <c r="CP15" i="7"/>
  <c r="CO15" i="7"/>
  <c r="CL15" i="7"/>
  <c r="CG15" i="7"/>
  <c r="CK15" i="7" s="1"/>
  <c r="BQ15" i="7"/>
  <c r="BY15" i="7" s="1"/>
  <c r="BZ15" i="7" s="1"/>
  <c r="BI15" i="7"/>
  <c r="BJ15" i="7" s="1"/>
  <c r="BF15" i="7"/>
  <c r="BA15" i="7"/>
  <c r="BE15" i="7" s="1"/>
  <c r="AT15" i="7"/>
  <c r="AK15" i="7"/>
  <c r="AS15" i="7" s="1"/>
  <c r="AD15" i="7"/>
  <c r="Z15" i="7"/>
  <c r="V15" i="7"/>
  <c r="I15" i="7"/>
  <c r="E15" i="7"/>
  <c r="F15" i="7" s="1"/>
  <c r="ER14" i="7"/>
  <c r="EZ14" i="7" s="1"/>
  <c r="FA14" i="7" s="1"/>
  <c r="EJ14" i="7"/>
  <c r="EK14" i="7" s="1"/>
  <c r="EF14" i="7"/>
  <c r="EG14" i="7" s="1"/>
  <c r="EB14" i="7"/>
  <c r="EC14" i="7" s="1"/>
  <c r="DM14" i="7"/>
  <c r="DL14" i="7"/>
  <c r="DT14" i="7" s="1"/>
  <c r="DU14" i="7" s="1"/>
  <c r="DE14" i="7"/>
  <c r="DF14" i="7" s="1"/>
  <c r="CW14" i="7"/>
  <c r="DA14" i="7" s="1"/>
  <c r="DB14" i="7" s="1"/>
  <c r="CO14" i="7"/>
  <c r="CP14" i="7" s="1"/>
  <c r="CK14" i="7"/>
  <c r="CL14" i="7" s="1"/>
  <c r="CH14" i="7"/>
  <c r="CG14" i="7"/>
  <c r="BY14" i="7"/>
  <c r="BZ14" i="7" s="1"/>
  <c r="BQ14" i="7"/>
  <c r="BU14" i="7" s="1"/>
  <c r="BV14" i="7" s="1"/>
  <c r="BI14" i="7"/>
  <c r="BJ14" i="7" s="1"/>
  <c r="BF14" i="7"/>
  <c r="BE14" i="7"/>
  <c r="BB14" i="7"/>
  <c r="BA14" i="7"/>
  <c r="AS14" i="7"/>
  <c r="AT14" i="7" s="1"/>
  <c r="AP14" i="7"/>
  <c r="AK14" i="7"/>
  <c r="AO14" i="7" s="1"/>
  <c r="AC14" i="7"/>
  <c r="AD14" i="7" s="1"/>
  <c r="Z14" i="7"/>
  <c r="Y14" i="7"/>
  <c r="V14" i="7"/>
  <c r="U14" i="7"/>
  <c r="J14" i="7"/>
  <c r="E14" i="7"/>
  <c r="I14" i="7" s="1"/>
  <c r="M14" i="7" s="1"/>
  <c r="N14" i="7" s="1"/>
  <c r="EZ13" i="7"/>
  <c r="FA13" i="7" s="1"/>
  <c r="EW13" i="7"/>
  <c r="EV13" i="7"/>
  <c r="ES13" i="7"/>
  <c r="ER13" i="7"/>
  <c r="EJ13" i="7"/>
  <c r="EK13" i="7" s="1"/>
  <c r="EG13" i="7"/>
  <c r="EB13" i="7"/>
  <c r="EF13" i="7" s="1"/>
  <c r="DT13" i="7"/>
  <c r="DU13" i="7" s="1"/>
  <c r="DQ13" i="7"/>
  <c r="DP13" i="7"/>
  <c r="DM13" i="7"/>
  <c r="DL13" i="7"/>
  <c r="DE13" i="7"/>
  <c r="DF13" i="7" s="1"/>
  <c r="DG13" i="7" s="1"/>
  <c r="DA13" i="7"/>
  <c r="DB13" i="7" s="1"/>
  <c r="CX13" i="7"/>
  <c r="CW13" i="7"/>
  <c r="CO13" i="7"/>
  <c r="CP13" i="7" s="1"/>
  <c r="CL13" i="7"/>
  <c r="CK13" i="7"/>
  <c r="CH13" i="7"/>
  <c r="CG13" i="7"/>
  <c r="BY13" i="7"/>
  <c r="BZ13" i="7" s="1"/>
  <c r="BU13" i="7"/>
  <c r="BV13" i="7" s="1"/>
  <c r="BR13" i="7"/>
  <c r="BQ13" i="7"/>
  <c r="BI13" i="7"/>
  <c r="BJ13" i="7" s="1"/>
  <c r="BF13" i="7"/>
  <c r="BE13" i="7"/>
  <c r="BB13" i="7"/>
  <c r="BA13" i="7"/>
  <c r="AS13" i="7"/>
  <c r="AT13" i="7" s="1"/>
  <c r="AO13" i="7"/>
  <c r="AP13" i="7" s="1"/>
  <c r="AL13" i="7"/>
  <c r="AK13" i="7"/>
  <c r="AC13" i="7"/>
  <c r="AD13" i="7" s="1"/>
  <c r="Y13" i="7"/>
  <c r="Z13" i="7" s="1"/>
  <c r="V13" i="7"/>
  <c r="U13" i="7"/>
  <c r="M13" i="7"/>
  <c r="N13" i="7" s="1"/>
  <c r="I13" i="7"/>
  <c r="J13" i="7" s="1"/>
  <c r="F13" i="7"/>
  <c r="E13" i="7"/>
  <c r="EZ12" i="7"/>
  <c r="FA12" i="7" s="1"/>
  <c r="EW12" i="7"/>
  <c r="EV12" i="7"/>
  <c r="ES12" i="7"/>
  <c r="ER12" i="7"/>
  <c r="EJ12" i="7"/>
  <c r="EK12" i="7" s="1"/>
  <c r="EF12" i="7"/>
  <c r="EG12" i="7" s="1"/>
  <c r="EC12" i="7"/>
  <c r="EB12" i="7"/>
  <c r="DT12" i="7"/>
  <c r="DU12" i="7" s="1"/>
  <c r="DQ12" i="7"/>
  <c r="DP12" i="7"/>
  <c r="DM12" i="7"/>
  <c r="DL12" i="7"/>
  <c r="DF12" i="7"/>
  <c r="CW12" i="7"/>
  <c r="DE12" i="7" s="1"/>
  <c r="CO12" i="7"/>
  <c r="CP12" i="7" s="1"/>
  <c r="CL12" i="7"/>
  <c r="CK12" i="7"/>
  <c r="CG12" i="7"/>
  <c r="CH12" i="7" s="1"/>
  <c r="BQ12" i="7"/>
  <c r="BI12" i="7"/>
  <c r="BJ12" i="7" s="1"/>
  <c r="BF12" i="7"/>
  <c r="BE12" i="7"/>
  <c r="BA12" i="7"/>
  <c r="BB12" i="7" s="1"/>
  <c r="AK12" i="7"/>
  <c r="AC12" i="7"/>
  <c r="AD12" i="7" s="1"/>
  <c r="Z12" i="7"/>
  <c r="Y12" i="7"/>
  <c r="U12" i="7"/>
  <c r="V12" i="7" s="1"/>
  <c r="E12" i="7"/>
  <c r="FA11" i="7"/>
  <c r="EZ11" i="7"/>
  <c r="EW11" i="7"/>
  <c r="EV11" i="7"/>
  <c r="ER11" i="7"/>
  <c r="ES11" i="7" s="1"/>
  <c r="EB11" i="7"/>
  <c r="DU11" i="7"/>
  <c r="DT11" i="7"/>
  <c r="DQ11" i="7"/>
  <c r="DL11" i="7"/>
  <c r="DP11" i="7" s="1"/>
  <c r="CX11" i="7"/>
  <c r="CW11" i="7"/>
  <c r="CG11" i="7"/>
  <c r="BQ11" i="7"/>
  <c r="BA11" i="7"/>
  <c r="AK11" i="7"/>
  <c r="AD11" i="7"/>
  <c r="AC11" i="7"/>
  <c r="U11" i="7"/>
  <c r="E11" i="7"/>
  <c r="I11" i="7" s="1"/>
  <c r="EZ10" i="7"/>
  <c r="FA10" i="7" s="1"/>
  <c r="ER10" i="7"/>
  <c r="EB10" i="7"/>
  <c r="DT10" i="7"/>
  <c r="DU10" i="7" s="1"/>
  <c r="DL10" i="7"/>
  <c r="DA10" i="7"/>
  <c r="DB10" i="7" s="1"/>
  <c r="CW10" i="7"/>
  <c r="DE10" i="7" s="1"/>
  <c r="DF10" i="7" s="1"/>
  <c r="CP10" i="7"/>
  <c r="CO10" i="7"/>
  <c r="CK10" i="7"/>
  <c r="CL10" i="7" s="1"/>
  <c r="CH10" i="7"/>
  <c r="CG10" i="7"/>
  <c r="BQ10" i="7"/>
  <c r="BY10" i="7" s="1"/>
  <c r="BZ10" i="7" s="1"/>
  <c r="BJ10" i="7"/>
  <c r="BI10" i="7"/>
  <c r="BE10" i="7"/>
  <c r="BF10" i="7" s="1"/>
  <c r="BB10" i="7"/>
  <c r="BA10" i="7"/>
  <c r="AL10" i="7"/>
  <c r="AK10" i="7"/>
  <c r="AS10" i="7" s="1"/>
  <c r="AT10" i="7" s="1"/>
  <c r="AD10" i="7"/>
  <c r="AC10" i="7"/>
  <c r="Y10" i="7"/>
  <c r="Z10" i="7" s="1"/>
  <c r="V10" i="7"/>
  <c r="U10" i="7"/>
  <c r="I10" i="7"/>
  <c r="E10" i="7"/>
  <c r="F10" i="7" s="1"/>
  <c r="FA9" i="7"/>
  <c r="EZ9" i="7"/>
  <c r="EV9" i="7"/>
  <c r="EW9" i="7" s="1"/>
  <c r="ES9" i="7"/>
  <c r="ER9" i="7"/>
  <c r="EB9" i="7"/>
  <c r="EJ9" i="7" s="1"/>
  <c r="EK9" i="7" s="1"/>
  <c r="DU9" i="7"/>
  <c r="DT9" i="7"/>
  <c r="DP9" i="7"/>
  <c r="DQ9" i="7" s="1"/>
  <c r="DM9" i="7"/>
  <c r="DL9" i="7"/>
  <c r="DA9" i="7"/>
  <c r="DB9" i="7" s="1"/>
  <c r="CX9" i="7"/>
  <c r="CW9" i="7"/>
  <c r="DE9" i="7" s="1"/>
  <c r="DF9" i="7" s="1"/>
  <c r="DG9" i="7" s="1"/>
  <c r="CP9" i="7"/>
  <c r="CO9" i="7"/>
  <c r="CK9" i="7"/>
  <c r="CL9" i="7" s="1"/>
  <c r="CH9" i="7"/>
  <c r="CG9" i="7"/>
  <c r="BR9" i="7"/>
  <c r="BQ9" i="7"/>
  <c r="BY9" i="7" s="1"/>
  <c r="BZ9" i="7" s="1"/>
  <c r="BJ9" i="7"/>
  <c r="BI9" i="7"/>
  <c r="BE9" i="7"/>
  <c r="BF9" i="7" s="1"/>
  <c r="BA9" i="7"/>
  <c r="BB9" i="7" s="1"/>
  <c r="AD9" i="7"/>
  <c r="AC9" i="7"/>
  <c r="Y9" i="7"/>
  <c r="Z9" i="7" s="1"/>
  <c r="V9" i="7"/>
  <c r="U9" i="7"/>
  <c r="FA8" i="7"/>
  <c r="EZ8" i="7"/>
  <c r="EV8" i="7"/>
  <c r="EW8" i="7" s="1"/>
  <c r="ES8" i="7"/>
  <c r="ER8" i="7"/>
  <c r="EC8" i="7"/>
  <c r="EB8" i="7"/>
  <c r="EJ8" i="7" s="1"/>
  <c r="EK8" i="7" s="1"/>
  <c r="DU8" i="7"/>
  <c r="DT8" i="7"/>
  <c r="DP8" i="7"/>
  <c r="DQ8" i="7" s="1"/>
  <c r="DM8" i="7"/>
  <c r="DL8" i="7"/>
  <c r="DE8" i="7"/>
  <c r="DF8" i="7" s="1"/>
  <c r="DA8" i="7"/>
  <c r="DB8" i="7" s="1"/>
  <c r="CX8" i="7"/>
  <c r="CW8" i="7"/>
  <c r="CO8" i="7"/>
  <c r="CP8" i="7" s="1"/>
  <c r="CL8" i="7"/>
  <c r="CG8" i="7"/>
  <c r="CK8" i="7" s="1"/>
  <c r="BY8" i="7"/>
  <c r="BZ8" i="7" s="1"/>
  <c r="BU8" i="7"/>
  <c r="BV8" i="7" s="1"/>
  <c r="BR8" i="7"/>
  <c r="BQ8" i="7"/>
  <c r="BI8" i="7"/>
  <c r="BJ8" i="7" s="1"/>
  <c r="BA8" i="7"/>
  <c r="BE8" i="7" s="1"/>
  <c r="BF8" i="7" s="1"/>
  <c r="AC8" i="7"/>
  <c r="AD8" i="7" s="1"/>
  <c r="U8" i="7"/>
  <c r="Y8" i="7" s="1"/>
  <c r="Z8" i="7" s="1"/>
  <c r="EZ7" i="7"/>
  <c r="FA7" i="7" s="1"/>
  <c r="ER7" i="7"/>
  <c r="EV7" i="7" s="1"/>
  <c r="EW7" i="7" s="1"/>
  <c r="EJ7" i="7"/>
  <c r="EK7" i="7" s="1"/>
  <c r="EF7" i="7"/>
  <c r="EG7" i="7" s="1"/>
  <c r="EC7" i="7"/>
  <c r="EB7" i="7"/>
  <c r="DT7" i="7"/>
  <c r="DU7" i="7" s="1"/>
  <c r="DL7" i="7"/>
  <c r="DP7" i="7" s="1"/>
  <c r="DQ7" i="7" s="1"/>
  <c r="DE7" i="7"/>
  <c r="DF7" i="7" s="1"/>
  <c r="DG7" i="7" s="1"/>
  <c r="DA7" i="7"/>
  <c r="DB7" i="7" s="1"/>
  <c r="CX7" i="7"/>
  <c r="CW7" i="7"/>
  <c r="CO7" i="7"/>
  <c r="CP7" i="7" s="1"/>
  <c r="CK7" i="7"/>
  <c r="CL7" i="7" s="1"/>
  <c r="CH7" i="7"/>
  <c r="CG7" i="7"/>
  <c r="BY7" i="7"/>
  <c r="BZ7" i="7" s="1"/>
  <c r="BU7" i="7"/>
  <c r="BV7" i="7" s="1"/>
  <c r="BR7" i="7"/>
  <c r="BQ7" i="7"/>
  <c r="BI7" i="7"/>
  <c r="BJ7" i="7" s="1"/>
  <c r="BE7" i="7"/>
  <c r="BF7" i="7" s="1"/>
  <c r="BB7" i="7"/>
  <c r="BA7" i="7"/>
  <c r="AT7" i="7"/>
  <c r="AS7" i="7"/>
  <c r="AO7" i="7"/>
  <c r="AP7" i="7" s="1"/>
  <c r="AL7" i="7"/>
  <c r="AK7" i="7"/>
  <c r="AK8" i="7" s="1"/>
  <c r="AK9" i="7" s="1"/>
  <c r="AC7" i="7"/>
  <c r="AD7" i="7" s="1"/>
  <c r="Y7" i="7"/>
  <c r="Z7" i="7" s="1"/>
  <c r="V7" i="7"/>
  <c r="U7" i="7"/>
  <c r="J7" i="7"/>
  <c r="I7" i="7"/>
  <c r="M7" i="7" s="1"/>
  <c r="N7" i="7" s="1"/>
  <c r="F7" i="7"/>
  <c r="E7" i="7"/>
  <c r="E8" i="7" s="1"/>
  <c r="I8" i="7" s="1"/>
  <c r="EZ6" i="7"/>
  <c r="FA6" i="7" s="1"/>
  <c r="EV6" i="7"/>
  <c r="EW6" i="7" s="1"/>
  <c r="ES6" i="7"/>
  <c r="ER6" i="7"/>
  <c r="EK6" i="7"/>
  <c r="EJ6" i="7"/>
  <c r="EG6" i="7"/>
  <c r="EF6" i="7"/>
  <c r="EC6" i="7"/>
  <c r="EB6" i="7"/>
  <c r="DT6" i="7"/>
  <c r="DU6" i="7" s="1"/>
  <c r="DP6" i="7"/>
  <c r="DQ6" i="7" s="1"/>
  <c r="DM6" i="7"/>
  <c r="DL6" i="7"/>
  <c r="DF6" i="7"/>
  <c r="DE6" i="7"/>
  <c r="DB6" i="7"/>
  <c r="DA6" i="7"/>
  <c r="CX6" i="7"/>
  <c r="CW6" i="7"/>
  <c r="CG6" i="7"/>
  <c r="BZ6" i="7"/>
  <c r="BY6" i="7"/>
  <c r="BV6" i="7"/>
  <c r="BU6" i="7"/>
  <c r="BR6" i="7"/>
  <c r="BQ6" i="7"/>
  <c r="BA6" i="7"/>
  <c r="AS6" i="7"/>
  <c r="AT6" i="7" s="1"/>
  <c r="AO6" i="7"/>
  <c r="AP6" i="7" s="1"/>
  <c r="AL6" i="7"/>
  <c r="AK6" i="7"/>
  <c r="U6" i="7"/>
  <c r="N6" i="7"/>
  <c r="M6" i="7"/>
  <c r="I6" i="7"/>
  <c r="J6" i="7" s="1"/>
  <c r="F6" i="7"/>
  <c r="E6" i="7"/>
  <c r="ER5" i="7"/>
  <c r="EK5" i="7"/>
  <c r="EJ5" i="7"/>
  <c r="EG5" i="7"/>
  <c r="EF5" i="7"/>
  <c r="EC5" i="7"/>
  <c r="EB5" i="7"/>
  <c r="DL5" i="7"/>
  <c r="DA5" i="7"/>
  <c r="DB5" i="7" s="1"/>
  <c r="CW5" i="7"/>
  <c r="DE5" i="7" s="1"/>
  <c r="DF5" i="7" s="1"/>
  <c r="CG5" i="7"/>
  <c r="BV5" i="7"/>
  <c r="BU5" i="7"/>
  <c r="BR5" i="7"/>
  <c r="BQ5" i="7"/>
  <c r="BY5" i="7" s="1"/>
  <c r="BZ5" i="7" s="1"/>
  <c r="BA5" i="7"/>
  <c r="AS5" i="7"/>
  <c r="AT5" i="7" s="1"/>
  <c r="AO5" i="7"/>
  <c r="AP5" i="7" s="1"/>
  <c r="AL5" i="7"/>
  <c r="AK5" i="7"/>
  <c r="V5" i="7"/>
  <c r="U5" i="7"/>
  <c r="I5" i="7"/>
  <c r="M5" i="7" s="1"/>
  <c r="N5" i="7" s="1"/>
  <c r="E5" i="7"/>
  <c r="F5" i="7" s="1"/>
  <c r="L71" i="6"/>
  <c r="K71" i="6"/>
  <c r="J71" i="6"/>
  <c r="I71" i="6"/>
  <c r="H71" i="6"/>
  <c r="G71" i="6"/>
  <c r="F71" i="6"/>
  <c r="E71" i="6"/>
  <c r="D71" i="6"/>
  <c r="C71" i="6"/>
  <c r="B71" i="6"/>
  <c r="L70" i="6"/>
  <c r="K70" i="6"/>
  <c r="J70" i="6"/>
  <c r="I70" i="6"/>
  <c r="H70" i="6"/>
  <c r="G70" i="6"/>
  <c r="F70" i="6"/>
  <c r="M70" i="6" s="1"/>
  <c r="N70" i="6" s="1"/>
  <c r="O70" i="6" s="1"/>
  <c r="M62" i="6" s="1"/>
  <c r="E70" i="6"/>
  <c r="D70" i="6"/>
  <c r="C70" i="6"/>
  <c r="B70" i="6"/>
  <c r="L69" i="6"/>
  <c r="K69" i="6"/>
  <c r="J69" i="6"/>
  <c r="I69" i="6"/>
  <c r="H69" i="6"/>
  <c r="M69" i="6" s="1"/>
  <c r="N69" i="6" s="1"/>
  <c r="O69" i="6" s="1"/>
  <c r="M61" i="6" s="1"/>
  <c r="G69" i="6"/>
  <c r="F69" i="6"/>
  <c r="E69" i="6"/>
  <c r="D69" i="6"/>
  <c r="C69" i="6"/>
  <c r="B69" i="6"/>
  <c r="L68" i="6"/>
  <c r="K68" i="6"/>
  <c r="J68" i="6"/>
  <c r="I68" i="6"/>
  <c r="H68" i="6"/>
  <c r="G68" i="6"/>
  <c r="F68" i="6"/>
  <c r="E68" i="6"/>
  <c r="D68" i="6"/>
  <c r="C68" i="6"/>
  <c r="B68" i="6"/>
  <c r="M68" i="6" s="1"/>
  <c r="N68" i="6" s="1"/>
  <c r="O68" i="6" s="1"/>
  <c r="M60" i="6" s="1"/>
  <c r="L67" i="6"/>
  <c r="K67" i="6"/>
  <c r="J67" i="6"/>
  <c r="I67" i="6"/>
  <c r="H67" i="6"/>
  <c r="G67" i="6"/>
  <c r="F67" i="6"/>
  <c r="E67" i="6"/>
  <c r="D67" i="6"/>
  <c r="C67" i="6"/>
  <c r="B67" i="6"/>
  <c r="M67" i="6" s="1"/>
  <c r="N67" i="6" s="1"/>
  <c r="O67" i="6" s="1"/>
  <c r="M59" i="6" s="1"/>
  <c r="S55" i="6"/>
  <c r="R55" i="6"/>
  <c r="Q55" i="6"/>
  <c r="P55" i="6"/>
  <c r="T55" i="6" s="1"/>
  <c r="U55" i="6" s="1"/>
  <c r="V55" i="6" s="1"/>
  <c r="T45" i="6" s="1"/>
  <c r="O55" i="6"/>
  <c r="N55" i="6"/>
  <c r="M55" i="6"/>
  <c r="J55" i="6"/>
  <c r="K55" i="6" s="1"/>
  <c r="I45" i="6" s="1"/>
  <c r="H55" i="6"/>
  <c r="G55" i="6"/>
  <c r="F55" i="6"/>
  <c r="E55" i="6"/>
  <c r="D55" i="6"/>
  <c r="C55" i="6"/>
  <c r="B55" i="6"/>
  <c r="I55" i="6" s="1"/>
  <c r="S54" i="6"/>
  <c r="R54" i="6"/>
  <c r="Q54" i="6"/>
  <c r="P54" i="6"/>
  <c r="O54" i="6"/>
  <c r="N54" i="6"/>
  <c r="M54" i="6"/>
  <c r="T54" i="6" s="1"/>
  <c r="U54" i="6" s="1"/>
  <c r="V54" i="6" s="1"/>
  <c r="T44" i="6" s="1"/>
  <c r="H54" i="6"/>
  <c r="G54" i="6"/>
  <c r="F54" i="6"/>
  <c r="E54" i="6"/>
  <c r="D54" i="6"/>
  <c r="C54" i="6"/>
  <c r="B54" i="6"/>
  <c r="I54" i="6" s="1"/>
  <c r="J54" i="6" s="1"/>
  <c r="K54" i="6" s="1"/>
  <c r="I44" i="6" s="1"/>
  <c r="S53" i="6"/>
  <c r="R53" i="6"/>
  <c r="T53" i="6" s="1"/>
  <c r="U53" i="6" s="1"/>
  <c r="V53" i="6" s="1"/>
  <c r="T43" i="6" s="1"/>
  <c r="Q53" i="6"/>
  <c r="P53" i="6"/>
  <c r="O53" i="6"/>
  <c r="N53" i="6"/>
  <c r="M53" i="6"/>
  <c r="H53" i="6"/>
  <c r="G53" i="6"/>
  <c r="F53" i="6"/>
  <c r="E53" i="6"/>
  <c r="D53" i="6"/>
  <c r="C53" i="6"/>
  <c r="B53" i="6"/>
  <c r="I53" i="6" s="1"/>
  <c r="J53" i="6" s="1"/>
  <c r="K53" i="6" s="1"/>
  <c r="I43" i="6" s="1"/>
  <c r="S52" i="6"/>
  <c r="R52" i="6"/>
  <c r="Q52" i="6"/>
  <c r="P52" i="6"/>
  <c r="O52" i="6"/>
  <c r="N52" i="6"/>
  <c r="M52" i="6"/>
  <c r="T52" i="6" s="1"/>
  <c r="U52" i="6" s="1"/>
  <c r="V52" i="6" s="1"/>
  <c r="T42" i="6" s="1"/>
  <c r="H52" i="6"/>
  <c r="G52" i="6"/>
  <c r="F52" i="6"/>
  <c r="E52" i="6"/>
  <c r="D52" i="6"/>
  <c r="C52" i="6"/>
  <c r="B52" i="6"/>
  <c r="S51" i="6"/>
  <c r="R51" i="6"/>
  <c r="Q51" i="6"/>
  <c r="P51" i="6"/>
  <c r="O51" i="6"/>
  <c r="N51" i="6"/>
  <c r="M51" i="6"/>
  <c r="T51" i="6" s="1"/>
  <c r="U51" i="6" s="1"/>
  <c r="V51" i="6" s="1"/>
  <c r="T41" i="6" s="1"/>
  <c r="H51" i="6"/>
  <c r="G51" i="6"/>
  <c r="F51" i="6"/>
  <c r="E51" i="6"/>
  <c r="D51" i="6"/>
  <c r="C51" i="6"/>
  <c r="I51" i="6" s="1"/>
  <c r="J51" i="6" s="1"/>
  <c r="K51" i="6" s="1"/>
  <c r="I41" i="6" s="1"/>
  <c r="B51" i="6"/>
  <c r="S50" i="6"/>
  <c r="R50" i="6"/>
  <c r="Q50" i="6"/>
  <c r="P50" i="6"/>
  <c r="O50" i="6"/>
  <c r="N50" i="6"/>
  <c r="M50" i="6"/>
  <c r="T50" i="6" s="1"/>
  <c r="U50" i="6" s="1"/>
  <c r="V50" i="6" s="1"/>
  <c r="T40" i="6" s="1"/>
  <c r="H50" i="6"/>
  <c r="G50" i="6"/>
  <c r="F50" i="6"/>
  <c r="E50" i="6"/>
  <c r="D50" i="6"/>
  <c r="C50" i="6"/>
  <c r="B50" i="6"/>
  <c r="I50" i="6" s="1"/>
  <c r="J50" i="6" s="1"/>
  <c r="K50" i="6" s="1"/>
  <c r="I40" i="6" s="1"/>
  <c r="T49" i="6"/>
  <c r="U49" i="6" s="1"/>
  <c r="V49" i="6" s="1"/>
  <c r="T39" i="6" s="1"/>
  <c r="S49" i="6"/>
  <c r="R49" i="6"/>
  <c r="Q49" i="6"/>
  <c r="P49" i="6"/>
  <c r="O49" i="6"/>
  <c r="N49" i="6"/>
  <c r="M49" i="6"/>
  <c r="H49" i="6"/>
  <c r="G49" i="6"/>
  <c r="F49" i="6"/>
  <c r="E49" i="6"/>
  <c r="D49" i="6"/>
  <c r="C49" i="6"/>
  <c r="B49" i="6"/>
  <c r="I49" i="6" s="1"/>
  <c r="J49" i="6" s="1"/>
  <c r="K49" i="6" s="1"/>
  <c r="I39" i="6" s="1"/>
  <c r="V26" i="6"/>
  <c r="R26" i="6"/>
  <c r="P26" i="6"/>
  <c r="S26" i="6" s="1"/>
  <c r="M26" i="6"/>
  <c r="L26" i="6"/>
  <c r="V25" i="6"/>
  <c r="S25" i="6"/>
  <c r="R25" i="6"/>
  <c r="P25" i="6"/>
  <c r="L25" i="6"/>
  <c r="M25" i="6" s="1"/>
  <c r="V24" i="6"/>
  <c r="R24" i="6"/>
  <c r="P24" i="6"/>
  <c r="S24" i="6" s="1"/>
  <c r="M24" i="6"/>
  <c r="L24" i="6"/>
  <c r="V23" i="6"/>
  <c r="S23" i="6"/>
  <c r="R23" i="6"/>
  <c r="P23" i="6"/>
  <c r="L23" i="6"/>
  <c r="M23" i="6" s="1"/>
  <c r="V22" i="6"/>
  <c r="R22" i="6"/>
  <c r="P22" i="6"/>
  <c r="S22" i="6" s="1"/>
  <c r="M22" i="6"/>
  <c r="L22" i="6"/>
  <c r="V21" i="6"/>
  <c r="S21" i="6"/>
  <c r="R21" i="6"/>
  <c r="P21" i="6"/>
  <c r="L21" i="6"/>
  <c r="M21" i="6" s="1"/>
  <c r="V20" i="6"/>
  <c r="R20" i="6"/>
  <c r="P20" i="6"/>
  <c r="S20" i="6" s="1"/>
  <c r="M20" i="6"/>
  <c r="L20" i="6"/>
  <c r="V19" i="6"/>
  <c r="S19" i="6"/>
  <c r="R19" i="6"/>
  <c r="P19" i="6"/>
  <c r="L19" i="6"/>
  <c r="M19" i="6" s="1"/>
  <c r="V18" i="6"/>
  <c r="R18" i="6"/>
  <c r="P18" i="6"/>
  <c r="S18" i="6" s="1"/>
  <c r="M18" i="6"/>
  <c r="L18" i="6"/>
  <c r="V17" i="6"/>
  <c r="S17" i="6"/>
  <c r="R17" i="6"/>
  <c r="P17" i="6"/>
  <c r="L17" i="6"/>
  <c r="M17" i="6" s="1"/>
  <c r="V14" i="6"/>
  <c r="R14" i="6"/>
  <c r="S14" i="6" s="1"/>
  <c r="P14" i="6"/>
  <c r="L14" i="6"/>
  <c r="M14" i="6" s="1"/>
  <c r="X14" i="6" s="1"/>
  <c r="Y14" i="6" s="1"/>
  <c r="V13" i="6"/>
  <c r="S13" i="6"/>
  <c r="R13" i="6"/>
  <c r="P13" i="6"/>
  <c r="L13" i="6"/>
  <c r="M13" i="6" s="1"/>
  <c r="X13" i="6" s="1"/>
  <c r="Y13" i="6" s="1"/>
  <c r="V12" i="6"/>
  <c r="S12" i="6"/>
  <c r="R12" i="6"/>
  <c r="P12" i="6"/>
  <c r="L12" i="6"/>
  <c r="M12" i="6" s="1"/>
  <c r="X12" i="6" s="1"/>
  <c r="Y12" i="6" s="1"/>
  <c r="V11" i="6"/>
  <c r="R11" i="6"/>
  <c r="S11" i="6" s="1"/>
  <c r="P11" i="6"/>
  <c r="L11" i="6"/>
  <c r="M11" i="6" s="1"/>
  <c r="X11" i="6" s="1"/>
  <c r="Y11" i="6" s="1"/>
  <c r="V10" i="6"/>
  <c r="S10" i="6"/>
  <c r="R10" i="6"/>
  <c r="P10" i="6"/>
  <c r="L10" i="6"/>
  <c r="M10" i="6" s="1"/>
  <c r="X10" i="6" s="1"/>
  <c r="Y10" i="6" s="1"/>
  <c r="V9" i="6"/>
  <c r="S9" i="6"/>
  <c r="R9" i="6"/>
  <c r="P9" i="6"/>
  <c r="L9" i="6"/>
  <c r="M9" i="6" s="1"/>
  <c r="X9" i="6" s="1"/>
  <c r="Y9" i="6" s="1"/>
  <c r="V8" i="6"/>
  <c r="R8" i="6"/>
  <c r="S8" i="6" s="1"/>
  <c r="P8" i="6"/>
  <c r="L8" i="6"/>
  <c r="M8" i="6" s="1"/>
  <c r="X8" i="6" s="1"/>
  <c r="Y8" i="6" s="1"/>
  <c r="V7" i="6"/>
  <c r="S7" i="6"/>
  <c r="R7" i="6"/>
  <c r="P7" i="6"/>
  <c r="L7" i="6"/>
  <c r="M7" i="6" s="1"/>
  <c r="X7" i="6" s="1"/>
  <c r="Y7" i="6" s="1"/>
  <c r="V6" i="6"/>
  <c r="S6" i="6"/>
  <c r="R6" i="6"/>
  <c r="P6" i="6"/>
  <c r="L6" i="6"/>
  <c r="M6" i="6" s="1"/>
  <c r="X6" i="6" s="1"/>
  <c r="Y6" i="6" s="1"/>
  <c r="V5" i="6"/>
  <c r="R5" i="6"/>
  <c r="S5" i="6" s="1"/>
  <c r="P5" i="6"/>
  <c r="L5" i="6"/>
  <c r="M5" i="6" s="1"/>
  <c r="X5" i="6" s="1"/>
  <c r="Y5" i="6" s="1"/>
  <c r="V4" i="6"/>
  <c r="S4" i="6"/>
  <c r="R4" i="6"/>
  <c r="P4" i="6"/>
  <c r="L4" i="6"/>
  <c r="M4" i="6" s="1"/>
  <c r="X4" i="6" s="1"/>
  <c r="Y4" i="6" s="1"/>
  <c r="F29" i="5"/>
  <c r="N28" i="5"/>
  <c r="O28" i="5" s="1"/>
  <c r="Q28" i="5" s="1"/>
  <c r="H28" i="5"/>
  <c r="F28" i="5"/>
  <c r="F27" i="5"/>
  <c r="H27" i="5" s="1"/>
  <c r="F26" i="5"/>
  <c r="H26" i="5" s="1"/>
  <c r="F25" i="5"/>
  <c r="H25" i="5" s="1"/>
  <c r="F24" i="5"/>
  <c r="H24" i="5" s="1"/>
  <c r="F23" i="5"/>
  <c r="H23" i="5" s="1"/>
  <c r="F22" i="5"/>
  <c r="H22" i="5" s="1"/>
  <c r="H21" i="5"/>
  <c r="F21" i="5"/>
  <c r="N20" i="5"/>
  <c r="N21" i="5" s="1"/>
  <c r="H20" i="5"/>
  <c r="H32" i="5" s="1"/>
  <c r="F20" i="5"/>
  <c r="H12" i="5"/>
  <c r="E11" i="5"/>
  <c r="N11" i="5" s="1"/>
  <c r="W10" i="5"/>
  <c r="X10" i="5" s="1"/>
  <c r="Z10" i="5" s="1"/>
  <c r="O10" i="5"/>
  <c r="Q10" i="5" s="1"/>
  <c r="N10" i="5"/>
  <c r="H10" i="5"/>
  <c r="F10" i="5"/>
  <c r="E10" i="5"/>
  <c r="W9" i="5"/>
  <c r="N27" i="5" s="1"/>
  <c r="O27" i="5" s="1"/>
  <c r="Q27" i="5" s="1"/>
  <c r="N9" i="5"/>
  <c r="O9" i="5" s="1"/>
  <c r="Q9" i="5" s="1"/>
  <c r="F9" i="5"/>
  <c r="H9" i="5" s="1"/>
  <c r="E9" i="5"/>
  <c r="N8" i="5"/>
  <c r="W8" i="5" s="1"/>
  <c r="E8" i="5"/>
  <c r="F8" i="5" s="1"/>
  <c r="H8" i="5" s="1"/>
  <c r="E7" i="5"/>
  <c r="N7" i="5" s="1"/>
  <c r="H6" i="5"/>
  <c r="N5" i="5"/>
  <c r="N24" i="5" s="1"/>
  <c r="O24" i="5" s="1"/>
  <c r="Q24" i="5" s="1"/>
  <c r="E5" i="5"/>
  <c r="F5" i="5" s="1"/>
  <c r="H5" i="5" s="1"/>
  <c r="E4" i="5"/>
  <c r="N4" i="5" s="1"/>
  <c r="I37" i="4"/>
  <c r="H37" i="4"/>
  <c r="G37" i="4"/>
  <c r="F37" i="4"/>
  <c r="E37" i="4"/>
  <c r="C37" i="4"/>
  <c r="B37" i="4"/>
  <c r="J37" i="4" s="1"/>
  <c r="K37" i="4" s="1"/>
  <c r="L37" i="4" s="1"/>
  <c r="J27" i="4" s="1"/>
  <c r="I36" i="4"/>
  <c r="H36" i="4"/>
  <c r="G36" i="4"/>
  <c r="F36" i="4"/>
  <c r="E36" i="4"/>
  <c r="C36" i="4"/>
  <c r="B36" i="4"/>
  <c r="J36" i="4" s="1"/>
  <c r="K36" i="4" s="1"/>
  <c r="L36" i="4" s="1"/>
  <c r="J26" i="4" s="1"/>
  <c r="I35" i="4"/>
  <c r="H35" i="4"/>
  <c r="G35" i="4"/>
  <c r="F35" i="4"/>
  <c r="E35" i="4"/>
  <c r="C35" i="4"/>
  <c r="J35" i="4" s="1"/>
  <c r="K35" i="4" s="1"/>
  <c r="L35" i="4" s="1"/>
  <c r="J25" i="4" s="1"/>
  <c r="B35" i="4"/>
  <c r="I34" i="4"/>
  <c r="H34" i="4"/>
  <c r="G34" i="4"/>
  <c r="F34" i="4"/>
  <c r="E34" i="4"/>
  <c r="C34" i="4"/>
  <c r="B34" i="4"/>
  <c r="J34" i="4" s="1"/>
  <c r="K34" i="4" s="1"/>
  <c r="L34" i="4" s="1"/>
  <c r="J24" i="4" s="1"/>
  <c r="I33" i="4"/>
  <c r="H33" i="4"/>
  <c r="G33" i="4"/>
  <c r="F33" i="4"/>
  <c r="E33" i="4"/>
  <c r="C33" i="4"/>
  <c r="J33" i="4" s="1"/>
  <c r="K33" i="4" s="1"/>
  <c r="L33" i="4" s="1"/>
  <c r="J23" i="4" s="1"/>
  <c r="B33" i="4"/>
  <c r="J32" i="4"/>
  <c r="K32" i="4" s="1"/>
  <c r="L32" i="4" s="1"/>
  <c r="J22" i="4" s="1"/>
  <c r="I32" i="4"/>
  <c r="H32" i="4"/>
  <c r="G32" i="4"/>
  <c r="F32" i="4"/>
  <c r="E32" i="4"/>
  <c r="C32" i="4"/>
  <c r="B32" i="4"/>
  <c r="I31" i="4"/>
  <c r="H31" i="4"/>
  <c r="G31" i="4"/>
  <c r="F31" i="4"/>
  <c r="E31" i="4"/>
  <c r="C31" i="4"/>
  <c r="B31" i="4"/>
  <c r="J31" i="4" s="1"/>
  <c r="K31" i="4" s="1"/>
  <c r="L31" i="4" s="1"/>
  <c r="J21" i="4" s="1"/>
  <c r="G17" i="4"/>
  <c r="F17" i="4"/>
  <c r="E17" i="4"/>
  <c r="D17" i="4"/>
  <c r="I17" i="4" s="1"/>
  <c r="J17" i="4" s="1"/>
  <c r="K17" i="4" s="1"/>
  <c r="I8" i="4" s="1"/>
  <c r="B17" i="4"/>
  <c r="G16" i="4"/>
  <c r="F16" i="4"/>
  <c r="E16" i="4"/>
  <c r="D16" i="4"/>
  <c r="I16" i="4" s="1"/>
  <c r="J16" i="4" s="1"/>
  <c r="K16" i="4" s="1"/>
  <c r="I7" i="4" s="1"/>
  <c r="B16" i="4"/>
  <c r="R15" i="4"/>
  <c r="S15" i="4" s="1"/>
  <c r="T15" i="4" s="1"/>
  <c r="R6" i="4" s="1"/>
  <c r="Q15" i="4"/>
  <c r="P15" i="4"/>
  <c r="O15" i="4"/>
  <c r="N15" i="4"/>
  <c r="G15" i="4"/>
  <c r="F15" i="4"/>
  <c r="E15" i="4"/>
  <c r="D15" i="4"/>
  <c r="B15" i="4"/>
  <c r="I15" i="4" s="1"/>
  <c r="J15" i="4" s="1"/>
  <c r="K15" i="4" s="1"/>
  <c r="I6" i="4" s="1"/>
  <c r="Q14" i="4"/>
  <c r="P14" i="4"/>
  <c r="O14" i="4"/>
  <c r="N14" i="4"/>
  <c r="R14" i="4" s="1"/>
  <c r="S14" i="4" s="1"/>
  <c r="T14" i="4" s="1"/>
  <c r="R5" i="4" s="1"/>
  <c r="G14" i="4"/>
  <c r="F14" i="4"/>
  <c r="I14" i="4" s="1"/>
  <c r="J14" i="4" s="1"/>
  <c r="K14" i="4" s="1"/>
  <c r="I5" i="4" s="1"/>
  <c r="E14" i="4"/>
  <c r="D14" i="4"/>
  <c r="B14" i="4"/>
  <c r="Q13" i="4"/>
  <c r="P13" i="4"/>
  <c r="O13" i="4"/>
  <c r="N13" i="4"/>
  <c r="R13" i="4" s="1"/>
  <c r="S13" i="4" s="1"/>
  <c r="T13" i="4" s="1"/>
  <c r="R4" i="4" s="1"/>
  <c r="G13" i="4"/>
  <c r="F13" i="4"/>
  <c r="E13" i="4"/>
  <c r="D13" i="4"/>
  <c r="I13" i="4" s="1"/>
  <c r="J13" i="4" s="1"/>
  <c r="K13" i="4" s="1"/>
  <c r="I4" i="4" s="1"/>
  <c r="B13" i="4"/>
  <c r="Q12" i="4"/>
  <c r="P12" i="4"/>
  <c r="O12" i="4"/>
  <c r="N12" i="4"/>
  <c r="R12" i="4" s="1"/>
  <c r="S12" i="4" s="1"/>
  <c r="T12" i="4" s="1"/>
  <c r="R3" i="4" s="1"/>
  <c r="H12" i="4"/>
  <c r="G12" i="4"/>
  <c r="F12" i="4"/>
  <c r="E12" i="4"/>
  <c r="D12" i="4"/>
  <c r="B12" i="4"/>
  <c r="I12" i="4" s="1"/>
  <c r="J12" i="4" s="1"/>
  <c r="K12" i="4" s="1"/>
  <c r="I3" i="4" s="1"/>
  <c r="AF19" i="3"/>
  <c r="AG19" i="3" s="1"/>
  <c r="AI19" i="3" s="1"/>
  <c r="AF12" i="3"/>
  <c r="AG12" i="3" s="1"/>
  <c r="AI12" i="3" s="1"/>
  <c r="X12" i="3"/>
  <c r="Z12" i="3" s="1"/>
  <c r="AF11" i="3"/>
  <c r="AG11" i="3" s="1"/>
  <c r="AI11" i="3" s="1"/>
  <c r="X11" i="3"/>
  <c r="Z11" i="3" s="1"/>
  <c r="O11" i="3"/>
  <c r="Q11" i="3" s="1"/>
  <c r="H11" i="3"/>
  <c r="F11" i="3"/>
  <c r="AF10" i="3"/>
  <c r="AG10" i="3" s="1"/>
  <c r="AI10" i="3" s="1"/>
  <c r="W10" i="3"/>
  <c r="X10" i="3" s="1"/>
  <c r="Z10" i="3" s="1"/>
  <c r="O10" i="3"/>
  <c r="Q10" i="3" s="1"/>
  <c r="F10" i="3"/>
  <c r="H10" i="3" s="1"/>
  <c r="AF9" i="3"/>
  <c r="AG9" i="3" s="1"/>
  <c r="AI9" i="3" s="1"/>
  <c r="X9" i="3"/>
  <c r="Z9" i="3" s="1"/>
  <c r="W9" i="3"/>
  <c r="N9" i="3"/>
  <c r="O9" i="3" s="1"/>
  <c r="Q9" i="3" s="1"/>
  <c r="E9" i="3"/>
  <c r="F9" i="3" s="1"/>
  <c r="H9" i="3" s="1"/>
  <c r="AF8" i="3"/>
  <c r="AG8" i="3" s="1"/>
  <c r="AI8" i="3" s="1"/>
  <c r="X8" i="3"/>
  <c r="Z8" i="3" s="1"/>
  <c r="W8" i="3"/>
  <c r="AF7" i="3"/>
  <c r="AG7" i="3" s="1"/>
  <c r="AI7" i="3" s="1"/>
  <c r="X7" i="3"/>
  <c r="Z7" i="3" s="1"/>
  <c r="W7" i="3"/>
  <c r="E7" i="3"/>
  <c r="F7" i="3" s="1"/>
  <c r="H7" i="3" s="1"/>
  <c r="AF6" i="3"/>
  <c r="AG6" i="3" s="1"/>
  <c r="AI6" i="3" s="1"/>
  <c r="X6" i="3"/>
  <c r="Z6" i="3" s="1"/>
  <c r="W6" i="3"/>
  <c r="E6" i="3"/>
  <c r="F6" i="3" s="1"/>
  <c r="H6" i="3" s="1"/>
  <c r="X5" i="3"/>
  <c r="Z5" i="3" s="1"/>
  <c r="W5" i="3"/>
  <c r="N5" i="3"/>
  <c r="O5" i="3" s="1"/>
  <c r="Q5" i="3" s="1"/>
  <c r="E5" i="3"/>
  <c r="F5" i="3" s="1"/>
  <c r="H5" i="3" s="1"/>
  <c r="AF4" i="3"/>
  <c r="AG4" i="3" s="1"/>
  <c r="AI4" i="3" s="1"/>
  <c r="AG3" i="3"/>
  <c r="AI3" i="3" s="1"/>
  <c r="AF3" i="3"/>
  <c r="G32" i="1"/>
  <c r="G31" i="1"/>
  <c r="E31" i="1"/>
  <c r="G30" i="1"/>
  <c r="E30" i="1"/>
  <c r="J27" i="1"/>
  <c r="X15" i="1"/>
  <c r="U9" i="1"/>
  <c r="AI23" i="2"/>
  <c r="AG21" i="2"/>
  <c r="AI21" i="2" s="1"/>
  <c r="AF20" i="2"/>
  <c r="AG20" i="2" s="1"/>
  <c r="AI20" i="2" s="1"/>
  <c r="D10" i="11" s="1"/>
  <c r="AF18" i="2"/>
  <c r="AF17" i="3" s="1"/>
  <c r="AG17" i="3" s="1"/>
  <c r="AI17" i="3" s="1"/>
  <c r="AF17" i="2"/>
  <c r="AF16" i="3" s="1"/>
  <c r="AG16" i="3" s="1"/>
  <c r="AI16" i="3" s="1"/>
  <c r="E17" i="2"/>
  <c r="N17" i="2" s="1"/>
  <c r="AF16" i="2"/>
  <c r="AG16" i="2" s="1"/>
  <c r="AI16" i="2" s="1"/>
  <c r="X16" i="2"/>
  <c r="Z16" i="2" s="1"/>
  <c r="D8" i="11" s="1"/>
  <c r="W16" i="2"/>
  <c r="Q16" i="2"/>
  <c r="D7" i="11" s="1"/>
  <c r="O16" i="2"/>
  <c r="N16" i="2"/>
  <c r="E16" i="2"/>
  <c r="F16" i="2" s="1"/>
  <c r="H16" i="2" s="1"/>
  <c r="D5" i="11" s="1"/>
  <c r="AF15" i="2"/>
  <c r="AG15" i="2" s="1"/>
  <c r="AI15" i="2" s="1"/>
  <c r="X15" i="2"/>
  <c r="Z15" i="2" s="1"/>
  <c r="O15" i="2"/>
  <c r="Q15" i="2" s="1"/>
  <c r="H15" i="2"/>
  <c r="F15" i="2"/>
  <c r="AF14" i="2"/>
  <c r="AF13" i="3" s="1"/>
  <c r="AG13" i="3" s="1"/>
  <c r="AI13" i="3" s="1"/>
  <c r="X14" i="2"/>
  <c r="Z14" i="2" s="1"/>
  <c r="Q14" i="2"/>
  <c r="O14" i="2"/>
  <c r="H14" i="2"/>
  <c r="F14" i="2"/>
  <c r="AI13" i="2"/>
  <c r="B20" i="11" s="1"/>
  <c r="AG13" i="2"/>
  <c r="AF13" i="2"/>
  <c r="W13" i="2"/>
  <c r="X13" i="2" s="1"/>
  <c r="Z13" i="2" s="1"/>
  <c r="N13" i="2"/>
  <c r="O13" i="2" s="1"/>
  <c r="Q13" i="2" s="1"/>
  <c r="C5" i="11" s="1"/>
  <c r="H13" i="2"/>
  <c r="E13" i="2"/>
  <c r="AG12" i="2"/>
  <c r="AI12" i="2" s="1"/>
  <c r="W12" i="2"/>
  <c r="X12" i="2" s="1"/>
  <c r="Z12" i="2" s="1"/>
  <c r="AI11" i="2"/>
  <c r="AG11" i="2"/>
  <c r="Z11" i="2"/>
  <c r="F8" i="11" s="1"/>
  <c r="X11" i="2"/>
  <c r="W11" i="2"/>
  <c r="N11" i="2"/>
  <c r="N12" i="2" s="1"/>
  <c r="O12" i="2" s="1"/>
  <c r="Q12" i="2" s="1"/>
  <c r="E11" i="2"/>
  <c r="F11" i="2" s="1"/>
  <c r="H11" i="2" s="1"/>
  <c r="AG10" i="2"/>
  <c r="AI10" i="2" s="1"/>
  <c r="X10" i="2"/>
  <c r="Z10" i="2" s="1"/>
  <c r="W10" i="2"/>
  <c r="N10" i="2"/>
  <c r="O10" i="2" s="1"/>
  <c r="Q10" i="2" s="1"/>
  <c r="E10" i="2"/>
  <c r="F10" i="2" s="1"/>
  <c r="H10" i="2" s="1"/>
  <c r="AI9" i="2"/>
  <c r="AG9" i="2"/>
  <c r="W9" i="2"/>
  <c r="X9" i="2" s="1"/>
  <c r="Z9" i="2" s="1"/>
  <c r="H8" i="11" s="1"/>
  <c r="N9" i="2"/>
  <c r="O9" i="2" s="1"/>
  <c r="Q9" i="2" s="1"/>
  <c r="H7" i="11" s="1"/>
  <c r="F9" i="2"/>
  <c r="H9" i="2" s="1"/>
  <c r="H5" i="11" s="1"/>
  <c r="E9" i="2"/>
  <c r="AG8" i="2"/>
  <c r="AI8" i="2" s="1"/>
  <c r="X8" i="2"/>
  <c r="Z8" i="2" s="1"/>
  <c r="B18" i="11" s="1"/>
  <c r="B19" i="11" s="1"/>
  <c r="W8" i="2"/>
  <c r="Q8" i="2"/>
  <c r="B17" i="11" s="1"/>
  <c r="O8" i="2"/>
  <c r="N8" i="2"/>
  <c r="E8" i="2"/>
  <c r="F8" i="2" s="1"/>
  <c r="H8" i="2" s="1"/>
  <c r="B15" i="11" s="1"/>
  <c r="B16" i="11" s="1"/>
  <c r="B27" i="11" s="1"/>
  <c r="AG7" i="2"/>
  <c r="AI7" i="2" s="1"/>
  <c r="W7" i="2"/>
  <c r="X7" i="2" s="1"/>
  <c r="Z7" i="2" s="1"/>
  <c r="O7" i="2"/>
  <c r="Q7" i="2" s="1"/>
  <c r="N7" i="2"/>
  <c r="E7" i="2"/>
  <c r="F7" i="2" s="1"/>
  <c r="H7" i="2" s="1"/>
  <c r="AF6" i="2"/>
  <c r="AG6" i="2" s="1"/>
  <c r="AI6" i="2" s="1"/>
  <c r="W6" i="2"/>
  <c r="X6" i="2" s="1"/>
  <c r="Z6" i="2" s="1"/>
  <c r="O6" i="2"/>
  <c r="Q6" i="2" s="1"/>
  <c r="N6" i="2"/>
  <c r="E6" i="2"/>
  <c r="F6" i="2" s="1"/>
  <c r="H6" i="2" s="1"/>
  <c r="AI5" i="2"/>
  <c r="AG5" i="2"/>
  <c r="X5" i="2"/>
  <c r="Z5" i="2" s="1"/>
  <c r="Z3" i="3" s="1"/>
  <c r="Z15" i="3" s="1"/>
  <c r="W5" i="2"/>
  <c r="N5" i="2"/>
  <c r="O5" i="2" s="1"/>
  <c r="Q5" i="2" s="1"/>
  <c r="Q3" i="3" s="1"/>
  <c r="E5" i="2"/>
  <c r="F5" i="2" s="1"/>
  <c r="H5" i="2" s="1"/>
  <c r="AG4" i="2"/>
  <c r="AI4" i="2" s="1"/>
  <c r="W4" i="2"/>
  <c r="X4" i="2" s="1"/>
  <c r="Z4" i="2" s="1"/>
  <c r="O4" i="2"/>
  <c r="Q4" i="2" s="1"/>
  <c r="N4" i="2"/>
  <c r="H4" i="2"/>
  <c r="F4" i="2"/>
  <c r="E4" i="2"/>
  <c r="W17" i="2" l="1"/>
  <c r="O17" i="2"/>
  <c r="Q17" i="2" s="1"/>
  <c r="E7" i="11" s="1"/>
  <c r="N22" i="5"/>
  <c r="O22" i="5" s="1"/>
  <c r="Q22" i="5" s="1"/>
  <c r="O21" i="5"/>
  <c r="Q21" i="5" s="1"/>
  <c r="C6" i="11"/>
  <c r="C26" i="11"/>
  <c r="C27" i="11" s="1"/>
  <c r="C28" i="11" s="1"/>
  <c r="C29" i="11" s="1"/>
  <c r="C30" i="11" s="1"/>
  <c r="C31" i="11" s="1"/>
  <c r="E36" i="11"/>
  <c r="B8" i="11"/>
  <c r="B10" i="11"/>
  <c r="D31" i="11"/>
  <c r="D59" i="11"/>
  <c r="C79" i="11" s="1"/>
  <c r="F39" i="11"/>
  <c r="W4" i="5"/>
  <c r="X4" i="5" s="1"/>
  <c r="Z4" i="5" s="1"/>
  <c r="O4" i="5"/>
  <c r="Q4" i="5" s="1"/>
  <c r="N23" i="5"/>
  <c r="O23" i="5" s="1"/>
  <c r="Q23" i="5" s="1"/>
  <c r="AS9" i="7"/>
  <c r="AT9" i="7" s="1"/>
  <c r="AL9" i="7"/>
  <c r="AO9" i="7"/>
  <c r="AP9" i="7" s="1"/>
  <c r="H3" i="3"/>
  <c r="G54" i="11"/>
  <c r="I26" i="11"/>
  <c r="H6" i="11"/>
  <c r="F10" i="11"/>
  <c r="D9" i="11"/>
  <c r="D29" i="11"/>
  <c r="D57" i="11"/>
  <c r="I28" i="11"/>
  <c r="F77" i="11"/>
  <c r="G56" i="11"/>
  <c r="H37" i="11"/>
  <c r="G46" i="11" s="1"/>
  <c r="D26" i="11"/>
  <c r="D54" i="11"/>
  <c r="B7" i="11"/>
  <c r="H38" i="11"/>
  <c r="G47" i="11" s="1"/>
  <c r="G57" i="11"/>
  <c r="I29" i="11"/>
  <c r="H9" i="11"/>
  <c r="E78" i="11"/>
  <c r="E82" i="11"/>
  <c r="F57" i="11"/>
  <c r="F47" i="11" s="1"/>
  <c r="F29" i="11"/>
  <c r="F30" i="11" s="1"/>
  <c r="F9" i="11"/>
  <c r="W7" i="5"/>
  <c r="X7" i="5" s="1"/>
  <c r="Z7" i="5" s="1"/>
  <c r="O7" i="5"/>
  <c r="Q7" i="5" s="1"/>
  <c r="N25" i="5"/>
  <c r="O25" i="5" s="1"/>
  <c r="Q25" i="5" s="1"/>
  <c r="M8" i="7"/>
  <c r="N8" i="7" s="1"/>
  <c r="J8" i="7"/>
  <c r="N29" i="5"/>
  <c r="O29" i="5" s="1"/>
  <c r="W11" i="5"/>
  <c r="X11" i="5" s="1"/>
  <c r="O11" i="5"/>
  <c r="N26" i="5"/>
  <c r="O26" i="5" s="1"/>
  <c r="Q26" i="5" s="1"/>
  <c r="X8" i="5"/>
  <c r="Z8" i="5" s="1"/>
  <c r="AS11" i="7"/>
  <c r="AT11" i="7" s="1"/>
  <c r="AO11" i="7"/>
  <c r="AP11" i="7" s="1"/>
  <c r="O11" i="2"/>
  <c r="Q11" i="2" s="1"/>
  <c r="Q20" i="2" s="1"/>
  <c r="AG14" i="2"/>
  <c r="AI14" i="2" s="1"/>
  <c r="F17" i="2"/>
  <c r="H17" i="2" s="1"/>
  <c r="E5" i="11" s="1"/>
  <c r="AG18" i="2"/>
  <c r="AI18" i="2" s="1"/>
  <c r="N6" i="3"/>
  <c r="O6" i="3" s="1"/>
  <c r="Q6" i="3" s="1"/>
  <c r="N7" i="3"/>
  <c r="O7" i="3" s="1"/>
  <c r="Q7" i="3" s="1"/>
  <c r="F7" i="5"/>
  <c r="H7" i="5" s="1"/>
  <c r="O8" i="5"/>
  <c r="Q8" i="5" s="1"/>
  <c r="X9" i="5"/>
  <c r="Z9" i="5" s="1"/>
  <c r="F11" i="5"/>
  <c r="H11" i="5" s="1"/>
  <c r="AC5" i="7"/>
  <c r="AD5" i="7" s="1"/>
  <c r="Y5" i="7"/>
  <c r="Z5" i="7" s="1"/>
  <c r="Z48" i="7" s="1"/>
  <c r="Z52" i="7" s="1"/>
  <c r="Z53" i="7" s="1"/>
  <c r="E9" i="7"/>
  <c r="EC9" i="7"/>
  <c r="EC49" i="7" s="1"/>
  <c r="EC52" i="7" s="1"/>
  <c r="BR10" i="7"/>
  <c r="AL11" i="7"/>
  <c r="DP14" i="7"/>
  <c r="DQ14" i="7" s="1"/>
  <c r="O20" i="5"/>
  <c r="Q20" i="5" s="1"/>
  <c r="V48" i="7"/>
  <c r="DT5" i="7"/>
  <c r="DU5" i="7" s="1"/>
  <c r="DU49" i="7" s="1"/>
  <c r="DU52" i="7" s="1"/>
  <c r="DP5" i="7"/>
  <c r="DQ5" i="7" s="1"/>
  <c r="DM5" i="7"/>
  <c r="BI6" i="7"/>
  <c r="BJ6" i="7" s="1"/>
  <c r="BE6" i="7"/>
  <c r="BF6" i="7" s="1"/>
  <c r="BB6" i="7"/>
  <c r="EF9" i="7"/>
  <c r="EG9" i="7" s="1"/>
  <c r="BU10" i="7"/>
  <c r="BV10" i="7" s="1"/>
  <c r="EJ10" i="7"/>
  <c r="EK10" i="7" s="1"/>
  <c r="EK49" i="7" s="1"/>
  <c r="EK52" i="7" s="1"/>
  <c r="EF10" i="7"/>
  <c r="EG10" i="7" s="1"/>
  <c r="EG49" i="7" s="1"/>
  <c r="EG52" i="7" s="1"/>
  <c r="BE11" i="7"/>
  <c r="BF11" i="7" s="1"/>
  <c r="BB11" i="7"/>
  <c r="BY12" i="7"/>
  <c r="BZ12" i="7" s="1"/>
  <c r="BU12" i="7"/>
  <c r="BV12" i="7" s="1"/>
  <c r="BR12" i="7"/>
  <c r="DG15" i="7"/>
  <c r="AF14" i="3"/>
  <c r="AG14" i="3" s="1"/>
  <c r="AI14" i="3" s="1"/>
  <c r="F40" i="11" s="1"/>
  <c r="AL8" i="7"/>
  <c r="EC10" i="7"/>
  <c r="BI11" i="7"/>
  <c r="BJ11" i="7" s="1"/>
  <c r="I12" i="7"/>
  <c r="F12" i="7"/>
  <c r="AO8" i="7"/>
  <c r="AP8" i="7" s="1"/>
  <c r="AP49" i="7" s="1"/>
  <c r="AP52" i="7" s="1"/>
  <c r="EV10" i="7"/>
  <c r="EW10" i="7" s="1"/>
  <c r="ES10" i="7"/>
  <c r="B5" i="11"/>
  <c r="D56" i="11"/>
  <c r="C77" i="11"/>
  <c r="CO5" i="7"/>
  <c r="CP5" i="7" s="1"/>
  <c r="CP49" i="7" s="1"/>
  <c r="CP52" i="7" s="1"/>
  <c r="CK5" i="7"/>
  <c r="CL5" i="7" s="1"/>
  <c r="CL49" i="7" s="1"/>
  <c r="CL52" i="7" s="1"/>
  <c r="BY11" i="7"/>
  <c r="BZ11" i="7" s="1"/>
  <c r="BZ49" i="7" s="1"/>
  <c r="BZ52" i="7" s="1"/>
  <c r="BU11" i="7"/>
  <c r="BV11" i="7" s="1"/>
  <c r="EJ11" i="7"/>
  <c r="EK11" i="7" s="1"/>
  <c r="EF11" i="7"/>
  <c r="EG11" i="7" s="1"/>
  <c r="EC11" i="7"/>
  <c r="G27" i="11"/>
  <c r="E45" i="11"/>
  <c r="H20" i="2"/>
  <c r="F4" i="5"/>
  <c r="H4" i="5" s="1"/>
  <c r="O5" i="5"/>
  <c r="Q5" i="5" s="1"/>
  <c r="CH5" i="7"/>
  <c r="AC6" i="7"/>
  <c r="AD6" i="7" s="1"/>
  <c r="Y6" i="7"/>
  <c r="Z6" i="7" s="1"/>
  <c r="V6" i="7"/>
  <c r="AS8" i="7"/>
  <c r="AT8" i="7" s="1"/>
  <c r="AT49" i="7" s="1"/>
  <c r="AT52" i="7" s="1"/>
  <c r="EF8" i="7"/>
  <c r="EG8" i="7" s="1"/>
  <c r="AO10" i="7"/>
  <c r="AP10" i="7" s="1"/>
  <c r="BR11" i="7"/>
  <c r="BR49" i="7" s="1"/>
  <c r="BR52" i="7" s="1"/>
  <c r="ES14" i="7"/>
  <c r="AF5" i="3"/>
  <c r="AG5" i="3" s="1"/>
  <c r="AI5" i="3" s="1"/>
  <c r="AI22" i="3" s="1"/>
  <c r="AF15" i="3"/>
  <c r="AG15" i="3" s="1"/>
  <c r="AI15" i="3" s="1"/>
  <c r="I52" i="6"/>
  <c r="J52" i="6" s="1"/>
  <c r="K52" i="6" s="1"/>
  <c r="I42" i="6" s="1"/>
  <c r="M11" i="7"/>
  <c r="N11" i="7" s="1"/>
  <c r="J11" i="7"/>
  <c r="CK11" i="7"/>
  <c r="CL11" i="7" s="1"/>
  <c r="CH11" i="7"/>
  <c r="AS12" i="7"/>
  <c r="AT12" i="7" s="1"/>
  <c r="AO12" i="7"/>
  <c r="AP12" i="7" s="1"/>
  <c r="AL12" i="7"/>
  <c r="AL49" i="7" s="1"/>
  <c r="AL52" i="7" s="1"/>
  <c r="EV14" i="7"/>
  <c r="EW14" i="7" s="1"/>
  <c r="D28" i="11"/>
  <c r="E12" i="2"/>
  <c r="F12" i="2" s="1"/>
  <c r="H12" i="2" s="1"/>
  <c r="F5" i="11" s="1"/>
  <c r="K5" i="10"/>
  <c r="O5" i="10" s="1"/>
  <c r="E5" i="10" s="1"/>
  <c r="W15" i="8"/>
  <c r="K5" i="8"/>
  <c r="O5" i="8" s="1"/>
  <c r="E5" i="8" s="1"/>
  <c r="W15" i="10"/>
  <c r="W5" i="5"/>
  <c r="X5" i="5" s="1"/>
  <c r="Z5" i="5" s="1"/>
  <c r="CX5" i="7"/>
  <c r="F8" i="7"/>
  <c r="BU9" i="7"/>
  <c r="BV9" i="7" s="1"/>
  <c r="BV49" i="7" s="1"/>
  <c r="BV52" i="7" s="1"/>
  <c r="DG10" i="7"/>
  <c r="F11" i="7"/>
  <c r="CO11" i="7"/>
  <c r="CP11" i="7" s="1"/>
  <c r="BI5" i="7"/>
  <c r="BJ5" i="7" s="1"/>
  <c r="BE5" i="7"/>
  <c r="BF5" i="7" s="1"/>
  <c r="CX10" i="7"/>
  <c r="Y11" i="7"/>
  <c r="Z11" i="7" s="1"/>
  <c r="V11" i="7"/>
  <c r="M15" i="7"/>
  <c r="N15" i="7" s="1"/>
  <c r="J15" i="7"/>
  <c r="M17" i="7"/>
  <c r="N17" i="7" s="1"/>
  <c r="I17" i="7"/>
  <c r="J17" i="7" s="1"/>
  <c r="F17" i="7"/>
  <c r="DG17" i="7"/>
  <c r="DG19" i="7"/>
  <c r="K8" i="10"/>
  <c r="O8" i="10" s="1"/>
  <c r="E8" i="10" s="1"/>
  <c r="K8" i="8"/>
  <c r="O8" i="8" s="1"/>
  <c r="E8" i="8" s="1"/>
  <c r="W17" i="10"/>
  <c r="K7" i="10"/>
  <c r="O7" i="10" s="1"/>
  <c r="E7" i="10" s="1"/>
  <c r="W17" i="8"/>
  <c r="K7" i="8"/>
  <c r="O7" i="8" s="1"/>
  <c r="E7" i="8" s="1"/>
  <c r="AG17" i="2"/>
  <c r="AI17" i="2" s="1"/>
  <c r="H10" i="11" s="1"/>
  <c r="W16" i="10"/>
  <c r="W16" i="8"/>
  <c r="E8" i="3"/>
  <c r="M71" i="6"/>
  <c r="N71" i="6" s="1"/>
  <c r="O71" i="6" s="1"/>
  <c r="M63" i="6" s="1"/>
  <c r="J5" i="7"/>
  <c r="BB5" i="7"/>
  <c r="BB49" i="7" s="1"/>
  <c r="EZ5" i="7"/>
  <c r="FA5" i="7" s="1"/>
  <c r="FA49" i="7" s="1"/>
  <c r="FA52" i="7" s="1"/>
  <c r="EV5" i="7"/>
  <c r="EW5" i="7" s="1"/>
  <c r="ES5" i="7"/>
  <c r="CO6" i="7"/>
  <c r="CP6" i="7" s="1"/>
  <c r="DG6" i="7" s="1"/>
  <c r="CK6" i="7"/>
  <c r="CL6" i="7" s="1"/>
  <c r="CH6" i="7"/>
  <c r="DG8" i="7"/>
  <c r="M10" i="7"/>
  <c r="N10" i="7" s="1"/>
  <c r="J10" i="7"/>
  <c r="DE11" i="7"/>
  <c r="DF11" i="7" s="1"/>
  <c r="DG11" i="7" s="1"/>
  <c r="DA11" i="7"/>
  <c r="DB11" i="7" s="1"/>
  <c r="DB49" i="7" s="1"/>
  <c r="DB52" i="7" s="1"/>
  <c r="DG12" i="7"/>
  <c r="DG14" i="7"/>
  <c r="K6" i="10"/>
  <c r="O6" i="10" s="1"/>
  <c r="E6" i="10" s="1"/>
  <c r="E32" i="1"/>
  <c r="DP10" i="7"/>
  <c r="DQ10" i="7" s="1"/>
  <c r="DM10" i="7"/>
  <c r="G6" i="11"/>
  <c r="G31" i="11"/>
  <c r="DM11" i="7"/>
  <c r="BB15" i="7"/>
  <c r="CH15" i="7"/>
  <c r="E49" i="11"/>
  <c r="CX12" i="7"/>
  <c r="AL15" i="7"/>
  <c r="BR15" i="7"/>
  <c r="CX15" i="7"/>
  <c r="E48" i="11"/>
  <c r="DA12" i="7"/>
  <c r="DB12" i="7" s="1"/>
  <c r="AO15" i="7"/>
  <c r="AP15" i="7" s="1"/>
  <c r="BU15" i="7"/>
  <c r="BV15" i="7" s="1"/>
  <c r="DA15" i="7"/>
  <c r="DB15" i="7" s="1"/>
  <c r="EC15" i="7"/>
  <c r="DM7" i="7"/>
  <c r="ES7" i="7"/>
  <c r="V8" i="7"/>
  <c r="BB8" i="7"/>
  <c r="CH8" i="7"/>
  <c r="EC13" i="7"/>
  <c r="F14" i="7"/>
  <c r="AL14" i="7"/>
  <c r="BR14" i="7"/>
  <c r="CX14" i="7"/>
  <c r="BB17" i="7"/>
  <c r="CH17" i="7"/>
  <c r="F26" i="11" l="1"/>
  <c r="F27" i="11" s="1"/>
  <c r="F28" i="11" s="1"/>
  <c r="F54" i="11"/>
  <c r="F6" i="11"/>
  <c r="Q14" i="5"/>
  <c r="G59" i="11"/>
  <c r="H40" i="11"/>
  <c r="G49" i="11" s="1"/>
  <c r="I31" i="11"/>
  <c r="Z14" i="5"/>
  <c r="Q32" i="5"/>
  <c r="F59" i="11"/>
  <c r="F49" i="11" s="1"/>
  <c r="F31" i="11"/>
  <c r="N6" i="12"/>
  <c r="I6" i="12"/>
  <c r="V52" i="7"/>
  <c r="V53" i="7" s="1"/>
  <c r="N7" i="13"/>
  <c r="I7" i="13"/>
  <c r="D18" i="13"/>
  <c r="B56" i="11"/>
  <c r="B28" i="11"/>
  <c r="C37" i="11"/>
  <c r="CX49" i="7"/>
  <c r="CX52" i="7" s="1"/>
  <c r="I5" i="11"/>
  <c r="B26" i="11"/>
  <c r="J26" i="11" s="1"/>
  <c r="M26" i="11" s="1"/>
  <c r="B54" i="11"/>
  <c r="E79" i="11"/>
  <c r="F58" i="11"/>
  <c r="F48" i="11" s="1"/>
  <c r="H36" i="11"/>
  <c r="G45" i="11" s="1"/>
  <c r="G55" i="11"/>
  <c r="I27" i="11"/>
  <c r="ES49" i="7"/>
  <c r="ES52" i="7" s="1"/>
  <c r="E6" i="11"/>
  <c r="E55" i="11" s="1"/>
  <c r="E26" i="11"/>
  <c r="E27" i="11" s="1"/>
  <c r="E54" i="11"/>
  <c r="I6" i="11"/>
  <c r="E37" i="11"/>
  <c r="C7" i="11"/>
  <c r="EW49" i="7"/>
  <c r="EW52" i="7" s="1"/>
  <c r="H27" i="11"/>
  <c r="G36" i="11" s="1"/>
  <c r="G7" i="11"/>
  <c r="C78" i="11"/>
  <c r="D58" i="11"/>
  <c r="C82" i="11"/>
  <c r="D30" i="11"/>
  <c r="I9" i="7"/>
  <c r="F9" i="7"/>
  <c r="F49" i="7" s="1"/>
  <c r="H14" i="3"/>
  <c r="I18" i="12"/>
  <c r="D18" i="12"/>
  <c r="N18" i="13"/>
  <c r="I18" i="13"/>
  <c r="BB52" i="7"/>
  <c r="DM49" i="7"/>
  <c r="DM52" i="7" s="1"/>
  <c r="B31" i="11"/>
  <c r="C40" i="11"/>
  <c r="B59" i="11"/>
  <c r="BF49" i="7"/>
  <c r="BF52" i="7" s="1"/>
  <c r="BJ49" i="7"/>
  <c r="BJ52" i="7" s="1"/>
  <c r="CH49" i="7"/>
  <c r="DQ49" i="7"/>
  <c r="DQ52" i="7" s="1"/>
  <c r="AD48" i="7"/>
  <c r="AD52" i="7" s="1"/>
  <c r="AD53" i="7" s="1"/>
  <c r="G58" i="11"/>
  <c r="I30" i="11"/>
  <c r="F78" i="11" s="1"/>
  <c r="H39" i="11"/>
  <c r="G48" i="11" s="1"/>
  <c r="E56" i="11"/>
  <c r="E28" i="11"/>
  <c r="D77" i="11"/>
  <c r="DG5" i="7"/>
  <c r="X17" i="2"/>
  <c r="Z17" i="2" s="1"/>
  <c r="AF19" i="2"/>
  <c r="M12" i="7"/>
  <c r="N12" i="7" s="1"/>
  <c r="J12" i="7"/>
  <c r="F8" i="3"/>
  <c r="H8" i="3" s="1"/>
  <c r="F36" i="11" s="1"/>
  <c r="I36" i="11" s="1"/>
  <c r="N8" i="3"/>
  <c r="O8" i="3" s="1"/>
  <c r="Q8" i="3" s="1"/>
  <c r="F37" i="11" s="1"/>
  <c r="F38" i="11" s="1"/>
  <c r="H14" i="5"/>
  <c r="DF49" i="7"/>
  <c r="B9" i="11"/>
  <c r="C38" i="11"/>
  <c r="B57" i="11"/>
  <c r="B29" i="11"/>
  <c r="D6" i="12" l="1"/>
  <c r="D7" i="13"/>
  <c r="F52" i="7"/>
  <c r="H28" i="11"/>
  <c r="G37" i="11" s="1"/>
  <c r="G8" i="11"/>
  <c r="CH52" i="7"/>
  <c r="D29" i="13"/>
  <c r="N18" i="12"/>
  <c r="E38" i="11"/>
  <c r="C8" i="11"/>
  <c r="AF18" i="3"/>
  <c r="AG19" i="2"/>
  <c r="AI19" i="2" s="1"/>
  <c r="H54" i="11"/>
  <c r="F7" i="11"/>
  <c r="F55" i="11"/>
  <c r="F45" i="11" s="1"/>
  <c r="H45" i="11" s="1"/>
  <c r="D5" i="13"/>
  <c r="D11" i="13" s="1"/>
  <c r="D4" i="12"/>
  <c r="D11" i="12" s="1"/>
  <c r="C47" i="11"/>
  <c r="H47" i="11" s="1"/>
  <c r="C49" i="11"/>
  <c r="H49" i="11" s="1"/>
  <c r="M9" i="7"/>
  <c r="N9" i="7" s="1"/>
  <c r="N49" i="7" s="1"/>
  <c r="N52" i="7" s="1"/>
  <c r="J9" i="7"/>
  <c r="J49" i="7" s="1"/>
  <c r="J52" i="7" s="1"/>
  <c r="J27" i="11"/>
  <c r="M27" i="11" s="1"/>
  <c r="I37" i="11"/>
  <c r="Q14" i="3"/>
  <c r="E8" i="11"/>
  <c r="Z20" i="2"/>
  <c r="B58" i="11"/>
  <c r="B30" i="11"/>
  <c r="C39" i="11"/>
  <c r="H55" i="11"/>
  <c r="DG49" i="7"/>
  <c r="DF52" i="7"/>
  <c r="C46" i="11"/>
  <c r="C9" i="11" l="1"/>
  <c r="E39" i="11"/>
  <c r="I8" i="11"/>
  <c r="E9" i="11"/>
  <c r="D82" i="11"/>
  <c r="H82" i="11" s="1"/>
  <c r="E57" i="11"/>
  <c r="H57" i="11" s="1"/>
  <c r="E10" i="11"/>
  <c r="AI24" i="2"/>
  <c r="H29" i="11"/>
  <c r="G9" i="11"/>
  <c r="C48" i="11"/>
  <c r="H48" i="11" s="1"/>
  <c r="J28" i="11"/>
  <c r="M28" i="11" s="1"/>
  <c r="E77" i="11"/>
  <c r="H77" i="11" s="1"/>
  <c r="F56" i="11"/>
  <c r="I7" i="11"/>
  <c r="G38" i="11" l="1"/>
  <c r="I38" i="11" s="1"/>
  <c r="J29" i="11"/>
  <c r="M29" i="11" s="1"/>
  <c r="E31" i="11"/>
  <c r="E59" i="11"/>
  <c r="H59" i="11" s="1"/>
  <c r="D79" i="11"/>
  <c r="H79" i="11" s="1"/>
  <c r="N5" i="13"/>
  <c r="N11" i="13" s="1"/>
  <c r="I5" i="13"/>
  <c r="I11" i="13" s="1"/>
  <c r="D16" i="13"/>
  <c r="D22" i="13" s="1"/>
  <c r="N4" i="12"/>
  <c r="N11" i="12" s="1"/>
  <c r="I4" i="12"/>
  <c r="I11" i="12" s="1"/>
  <c r="F46" i="11"/>
  <c r="H46" i="11" s="1"/>
  <c r="H56" i="11"/>
  <c r="D78" i="11"/>
  <c r="H78" i="11" s="1"/>
  <c r="E58" i="11"/>
  <c r="H58" i="11" s="1"/>
  <c r="N16" i="13"/>
  <c r="N22" i="13" s="1"/>
  <c r="I16" i="13"/>
  <c r="I22" i="13" s="1"/>
  <c r="N16" i="12"/>
  <c r="N23" i="12" s="1"/>
  <c r="I16" i="12"/>
  <c r="I23" i="12" s="1"/>
  <c r="D27" i="13"/>
  <c r="D33" i="13" s="1"/>
  <c r="D16" i="12"/>
  <c r="D23" i="12" s="1"/>
  <c r="I9" i="11"/>
  <c r="G10" i="11"/>
  <c r="H31" i="11" s="1"/>
  <c r="G40" i="11" s="1"/>
  <c r="I40" i="11" s="1"/>
  <c r="H30" i="11"/>
  <c r="I10" i="11" l="1"/>
  <c r="J31" i="11"/>
  <c r="M31" i="11" s="1"/>
  <c r="G39" i="11"/>
  <c r="I39" i="11" s="1"/>
  <c r="J30" i="11"/>
  <c r="M3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J52" authorId="0" shapeId="0" xr:uid="{00000000-0006-0000-0600-000001000000}">
      <text>
        <r>
          <rPr>
            <sz val="11"/>
            <color theme="1"/>
            <rFont val="Calibri"/>
            <scheme val="minor"/>
          </rPr>
          <t>======
ID#AAABqJMoEqo
encon-pr07    (2025-08-28 12:15:57)
encon-pr07:</t>
        </r>
      </text>
    </comment>
  </commentList>
</comments>
</file>

<file path=xl/sharedStrings.xml><?xml version="1.0" encoding="utf-8"?>
<sst xmlns="http://schemas.openxmlformats.org/spreadsheetml/2006/main" count="4372" uniqueCount="1111">
  <si>
    <t>BURNER PARTS-2A/3A</t>
  </si>
  <si>
    <t>BURNER PARTS-4A</t>
  </si>
  <si>
    <t>BURNER PARTS-5A/6A</t>
  </si>
  <si>
    <t>BURNER PARTS-7A</t>
  </si>
  <si>
    <t>S.NO.</t>
  </si>
  <si>
    <t>PARTICULARS</t>
  </si>
  <si>
    <t>QTY</t>
  </si>
  <si>
    <t>UNIT</t>
  </si>
  <si>
    <t>RATE</t>
  </si>
  <si>
    <t>AMOUNT</t>
  </si>
  <si>
    <t>M/C COST</t>
  </si>
  <si>
    <t>TOTAL AMOUNT</t>
  </si>
  <si>
    <t>ENCON-2A/3A BASE PLATE</t>
  </si>
  <si>
    <t>Kgs</t>
  </si>
  <si>
    <t>ENCON-4A BASE PLATE</t>
  </si>
  <si>
    <t>ENCON-5A/6A BASE PLATE</t>
  </si>
  <si>
    <t>ENCON-7A AIR TUBE-205(dia)*180(I.D)*375(Lenth)</t>
  </si>
  <si>
    <t>ENCON-2A/3AAIR TUBE</t>
  </si>
  <si>
    <t>ENCON-4A AIR TUBE</t>
  </si>
  <si>
    <t>ENCON-5A/6AAIR TUBE</t>
  </si>
  <si>
    <t>M.S.FLANGE-300 (dia)* 195 (I.D)*12MM Thick</t>
  </si>
  <si>
    <t>ENCON-2A/3AS.G.HOLDER</t>
  </si>
  <si>
    <t>ENCON-4AS.G.HOLDER</t>
  </si>
  <si>
    <t>ENCON-5A/6AS.G.HOLDER</t>
  </si>
  <si>
    <t>M.S. PIPE-100NB*125MM</t>
  </si>
  <si>
    <t>NO</t>
  </si>
  <si>
    <t>ENCON-2A/3A AIR ADJUSTER</t>
  </si>
  <si>
    <t>ENCON-4A AIR ADJUSTER</t>
  </si>
  <si>
    <t>ENCON-5A/6A AIR ADJUSTER</t>
  </si>
  <si>
    <t>ENCON-7A AIR MIXER-86(dia)*72(I.D)*385(Lenth)</t>
  </si>
  <si>
    <t>ENCON-2A/3A S.S.ASSY.</t>
  </si>
  <si>
    <t>SET</t>
  </si>
  <si>
    <t>ENCON-4A S.S.ASSY.</t>
  </si>
  <si>
    <t>ENCON-5A/6A S.S.ASSY.</t>
  </si>
  <si>
    <t>M.S.TIKKY-300(dia)*80(I.D)*40MM Thick</t>
  </si>
  <si>
    <t>ENCON-2A/3A BUTTERFLY VALVE-2.5 (INCH )</t>
  </si>
  <si>
    <t>ENCON-4A BUTTERFLY VALVE-4 (INCH )</t>
  </si>
  <si>
    <t>ENCON-5A/6A BUTTERFLY VALVE-4 (INCH )</t>
  </si>
  <si>
    <t>ENCON-7A AIR TUBE-88(dia)*72(I.D)*135MM(Lenth)</t>
  </si>
  <si>
    <t>ENCON-2A/3A Y-STRAINER 20NB</t>
  </si>
  <si>
    <t>ENCON-4A Y-STRAINER 20NB</t>
  </si>
  <si>
    <t>ENCON-5A/6AY-STRAINER 20NB</t>
  </si>
  <si>
    <t>M.S.TIKKY- 175(dia)*80(I.D)*16MM Thick</t>
  </si>
  <si>
    <t>FLEXIBLE HOSE-15NB*750MM (OIL )</t>
  </si>
  <si>
    <t>FLEXIBLE HOSE-15NB*1000MM(OIL )</t>
  </si>
  <si>
    <t>M.S. TIKKY-90(dia)*40(I.D)*40MM Thick</t>
  </si>
  <si>
    <t>FLEXIBLE HOSE-15NB*750MM (AIR )</t>
  </si>
  <si>
    <t>FLEXIBLE HOSE-20NB*1000MM (AIR )</t>
  </si>
  <si>
    <t>ENCON-7A SPACER-80(dia)*40(I.D)*35MM(Lenth)</t>
  </si>
  <si>
    <t>GUN METAL MICRO VALVE -2A/3A</t>
  </si>
  <si>
    <t>GUN METAL MICRO VALVE -4A</t>
  </si>
  <si>
    <t>GUN METAL MICRO VALVE -5A/6A</t>
  </si>
  <si>
    <t>ENCON-7A S.S ASSY.</t>
  </si>
  <si>
    <t>Set</t>
  </si>
  <si>
    <t>ADOPTER 15NB*20NB (OIL)</t>
  </si>
  <si>
    <t>ENCON-7A MICRO VALVE</t>
  </si>
  <si>
    <t>ADOPTER 15NB*15NB (AIR)</t>
  </si>
  <si>
    <t>Nos</t>
  </si>
  <si>
    <t>ADOPTER 20NB*20NB (AIR)</t>
  </si>
  <si>
    <t>FLEXIBLE HOSE-20NB*1000MM (OIL )</t>
  </si>
  <si>
    <t>set</t>
  </si>
  <si>
    <t>ENCON-2A/3ABURNER PLATE</t>
  </si>
  <si>
    <t>ENCON-4ABURNER PLATE</t>
  </si>
  <si>
    <t>ENCON-5A/6ABURNER PLATE</t>
  </si>
  <si>
    <t>FLEXIBLE HOSE-25NB*1000MM (AIR )</t>
  </si>
  <si>
    <t>No</t>
  </si>
  <si>
    <t>ENCON-2A/3A BURNER BLOCK</t>
  </si>
  <si>
    <t>ENCON-4A BURNER BLOCK</t>
  </si>
  <si>
    <t>ENCON-5A/6A BURNER BLOCK</t>
  </si>
  <si>
    <t>Butterfly valve</t>
  </si>
  <si>
    <t>PAINT PRIMER,BOLT</t>
  </si>
  <si>
    <t>labour charge</t>
  </si>
  <si>
    <t>Y-STRAINER 25NB</t>
  </si>
  <si>
    <t>PAINT  PRIMER,BOLT</t>
  </si>
  <si>
    <t>ENCON-7A BURNER BLOCK</t>
  </si>
  <si>
    <t>TOTAL</t>
  </si>
  <si>
    <t>Burner plate</t>
  </si>
  <si>
    <t>H.V. BURNER-4A</t>
  </si>
  <si>
    <t>H.V. BURNER -5A/6A</t>
  </si>
  <si>
    <t>M.S.PIPE-50NB*100MM</t>
  </si>
  <si>
    <t>H.V. BURNER-2A/3A</t>
  </si>
  <si>
    <t>Labour charge</t>
  </si>
  <si>
    <t>Burner Size</t>
  </si>
  <si>
    <t>S.G. Assembly</t>
  </si>
  <si>
    <t>S.G. Holder</t>
  </si>
  <si>
    <t>Inner Tube</t>
  </si>
  <si>
    <t>Outer Tube</t>
  </si>
  <si>
    <t>Lock Nut</t>
  </si>
  <si>
    <t>Check Nut</t>
  </si>
  <si>
    <t>Swirler</t>
  </si>
  <si>
    <t>Base Plate</t>
  </si>
  <si>
    <t>Air Tube</t>
  </si>
  <si>
    <t>Air Adjuster</t>
  </si>
  <si>
    <t>ENCON-2A</t>
  </si>
  <si>
    <t>ENCON-3A</t>
  </si>
  <si>
    <t>ENCON-4A</t>
  </si>
  <si>
    <t>ENCON-5A</t>
  </si>
  <si>
    <t>ENCON-6A</t>
  </si>
  <si>
    <t>ENCON-7A</t>
  </si>
  <si>
    <t>Price List Data 17-07-21</t>
  </si>
  <si>
    <t>Price june 2025</t>
  </si>
  <si>
    <t>Previous Price</t>
  </si>
  <si>
    <t>C.I. Gills</t>
  </si>
  <si>
    <t>Bought Out Items</t>
  </si>
  <si>
    <t>ENCON PURCHASE PRICE</t>
  </si>
  <si>
    <t>C.I. Hub</t>
  </si>
  <si>
    <t>Price 2025</t>
  </si>
  <si>
    <t>Previous price</t>
  </si>
  <si>
    <t>ITEM</t>
  </si>
  <si>
    <t>PRICE (Rs.) 2025</t>
  </si>
  <si>
    <t>previous price</t>
  </si>
  <si>
    <t>Coupling</t>
  </si>
  <si>
    <t>Casting Burner Parts</t>
  </si>
  <si>
    <t>Per Kg</t>
  </si>
  <si>
    <t>SEQUENCE CONTROLLER</t>
  </si>
  <si>
    <t xml:space="preserve">Hardware Bolt  </t>
  </si>
  <si>
    <t>SS Assly 2A/3A</t>
  </si>
  <si>
    <t>VACUUM SWITCH</t>
  </si>
  <si>
    <t>M.S. Angle 100,100</t>
  </si>
  <si>
    <t>SS Assly 4A</t>
  </si>
  <si>
    <t>ARE-13 Burner Alone</t>
  </si>
  <si>
    <t>M.S. Angle 50*6</t>
  </si>
  <si>
    <t>SS Assly 5A/6A</t>
  </si>
  <si>
    <t>ARE-22 Burner Alone</t>
  </si>
  <si>
    <t>M.S. Angle 65,50</t>
  </si>
  <si>
    <t>SS Assly 7A</t>
  </si>
  <si>
    <t>ARE-35 Burner Alone</t>
  </si>
  <si>
    <t>M.S. Chanel</t>
  </si>
  <si>
    <t>Micro Valve 2A/3A</t>
  </si>
  <si>
    <t>ARE-50 Burner Alone</t>
  </si>
  <si>
    <t>M.S. Flat</t>
  </si>
  <si>
    <t>Micro Valve 4A</t>
  </si>
  <si>
    <t>ID FAN (ARE 13 &amp; ARE 22)</t>
  </si>
  <si>
    <t>M.S. Plate 16mm* 5mm</t>
  </si>
  <si>
    <t>Micro Valve 5A/6A</t>
  </si>
  <si>
    <t>ID FAN  (ARE 35)</t>
  </si>
  <si>
    <t>M.S. Plate 16mm*10mm</t>
  </si>
  <si>
    <t>Micro Valve 7A</t>
  </si>
  <si>
    <t>ID FAN (HEAVY DUTY)</t>
  </si>
  <si>
    <t>M.S. Plate 5mm</t>
  </si>
  <si>
    <t>ID FAN (TYPE O FAN)</t>
  </si>
  <si>
    <t>Check this fig</t>
  </si>
  <si>
    <t>M.S. Plate 8mm</t>
  </si>
  <si>
    <t>FLEXIBLE HOSE-15NB*1000MM (OIL )</t>
  </si>
  <si>
    <t xml:space="preserve">SOLENOID VALVE UNIT </t>
  </si>
  <si>
    <t>M.S. Round</t>
  </si>
  <si>
    <t>ELECTRODE ASSEMBLY</t>
  </si>
  <si>
    <t>M.S. Sheet  2mm</t>
  </si>
  <si>
    <t>NOISE FILTER</t>
  </si>
  <si>
    <t>M.S. Sheet  3mm</t>
  </si>
  <si>
    <t>INPUT SOCKET</t>
  </si>
  <si>
    <t>M.S. Sheet 4mm</t>
  </si>
  <si>
    <t>M.S. Sheet 5mm</t>
  </si>
  <si>
    <t>M.S. Sheet 8mm</t>
  </si>
  <si>
    <t>Butterfly Valve 2.5"</t>
  </si>
  <si>
    <t>M.S. Tube "B" Class 1.5 in</t>
  </si>
  <si>
    <t>Butterfly Valve 4"</t>
  </si>
  <si>
    <t>M.S. Tube "C" Class 1.5 in</t>
  </si>
  <si>
    <t>Butterfly Valve 6"</t>
  </si>
  <si>
    <t>M.S.Chanel</t>
  </si>
  <si>
    <t>ENCON-Y-STRAINER 20NB</t>
  </si>
  <si>
    <t>Plumber block with Bearing</t>
  </si>
  <si>
    <t>Whyteheat K</t>
  </si>
  <si>
    <t>Pulley with V belt</t>
  </si>
  <si>
    <t>Ball valve 25 NB</t>
  </si>
  <si>
    <t>S.S. Sheet 3mm</t>
  </si>
  <si>
    <t>SS Pipe</t>
  </si>
  <si>
    <t>Ball valve 20 NB</t>
  </si>
  <si>
    <t>Ceramic Fiber</t>
  </si>
  <si>
    <t>Pipe Kg/Mtr</t>
  </si>
  <si>
    <t>Ball valve 32 NB</t>
  </si>
  <si>
    <t>SS Pipe 304 60 X 3mm</t>
  </si>
  <si>
    <t>Ball valve 40 NB</t>
  </si>
  <si>
    <t>SS Pipe 304 76 X 3mm</t>
  </si>
  <si>
    <t>SS Pipe 304 100 X 3mm</t>
  </si>
  <si>
    <t>DEMBLA CONTROL VALVES</t>
  </si>
  <si>
    <t>Make: DEMBLA</t>
  </si>
  <si>
    <t>M.S. Elbow 60 OD</t>
  </si>
  <si>
    <t>Control Valve 050NB</t>
  </si>
  <si>
    <t>DEMBLA</t>
  </si>
  <si>
    <t>M.S. Elbow 76 OD</t>
  </si>
  <si>
    <t>Control Valve 065NB</t>
  </si>
  <si>
    <t>M.S. Elbow 100 OD</t>
  </si>
  <si>
    <t>Control Valve 080NB</t>
  </si>
  <si>
    <t>SS Elbow 60 OD</t>
  </si>
  <si>
    <t>Control Valve 100NB</t>
  </si>
  <si>
    <t>SS Elbow 76 OD</t>
  </si>
  <si>
    <t>Control Valve 125NB</t>
  </si>
  <si>
    <t>SS Elbow 100 OD</t>
  </si>
  <si>
    <t>Control Valve 150NB</t>
  </si>
  <si>
    <t>Control Valve 200NB</t>
  </si>
  <si>
    <t>Control Valve 250NB</t>
  </si>
  <si>
    <t>Control Valve 300NB</t>
  </si>
  <si>
    <t>Control Valve 350NB</t>
  </si>
  <si>
    <t>Control Valve 400NB</t>
  </si>
  <si>
    <t>Control Valve 450NB</t>
  </si>
  <si>
    <t>Control Valve 500NB</t>
  </si>
  <si>
    <t>Control Valve 600NB</t>
  </si>
  <si>
    <t>Control Valve 650NB</t>
  </si>
  <si>
    <t>Control Valve 700NB</t>
  </si>
  <si>
    <t>DEMBLA SHUT OFF VALVES</t>
  </si>
  <si>
    <t>Shut Off Valve 050NB</t>
  </si>
  <si>
    <t>Shut Off Valve 065NB</t>
  </si>
  <si>
    <t>Shut Off Valve 080NB</t>
  </si>
  <si>
    <t>Shut Off Valve 100NB</t>
  </si>
  <si>
    <t>Shut Off Valve 125NB</t>
  </si>
  <si>
    <t>Shut Off Valve 150NB</t>
  </si>
  <si>
    <t>Shut Off Valve 200NB</t>
  </si>
  <si>
    <t>Shut Off Valve 250NB</t>
  </si>
  <si>
    <t>Shut Off Valve 300NB</t>
  </si>
  <si>
    <t>Shut Off Valve 350NB</t>
  </si>
  <si>
    <t>Shut Off Valve 400NB</t>
  </si>
  <si>
    <t>Shut Off Valve 450NB</t>
  </si>
  <si>
    <t>Shut Off Valve 500NB</t>
  </si>
  <si>
    <t>Shut Off Valve 600NB</t>
  </si>
  <si>
    <t>Shut Off Valve 650NB</t>
  </si>
  <si>
    <t>Shut Off Valve 700NB</t>
  </si>
  <si>
    <t>CAIR MOTORIZED CONTROL VALVES</t>
  </si>
  <si>
    <t>Make: CAIR</t>
  </si>
  <si>
    <t>Motorized Control Valve 025NB (Globe)</t>
  </si>
  <si>
    <t>CAIR</t>
  </si>
  <si>
    <t>Motorized Control Valve 040NB</t>
  </si>
  <si>
    <t>Motorized Control Valve 050NB</t>
  </si>
  <si>
    <t>Motorized Control Valve 065NB</t>
  </si>
  <si>
    <t>Motorized Control Valve 080NB</t>
  </si>
  <si>
    <t>Motorized Control Valve 100NB</t>
  </si>
  <si>
    <t>Motorized Control Valve 125NB</t>
  </si>
  <si>
    <t>Motorized Control Valve 150NB</t>
  </si>
  <si>
    <t>Motorized Control Valve 200NB</t>
  </si>
  <si>
    <t>Motorized Control Valve 250NB</t>
  </si>
  <si>
    <t>Motorized Control Valve 300NB</t>
  </si>
  <si>
    <t>Motorized Control Valve 350NB</t>
  </si>
  <si>
    <t>CAIR SHUT OFF VALVES</t>
  </si>
  <si>
    <t>Shut Off Valve 025NB (Ball)</t>
  </si>
  <si>
    <t>Shut Off Valve 032NB (Ball)</t>
  </si>
  <si>
    <t>Shut Off Valve 040NB (Ball)</t>
  </si>
  <si>
    <t>Shut Off Valve 040NB (Butterfly)</t>
  </si>
  <si>
    <t>Shut Off Valve 050NB (Butterfly)</t>
  </si>
  <si>
    <t>Shut Off Valve 065NB (Butterfly)</t>
  </si>
  <si>
    <t>Shut Off Valve 080NB (Butterfly)</t>
  </si>
  <si>
    <t>Shut Off Valve 100NB (Butterfly)</t>
  </si>
  <si>
    <t>Shut Off Valve 125NB (Butterfly)</t>
  </si>
  <si>
    <t>Shut Off Valve 150NB (Butterfly)</t>
  </si>
  <si>
    <t>Shut Off Valve 200NB (Butterfly)</t>
  </si>
  <si>
    <t>Shut Off Valve 250NB (Butterfly)</t>
  </si>
  <si>
    <t>Shut Off Valve 300NB (Butterfly)</t>
  </si>
  <si>
    <t>Shut Off Valve 350NB (Butterfly)</t>
  </si>
  <si>
    <t>DPT</t>
  </si>
  <si>
    <t>HONEYWELL</t>
  </si>
  <si>
    <t>PRESSURE SWITCH LOW</t>
  </si>
  <si>
    <t>MADAS</t>
  </si>
  <si>
    <t>ORIFICE PLATE (incl. Flanges + Fasteners)</t>
  </si>
  <si>
    <t>ES</t>
  </si>
  <si>
    <t>Orifice Plate 025NB</t>
  </si>
  <si>
    <t>Orifice Plate 040NB</t>
  </si>
  <si>
    <t>Orifice Plate 050NB</t>
  </si>
  <si>
    <t>Orifice Plate 065NB</t>
  </si>
  <si>
    <t>Orifice Plate 080NB</t>
  </si>
  <si>
    <t>Orifice Plate 100NB</t>
  </si>
  <si>
    <t>Orifice Plate 150NB</t>
  </si>
  <si>
    <t>Orifice Plate 200NB</t>
  </si>
  <si>
    <t>Orifice Plate 250NB</t>
  </si>
  <si>
    <t>Orifice Plate 300NB</t>
  </si>
  <si>
    <t>Orifice Plate 350NB</t>
  </si>
  <si>
    <t>Orifice Plate 400NB</t>
  </si>
  <si>
    <t>Orifice Plate 450NB</t>
  </si>
  <si>
    <t>Orifice Plate 500NB</t>
  </si>
  <si>
    <t>Orifice Plate 550NB</t>
  </si>
  <si>
    <t>Orifice Plate 600NB</t>
  </si>
  <si>
    <t>ROTARY JOINT</t>
  </si>
  <si>
    <t>THIRD PARTY</t>
  </si>
  <si>
    <t>Rotary Joint 100NB</t>
  </si>
  <si>
    <t>Rotary Joint 150NB</t>
  </si>
  <si>
    <t>Rotary Joint 200NB</t>
  </si>
  <si>
    <t>Rotary Joint 250NB</t>
  </si>
  <si>
    <t>Rotary Joint 300NB</t>
  </si>
  <si>
    <t>Rotary Joint 350NB</t>
  </si>
  <si>
    <t>Rotary Joint 400NB</t>
  </si>
  <si>
    <t>Rotary Joint 450NB</t>
  </si>
  <si>
    <t>Rotary Joint 500NB</t>
  </si>
  <si>
    <t>Rotary Joint 600NB</t>
  </si>
  <si>
    <t>L&amp;T BALL VALVES</t>
  </si>
  <si>
    <t>L&amp;T</t>
  </si>
  <si>
    <t>L1RF1C CS Regular Flanged 015NB</t>
  </si>
  <si>
    <t>L1RF1C CS Regular Flanged 020NB</t>
  </si>
  <si>
    <t>L1RF1C CS Regular Flanged 025NB</t>
  </si>
  <si>
    <t>L1RF1C CS Regular Flanged 040NB</t>
  </si>
  <si>
    <t>L1RF1C CS Regular Flanged 050NB</t>
  </si>
  <si>
    <t>L1RF1C CS Regular Flanged 065NB</t>
  </si>
  <si>
    <t>L1RF1C CS Regular Flanged 080NB</t>
  </si>
  <si>
    <t>L1RF1C CS Regular Flanged 100NB</t>
  </si>
  <si>
    <t>L1RF1C CS Regular Flanged 150NB</t>
  </si>
  <si>
    <t>L1RF1S SS Regular Flanged 015NB</t>
  </si>
  <si>
    <t>L1RF1S SS Regular Flanged 020NB</t>
  </si>
  <si>
    <t>L1RF1S SS Regular Flanged 025NB</t>
  </si>
  <si>
    <t>L1RF1S SS Regular Flanged 040NB</t>
  </si>
  <si>
    <t>L1RF1S SS Regular Flanged 050NB</t>
  </si>
  <si>
    <t>L1RF1S SS Regular Flanged 065NB</t>
  </si>
  <si>
    <t>L1RF1S SS Regular Flanged 080NB</t>
  </si>
  <si>
    <t>L1RF1S SS Regular Flanged 100NB</t>
  </si>
  <si>
    <t>L1RF1S SS Regular Flanged 150NB</t>
  </si>
  <si>
    <t>L1RF3C CS Regular Flanged 015NB</t>
  </si>
  <si>
    <t>L1RF3C CS Regular Flanged 020NB</t>
  </si>
  <si>
    <t>L1RF3C CS Regular Flanged 025NB</t>
  </si>
  <si>
    <t>L1RF3C CS Regular Flanged 040NB</t>
  </si>
  <si>
    <t>L1RF3C CS Regular Flanged 050NB</t>
  </si>
  <si>
    <t>L1RF3C CS Regular Flanged 065NB</t>
  </si>
  <si>
    <t>L1RF3C CS Regular Flanged 080NB</t>
  </si>
  <si>
    <t>L1RF3C CS Regular Flanged 100NB</t>
  </si>
  <si>
    <t>L1RF3C CS Regular Flanged 150NB</t>
  </si>
  <si>
    <t>L1RF3S SS Regular Flanged 015NB</t>
  </si>
  <si>
    <t>L1RF3S SS Regular Flanged 020NB</t>
  </si>
  <si>
    <t>L1RF3S SS Regular Flanged 025NB</t>
  </si>
  <si>
    <t>L1RF3S SS Regular Flanged 040NB</t>
  </si>
  <si>
    <t>L1RF3S SS Regular Flanged 050NB</t>
  </si>
  <si>
    <t>L1RF3S SS Regular Flanged 065NB</t>
  </si>
  <si>
    <t>L1RF3S SS Regular Flanged 080NB</t>
  </si>
  <si>
    <t>L1RF3S SS Regular Flanged 100NB</t>
  </si>
  <si>
    <t>L1RF3S SS Regular Flanged 150NB</t>
  </si>
  <si>
    <t>L2FF1C CS Full Flanged 015NB</t>
  </si>
  <si>
    <t>L2FF1C CS Full Flanged 020NB</t>
  </si>
  <si>
    <t>L2FF1C CS Full Flanged 025NB</t>
  </si>
  <si>
    <t>L2FF1C CS Full Flanged 040NB</t>
  </si>
  <si>
    <t>L2FF1C CS Full Flanged 050NB</t>
  </si>
  <si>
    <t>L2FF1C CS Full Flanged 065NB</t>
  </si>
  <si>
    <t>L2FF1C CS Full Flanged 080NB</t>
  </si>
  <si>
    <t>L2FF1C CS Full Flanged 100NB</t>
  </si>
  <si>
    <t>L2FF1C CS Full Flanged 150NB</t>
  </si>
  <si>
    <t>L2FF1C CS Full Flanged 200NB</t>
  </si>
  <si>
    <t>L2FF1S SS Full Flanged 015NB</t>
  </si>
  <si>
    <t>L2FF1S SS Full Flanged 020NB</t>
  </si>
  <si>
    <t>L2FF1S SS Full Flanged 025NB</t>
  </si>
  <si>
    <t>L2FF1S SS Full Flanged 040NB</t>
  </si>
  <si>
    <t>L2FF1S SS Full Flanged 050NB</t>
  </si>
  <si>
    <t>L2FF1S SS Full Flanged 065NB</t>
  </si>
  <si>
    <t>L2FF1S SS Full Flanged 080NB</t>
  </si>
  <si>
    <t>L2FF1S SS Full Flanged 100NB</t>
  </si>
  <si>
    <t>L2FF1S SS Full Flanged 150NB</t>
  </si>
  <si>
    <t>L2FF1S SS Full Flanged 200NB</t>
  </si>
  <si>
    <t>L2FF3C CS Full Flanged 015NB</t>
  </si>
  <si>
    <t>L2FF3C CS Full Flanged 020NB</t>
  </si>
  <si>
    <t>L2FF3C CS Full Flanged 025NB</t>
  </si>
  <si>
    <t>L2FF3C CS Full Flanged 040NB</t>
  </si>
  <si>
    <t>L2FF3C CS Full Flanged 050NB</t>
  </si>
  <si>
    <t>L2FF3C CS Full Flanged 065NB</t>
  </si>
  <si>
    <t>L2FF3C CS Full Flanged 080NB</t>
  </si>
  <si>
    <t>L2FF3C CS Full Flanged 100NB</t>
  </si>
  <si>
    <t>L2FF3C CS Full Flanged 150NB</t>
  </si>
  <si>
    <t>L2FF3C CS Full Flanged 200NB</t>
  </si>
  <si>
    <t>L2FF3S SS Full Flanged 015NB</t>
  </si>
  <si>
    <t>L2FF3S SS Full Flanged 020NB</t>
  </si>
  <si>
    <t>L2FF3S SS Full Flanged 025NB</t>
  </si>
  <si>
    <t>L2FF3S SS Full Flanged 040NB</t>
  </si>
  <si>
    <t>L2FF3S SS Full Flanged 050NB</t>
  </si>
  <si>
    <t>L2FF3S SS Full Flanged 065NB</t>
  </si>
  <si>
    <t>L2FF3S SS Full Flanged 080NB</t>
  </si>
  <si>
    <t>L2FF3S SS Full Flanged 100NB</t>
  </si>
  <si>
    <t>L2FF3S SS Full Flanged 150NB</t>
  </si>
  <si>
    <t>L2FF3S SS Full Flanged 200NB</t>
  </si>
  <si>
    <t>L3FBTC/L3FSWC CS Full Screwed/SW 015NB</t>
  </si>
  <si>
    <t>L3FBTC/L3FSWC CS Full Screwed/SW 020NB</t>
  </si>
  <si>
    <t>L3FBTC/L3FSWC CS Full Screwed/SW 025NB</t>
  </si>
  <si>
    <t>L3FBTC/L3FSWC CS Full Screwed/SW 032NB</t>
  </si>
  <si>
    <t>L3FBTC/L3FSWC CS Full Screwed/SW 040NB</t>
  </si>
  <si>
    <t>L3FBTC/L3FSWC CS Full Screwed/SW 050NB</t>
  </si>
  <si>
    <t>L3FBTCF/L3FSWCF CS Full Screwed/SW 015NB</t>
  </si>
  <si>
    <t>L3FBTCF/L3FSWCF CS Full Screwed/SW 020NB</t>
  </si>
  <si>
    <t>L3FBTCF/L3FSWCF CS Full Screwed/SW 025NB</t>
  </si>
  <si>
    <t>L3FBTCF/L3FSWCF CS Full Screwed/SW 032NB</t>
  </si>
  <si>
    <t>L3FBTCF/L3FSWCF CS Full Screwed/SW 040NB</t>
  </si>
  <si>
    <t>L3FBTCF/L3FSWCF CS Full Screwed/SW 050NB</t>
  </si>
  <si>
    <t>L3FBTS/L3FSWS SS Full Screwed/SW 015NB</t>
  </si>
  <si>
    <t>L3FBTS/L3FSWS SS Full Screwed/SW 020NB</t>
  </si>
  <si>
    <t>L3FBTS/L3FSWS SS Full Screwed/SW 025NB</t>
  </si>
  <si>
    <t>L3FBTS/L3FSWS SS Full Screwed/SW 032NB</t>
  </si>
  <si>
    <t>L3FBTS/L3FSWS SS Full Screwed/SW 040NB</t>
  </si>
  <si>
    <t>L3FBTS/L3FSWS SS Full Screwed/SW 050NB</t>
  </si>
  <si>
    <t>L3RBTC/L3RSWC CS Regular Screwed/SW 015NB</t>
  </si>
  <si>
    <t>L3RBTC/L3RSWC CS Regular Screwed/SW 020NB</t>
  </si>
  <si>
    <t>L3RBTC/L3RSWC CS Regular Screwed/SW 025NB</t>
  </si>
  <si>
    <t>L3RBTC/L3RSWC CS Regular Screwed/SW 032NB</t>
  </si>
  <si>
    <t>L3RBTC/L3RSWC CS Regular Screwed/SW 040NB</t>
  </si>
  <si>
    <t>L3RBTC/L3RSWC CS Regular Screwed/SW 050NB</t>
  </si>
  <si>
    <t>L3RBTCF/L3RSWCF CS Regular Screwed/SW 015NB</t>
  </si>
  <si>
    <t>L3RBTCF/L3RSWCF CS Regular Screwed/SW 020NB</t>
  </si>
  <si>
    <t>L3RBTCF/L3RSWCF CS Regular Screwed/SW 025NB</t>
  </si>
  <si>
    <t>L3RBTCF/L3RSWCF CS Regular Screwed/SW 040NB</t>
  </si>
  <si>
    <t>L3RBTCF/L3RSWCF CS Regular Screwed/SW 050NB</t>
  </si>
  <si>
    <t>L3RBTS/L3RSWS SS Regular Screwed/SW 015NB</t>
  </si>
  <si>
    <t>L3RBTS/L3RSWS SS Regular Screwed/SW 020NB</t>
  </si>
  <si>
    <t>L3RBTS/L3RSWS SS Regular Screwed/SW 025NB</t>
  </si>
  <si>
    <t>L3RBTS/L3RSWS SS Regular Screwed/SW 032NB</t>
  </si>
  <si>
    <t>L3RBTS/L3RSWS SS Regular Screwed/SW 040NB</t>
  </si>
  <si>
    <t>L3RBTS/L3RSWS SS Regular Screwed/SW 050NB</t>
  </si>
  <si>
    <t>L3RF1C CS Regular Flanged 015NB</t>
  </si>
  <si>
    <t>L3RF1C CS Regular Flanged 020NB</t>
  </si>
  <si>
    <t>L3RF1C CS Regular Flanged 025NB</t>
  </si>
  <si>
    <t>L3RF1C CS Regular Flanged 040NB</t>
  </si>
  <si>
    <t>L3RF1C CS Regular Flanged 050NB</t>
  </si>
  <si>
    <t>L3RF1S SS Regular Flanged 015NB</t>
  </si>
  <si>
    <t>L3RF1S SS Regular Flanged 020NB</t>
  </si>
  <si>
    <t>L3RF1S SS Regular Flanged 025NB</t>
  </si>
  <si>
    <t>L3RF1S SS Regular Flanged 040NB</t>
  </si>
  <si>
    <t>L3RF1S SS Regular Flanged 050NB</t>
  </si>
  <si>
    <t>L6FBTD/L6FSWD CS Full Screwed/SW 015NB</t>
  </si>
  <si>
    <t>L6FBTD/L6FSWD CS Full Screwed/SW 020NB</t>
  </si>
  <si>
    <t>L6FBTD/L6FSWD CS Full Screwed/SW 025NB</t>
  </si>
  <si>
    <t>L6FBTD/L6FSWD CS Full Screwed/SW 032NB</t>
  </si>
  <si>
    <t>L6FBTD/L6FSWD CS Full Screwed/SW 040NB</t>
  </si>
  <si>
    <t>L6FBTD/L6FSWD CS Full Screwed/SW 050NB</t>
  </si>
  <si>
    <t>L6RBTD/L6RSWD CS Regular Screwed/SW 015NB</t>
  </si>
  <si>
    <t>L6RBTD/L6RSWD CS Regular Screwed/SW 020NB</t>
  </si>
  <si>
    <t>L6RBTD/L6RSWD CS Regular Screwed/SW 025NB</t>
  </si>
  <si>
    <t>L6RBTD/L6RSWD CS Regular Screwed/SW 040NB</t>
  </si>
  <si>
    <t>L6RBTD/L6RSWD CS Regular Screwed/SW 050NB</t>
  </si>
  <si>
    <t>L&amp;T BALL VALVES (MRP Prices)</t>
  </si>
  <si>
    <t>L&amp;T BALL VALVES (MRP)</t>
  </si>
  <si>
    <t>Cat. No</t>
  </si>
  <si>
    <t>15mm</t>
  </si>
  <si>
    <t>20mm</t>
  </si>
  <si>
    <t>25mm</t>
  </si>
  <si>
    <t>32mm</t>
  </si>
  <si>
    <t>40mm</t>
  </si>
  <si>
    <t>50mm</t>
  </si>
  <si>
    <t>65mm</t>
  </si>
  <si>
    <t>80mm</t>
  </si>
  <si>
    <t>100mm</t>
  </si>
  <si>
    <t>125mm</t>
  </si>
  <si>
    <t>150mm</t>
  </si>
  <si>
    <t>200mm</t>
  </si>
  <si>
    <t>250mm</t>
  </si>
  <si>
    <t>300mm</t>
  </si>
  <si>
    <t>350mm</t>
  </si>
  <si>
    <t>400mm</t>
  </si>
  <si>
    <t>450mm</t>
  </si>
  <si>
    <t>500mm</t>
  </si>
  <si>
    <t>600mm</t>
  </si>
  <si>
    <t>L1RF1C</t>
  </si>
  <si>
    <t>L1RF1S</t>
  </si>
  <si>
    <t>L1RF3C</t>
  </si>
  <si>
    <t>L1RF3S</t>
  </si>
  <si>
    <t>L2FF1C</t>
  </si>
  <si>
    <t>L2FF1S</t>
  </si>
  <si>
    <t>L2FF3C</t>
  </si>
  <si>
    <t>L2FF3S</t>
  </si>
  <si>
    <t>L3FBTC/L3FSWC</t>
  </si>
  <si>
    <t>L3FBTCF/L3FSWCF</t>
  </si>
  <si>
    <t>L3FBTS/L3FSWS</t>
  </si>
  <si>
    <t>L3RBTC/L3RSWC</t>
  </si>
  <si>
    <t>L3RBTCF/L3RSWCF</t>
  </si>
  <si>
    <t>L3RBTS/L3RSWS</t>
  </si>
  <si>
    <t>L3RF1C</t>
  </si>
  <si>
    <t>L3RF1S</t>
  </si>
  <si>
    <t>L6FBTD/L6FSWD</t>
  </si>
  <si>
    <t>L6RBTD/L6RSWD</t>
  </si>
  <si>
    <t>L&amp;T BALL VALVES (MRP) — Sorted by Price</t>
  </si>
  <si>
    <t>MADAS COMPONENTS</t>
  </si>
  <si>
    <t>"MADAS" NORMALLY CLOSED SOLENOID VALVES (MANUAL RESET TYPE)</t>
  </si>
  <si>
    <t>CM04CV0000-008 DN025 Thd</t>
  </si>
  <si>
    <t>CM06CV0000-008 DN040 Thd</t>
  </si>
  <si>
    <t>CM40ACV0000-008 DN040 Flg ANSI</t>
  </si>
  <si>
    <t>CM07CV0000-008 DN050 Thd</t>
  </si>
  <si>
    <t>CM50ACV0000-008 DN050 Flg ANSI</t>
  </si>
  <si>
    <t>CX08ACV0000-008 DN065 Flg ANSI</t>
  </si>
  <si>
    <t>CX09ACV0000-008 DN080 Flg ANSI</t>
  </si>
  <si>
    <t>CX10ACV0000-008 DN100 Flg ANSI</t>
  </si>
  <si>
    <t>"MADAS" NORMALLY OPEN SOLENOID VALVES (MANUAL RESET TYPE WIT</t>
  </si>
  <si>
    <t>ROC02V-005 DN015 Thd</t>
  </si>
  <si>
    <t>ROC02V0000-008 DN015 Thd</t>
  </si>
  <si>
    <t>ROC03V-005 DN020 Thd</t>
  </si>
  <si>
    <t>ROC03V0000-008 DN020 Thd</t>
  </si>
  <si>
    <t>ROC04V-008 DN025 Thd</t>
  </si>
  <si>
    <t>ROC04V0000-008 DN025 Thd</t>
  </si>
  <si>
    <t>"MADAS" NORMALLY OPEN SOLENOID VALVES (MANUAL RESET TYPE)</t>
  </si>
  <si>
    <t>RO02V-005 DN015 Thd</t>
  </si>
  <si>
    <t>RO02V0000-005 DN015 Thd</t>
  </si>
  <si>
    <t>RO03V-005 DN020 Thd</t>
  </si>
  <si>
    <t>RO03V0000-005 DN020 Thd</t>
  </si>
  <si>
    <t>RO04V-005 DN025 Thd</t>
  </si>
  <si>
    <t>RO04V0000-005 DN025 Thd</t>
  </si>
  <si>
    <t>RM04V-005 DN025 Thd</t>
  </si>
  <si>
    <t>RM04V0000-005 DN025 Thd</t>
  </si>
  <si>
    <t>RM06V-005 DN040 Thd</t>
  </si>
  <si>
    <t>RM06V0000-005 DN040 Thd</t>
  </si>
  <si>
    <t>RM07V-005 DN050 Thd</t>
  </si>
  <si>
    <t>RM07V0000-005 DN050 Thd</t>
  </si>
  <si>
    <t>EX09AV0000-005 DN080 Thd</t>
  </si>
  <si>
    <t>GAS FILTERS</t>
  </si>
  <si>
    <t>FMC040000-A20 DN025 Thd</t>
  </si>
  <si>
    <t>FM040000-D20 DN025 Thd</t>
  </si>
  <si>
    <t>FM060000-D20 DN040 Thd</t>
  </si>
  <si>
    <t>FF40A0000-D20 DN040 Flg ANSI</t>
  </si>
  <si>
    <t>FM070000-D20 DN050 Thd</t>
  </si>
  <si>
    <t>FF50A0000-D20 DN050 Flg ANSI</t>
  </si>
  <si>
    <t>FF08A0000-D20 DN065 Flg ANSI</t>
  </si>
  <si>
    <t>FF09A0000-D20 DN080 Flg ANSI</t>
  </si>
  <si>
    <t>FF10A0000-M20 DN100 Flg ANSI</t>
  </si>
  <si>
    <t>GAS PRESSURE REGULATORS  with OPSO &amp; UPSO ( Pmax = 5 Bar)</t>
  </si>
  <si>
    <t>FBC04ZV-5442 DN025 Thd</t>
  </si>
  <si>
    <t>FB04Z-5442 DN025 Thd</t>
  </si>
  <si>
    <t>RB06Z- 5333 DN040 Thd</t>
  </si>
  <si>
    <t>RB07Z- 5333 DN050 Thd</t>
  </si>
  <si>
    <t>GAS PRESSURE REGULATORS ( Pmax = 5 Bar)</t>
  </si>
  <si>
    <t>RCS04V0000-M5XXX DN025 Thd</t>
  </si>
  <si>
    <t>RCS06V0000-M5XXX DN040 Thd</t>
  </si>
  <si>
    <t>RCS40AV0000-M5XXX DN040 Flg ANSI</t>
  </si>
  <si>
    <t>RCS07V0000-M5XXX DN050 Thd</t>
  </si>
  <si>
    <t>RCS50AV0000-M5XXX DN050 Flg ANSI</t>
  </si>
  <si>
    <t>RCS08AV0000-M4XXX DN065 Flg ANSI</t>
  </si>
  <si>
    <t>RCS09AV0000-M4XXX DN080 Flg ANSI</t>
  </si>
  <si>
    <t>RCS10AV0000-M4XXX DN100 Flg ANSI</t>
  </si>
  <si>
    <t>GAS PRESSURE REGULATORS ( Pmax = 5 Bar), Reinforced Version</t>
  </si>
  <si>
    <t>RCS04V0000-M7XXX DN025 Thd</t>
  </si>
  <si>
    <t>RCS06V0000-M6XXX DN040 Thd</t>
  </si>
  <si>
    <t>RCS40AV0000-M6XXX DN040 Flg ANSI</t>
  </si>
  <si>
    <t>RCS07V0000-M6XXX DN050 Thd</t>
  </si>
  <si>
    <t>RCS50AV0000-M6XXX DN050 Flg ANSI</t>
  </si>
  <si>
    <t>RCS08AV0055-M5XXX DN065 Flg ANSI</t>
  </si>
  <si>
    <t>RCS09AV0055-M5XXX DN080 Flg ANSI</t>
  </si>
  <si>
    <t>RCS10AV0055-M5XXX DN100 Flg ANSI</t>
  </si>
  <si>
    <t>GAS PRESSURE REGULATORS ( Pmax = 5 Bar), pilot Version</t>
  </si>
  <si>
    <t>RCSH04V0000 -1XXX DN025 Thd</t>
  </si>
  <si>
    <t>RCSH06V0000 -1XXX DN040 Thd</t>
  </si>
  <si>
    <t>RCSH40AV0000 -1XXX DN040 Flg ANSI</t>
  </si>
  <si>
    <t>RCSH07V0000 -1XXX DN050 Thd</t>
  </si>
  <si>
    <t>RCSH50AV0000 -1XXX DN050 Flg ANSI</t>
  </si>
  <si>
    <t>RCSH08AV0000-1XXX DN065 Flg ANSI</t>
  </si>
  <si>
    <t>RCSH09AV0000-1XXX DN080 Flg ANSI</t>
  </si>
  <si>
    <t>RCSH08AV0000-1XXX DN100 Flg ANSI</t>
  </si>
  <si>
    <t>GAS PRESSURE REGULATORS (Pmax=2Bar)</t>
  </si>
  <si>
    <t>RC04V0020-040 DN025 Thd</t>
  </si>
  <si>
    <t>RC06V0020-060 DN040 Thd</t>
  </si>
  <si>
    <t>RC40AV0020-060 DN040 Flg ANSI</t>
  </si>
  <si>
    <t>RC07V0020-060 DN050 Thd</t>
  </si>
  <si>
    <t>RC50AV0020-060 DN050 Flg ANSI</t>
  </si>
  <si>
    <t>RC08AV0020-050 DN065 Flg ANSI</t>
  </si>
  <si>
    <t>RC09AV0020-050 DN080 Flg ANSI</t>
  </si>
  <si>
    <t>RC10AV0020-050 DN100 Flg ANSI</t>
  </si>
  <si>
    <t>GAS PRESSURE SWITCHES</t>
  </si>
  <si>
    <t xml:space="preserve">CN-0019 DN-- </t>
  </si>
  <si>
    <t xml:space="preserve">PSM150 DN5-150mBar </t>
  </si>
  <si>
    <t xml:space="preserve">PSM500 DN100-500 </t>
  </si>
  <si>
    <t>NORMALLY CLOSED FAST OPENING SOLENOID VALVES (AUTOMATIC RESE</t>
  </si>
  <si>
    <t>EVPF02V-208 DN015 Thd</t>
  </si>
  <si>
    <t>EWF02V-008 DN015 Thd</t>
  </si>
  <si>
    <t>EVPF03V-208 DN020 Thd</t>
  </si>
  <si>
    <t>EVPCF04V-208 DN025 Thd</t>
  </si>
  <si>
    <t>EVPCF04V-008 DN025 Thd</t>
  </si>
  <si>
    <t>EWF04V-008 DN025 Thd</t>
  </si>
  <si>
    <t>EVPCF06V-208 DN40 Thd</t>
  </si>
  <si>
    <t>EVPCF06V-008 DN040 Thd</t>
  </si>
  <si>
    <t>EVPCF40AV-008 DN040 Flg ANSI</t>
  </si>
  <si>
    <t>EVPCF07V-208 DN50 Thd</t>
  </si>
  <si>
    <t>EVPCF07V-008 DN050 Thd</t>
  </si>
  <si>
    <t>EVPCF50AV-008 DN050 Flg ANSI</t>
  </si>
  <si>
    <t>EVPF08AV-008 DN065 Flg ANSI</t>
  </si>
  <si>
    <t>EVPF09AV-008 DN080 Flg ANSI</t>
  </si>
  <si>
    <t>EVPF10AV-008 DN100 Flg ANSI</t>
  </si>
  <si>
    <t>EVO01V-008 DN010 Thd</t>
  </si>
  <si>
    <t>EVO02V-008 DN015 Thd</t>
  </si>
  <si>
    <t>EVP02V-208 DN015 Thd</t>
  </si>
  <si>
    <t>EW02V-008 DN015 Thd</t>
  </si>
  <si>
    <t>EVO03V-008 DN020 Thd</t>
  </si>
  <si>
    <t>EVP03V-208 DN020 Thd</t>
  </si>
  <si>
    <t>EVPC04V-208 DN025 Thd</t>
  </si>
  <si>
    <t>EVPC04V-008 DN025 Thd</t>
  </si>
  <si>
    <t>EW04V-008 DN025 Thd</t>
  </si>
  <si>
    <t>EVPC06V-208 DN40 Thd</t>
  </si>
  <si>
    <t>EVPC06V-008 DN040 Thd</t>
  </si>
  <si>
    <t>EVPC40AV-008 DN040 Flg ANSI</t>
  </si>
  <si>
    <t>EVPC07V-208 DN50 Thd</t>
  </si>
  <si>
    <t>EVPC07V-008 DN050 Thd</t>
  </si>
  <si>
    <t>EVPC50AV-008 DN050 Flg ANSI</t>
  </si>
  <si>
    <t>EVP08AV-008 DN065 Flg ANSI</t>
  </si>
  <si>
    <t>EVP09AV-008 DN080 Flg ANSI</t>
  </si>
  <si>
    <t>EVP10AV-008 DN100 Flg ANSI</t>
  </si>
  <si>
    <t>NORMALLY CLOSED SLOW OPENING SOLENOID VALVES (AUTOMATIC RESE</t>
  </si>
  <si>
    <t>EWR02V-008 DN015 Thd</t>
  </si>
  <si>
    <t>EVPCR04V-008 DN025 Thd</t>
  </si>
  <si>
    <t>EWR04V-008 DN025 Thd</t>
  </si>
  <si>
    <t>EVPCR06V-008 DN040 Thd</t>
  </si>
  <si>
    <t>EVPCR40AV-008 DN040 Flg ANSI</t>
  </si>
  <si>
    <t>EVPCR07V-008 DN050 Thd</t>
  </si>
  <si>
    <t>EVPCR50AV-008 DN050 Flg ANSI</t>
  </si>
  <si>
    <t>EVPR08AV-008 DN065 Flg ANSI</t>
  </si>
  <si>
    <t>EVPR09AV-008 DN080 Flg ANSI</t>
  </si>
  <si>
    <t>EVPR10AV-008 DN100 Flg ANSI</t>
  </si>
  <si>
    <t>NORMALLY OPEN FAST OPENING SOLENOID VALVES (AUTOMATIC RESET)</t>
  </si>
  <si>
    <t>EVAP04V-008 DN025 Thd</t>
  </si>
  <si>
    <t>SAFETY RELIEF VALVES</t>
  </si>
  <si>
    <t>VSP04-030 DN025 Thd</t>
  </si>
  <si>
    <t>VS04V-030 DN025 Thd</t>
  </si>
  <si>
    <t>VSP040000 -020 DN025 Thd</t>
  </si>
  <si>
    <t>SLAM SHUT OFF VALVES</t>
  </si>
  <si>
    <t>VB04V0029 DN025 Thd</t>
  </si>
  <si>
    <t>VB06V0029 DN040 Thd</t>
  </si>
  <si>
    <t>VB40AV0029 DN040 Flg ANSI</t>
  </si>
  <si>
    <t>VB07V0029 DN050 Thd</t>
  </si>
  <si>
    <t>VB50AV0029 DN050 Flg ANSI</t>
  </si>
  <si>
    <t>VX08AV0029 DN065 Flg ANSI</t>
  </si>
  <si>
    <t>VX09AV0029 DN080 Flg ANSI</t>
  </si>
  <si>
    <t>VX10AV0029 DN100 Flg ANSI</t>
  </si>
  <si>
    <t>SLAM SHUT OFF VALVES(Reinforced Version)</t>
  </si>
  <si>
    <t>VB04V0024 DN025 Thd</t>
  </si>
  <si>
    <t>VB06V0024 DN040 Thd</t>
  </si>
  <si>
    <t>VB40AV0024 DN040 Flg ANSI</t>
  </si>
  <si>
    <t>VB07V0024 DN050 Thd</t>
  </si>
  <si>
    <t>VB50AV0024 DN050 Flg ANSI</t>
  </si>
  <si>
    <t>VX08AV0024 DN065 Flg ANSI</t>
  </si>
  <si>
    <t>VX09AV0024 DN080 Flg ANSI</t>
  </si>
  <si>
    <t>VX10AV0024 DN100 Flg ANSI</t>
  </si>
  <si>
    <t>SLAM SHUT OFF VALVES(pilot version  )</t>
  </si>
  <si>
    <t>VB04V0028-010 DN025 Thd</t>
  </si>
  <si>
    <t>VB06V0028-011 DN040 Thd</t>
  </si>
  <si>
    <t>VB40AV0028-010 DN040 Flg ANSI</t>
  </si>
  <si>
    <t>VB07V0028-012 DN050 Thd</t>
  </si>
  <si>
    <t>VB50AV0028-010 DN050 Flg ANSI</t>
  </si>
  <si>
    <t>VX08AV0028-010 DN065 Flg ANSI</t>
  </si>
  <si>
    <t>VX09AV0028-010 DN080 Flg ANSI</t>
  </si>
  <si>
    <t>VX10AV0028-010 DN100 Flg ANSI</t>
  </si>
  <si>
    <t>FLEXIBLE HOSE (1500mm)</t>
  </si>
  <si>
    <t>BENGAL INDUSTRIES</t>
  </si>
  <si>
    <t>Flexible Hose DN015 (1/2" NB) 1500mm</t>
  </si>
  <si>
    <t>Flexible Hose DN032 (1-1/4" NB) 1500mm</t>
  </si>
  <si>
    <t>Flexible Hose DN050 (2" NB) 1500mm</t>
  </si>
  <si>
    <t xml:space="preserve"> HV BURNER PARTS-2A/3A</t>
  </si>
  <si>
    <t xml:space="preserve"> HV BURNER PARTS-4A</t>
  </si>
  <si>
    <t xml:space="preserve"> HV BURNER PARTS-5A/6A</t>
  </si>
  <si>
    <t xml:space="preserve"> HV BURNER PARTS-7A</t>
  </si>
  <si>
    <t>H.V. BURNER-5A/6A</t>
  </si>
  <si>
    <t>H.V. BURNER block -2A/3A</t>
  </si>
  <si>
    <t>H.V. BURNER block -4A</t>
  </si>
  <si>
    <t>H.V. BURNER block -5A/6A</t>
  </si>
  <si>
    <t>FLEXIBLE HOSE-15NB*750MM with adopter</t>
  </si>
  <si>
    <t>Total</t>
  </si>
  <si>
    <t>Recuperator F</t>
  </si>
  <si>
    <t>Recuperator HT</t>
  </si>
  <si>
    <t>Model</t>
  </si>
  <si>
    <t>MS Tube "C" Class (mtr)</t>
  </si>
  <si>
    <t>CI Gills (Nos)</t>
  </si>
  <si>
    <t>M.S. Angle 65,50 (Kg)</t>
  </si>
  <si>
    <t>M.S. Angle 100,100 (Kg)</t>
  </si>
  <si>
    <t>M.S Plate 16mm* 5mm</t>
  </si>
  <si>
    <t>Hardware Bolt (KG)</t>
  </si>
  <si>
    <t>M.S.Chanel (Kg)</t>
  </si>
  <si>
    <t>Toal Cost</t>
  </si>
  <si>
    <t>S.S Sheet</t>
  </si>
  <si>
    <t>Total Cost</t>
  </si>
  <si>
    <t>10 F</t>
  </si>
  <si>
    <t>1 HT</t>
  </si>
  <si>
    <t>20 F</t>
  </si>
  <si>
    <t>2 HT</t>
  </si>
  <si>
    <t>30 F</t>
  </si>
  <si>
    <t>5 HT</t>
  </si>
  <si>
    <t>40 F</t>
  </si>
  <si>
    <t>10 HT</t>
  </si>
  <si>
    <t>50 F</t>
  </si>
  <si>
    <t>100 F</t>
  </si>
  <si>
    <t xml:space="preserve">cost </t>
  </si>
  <si>
    <t>Recuperator FS</t>
  </si>
  <si>
    <t>MS Tube "B" Class (mtr)</t>
  </si>
  <si>
    <t>Hardware Bolt (kg)</t>
  </si>
  <si>
    <t>M.S.Chanel (kg)</t>
  </si>
  <si>
    <t>10 FS</t>
  </si>
  <si>
    <t>20 FS</t>
  </si>
  <si>
    <t>30 FS</t>
  </si>
  <si>
    <t>40 FS</t>
  </si>
  <si>
    <t>50 FS</t>
  </si>
  <si>
    <t>70 FS</t>
  </si>
  <si>
    <t>100 FS</t>
  </si>
  <si>
    <t>BURNER PARTS 50 NM³              (GAIL design Hole Type)</t>
  </si>
  <si>
    <t>BURNER PARTS 100 NM³  (GAIL design Hole Type)</t>
  </si>
  <si>
    <t>BURNER PARTS 150 NM³  (GAIL design Hole Type)</t>
  </si>
  <si>
    <t xml:space="preserve">S.S PIPE </t>
  </si>
  <si>
    <t>M.S PLATE</t>
  </si>
  <si>
    <t>DRILL</t>
  </si>
  <si>
    <t>BUTTERFLY VALVE-6 (INCH )</t>
  </si>
  <si>
    <t>Ball valve</t>
  </si>
  <si>
    <t>FLEXIBLE HOSE-40NB*750MM WITH ADOPTER</t>
  </si>
  <si>
    <t>BURNER PLATE</t>
  </si>
  <si>
    <t>BURNER BLOCK</t>
  </si>
  <si>
    <t>BURNER PARTS 100 NM³        PowerTrade</t>
  </si>
  <si>
    <t>BURNER PARTS 100 NM³        Ada</t>
  </si>
  <si>
    <t>AIR TUBE</t>
  </si>
  <si>
    <t>BAISE</t>
  </si>
  <si>
    <t>RING</t>
  </si>
  <si>
    <t>SS PIPE</t>
  </si>
  <si>
    <t>MS PLATE</t>
  </si>
  <si>
    <t xml:space="preserve">Casting weight of ADA – 1 . base – 30 kg   </t>
  </si>
  <si>
    <t xml:space="preserve">                                                  2 . air tube – 35 kg </t>
  </si>
  <si>
    <t>                                                  3. Ring – 10 kg</t>
  </si>
  <si>
    <t>Power trade -                       1. Air tube – 60 kg</t>
  </si>
  <si>
    <t xml:space="preserve">                                                   2. base -  35 kg </t>
  </si>
  <si>
    <t>                                                   3. Ring – 10 kg</t>
  </si>
  <si>
    <t>ENCON FUEL COMBUSTORS BLOWERS (DIRECT MOUNTED) (W.E.F Jul'21)</t>
  </si>
  <si>
    <t xml:space="preserve">      MEDIUM PRESSURE</t>
  </si>
  <si>
    <t>PERKIN Rates</t>
  </si>
  <si>
    <t xml:space="preserve">     MODEL</t>
  </si>
  <si>
    <t xml:space="preserve">  H.P.</t>
  </si>
  <si>
    <t xml:space="preserve">   CFM</t>
  </si>
  <si>
    <t>NM3 /HR</t>
  </si>
  <si>
    <t>PRESSURE</t>
  </si>
  <si>
    <t xml:space="preserve">    PRICE Without motor </t>
  </si>
  <si>
    <t xml:space="preserve">    PRICE  With motor</t>
  </si>
  <si>
    <t>Blower weight 
Approx</t>
  </si>
  <si>
    <t>Per Kg. Price</t>
  </si>
  <si>
    <t>Amount</t>
  </si>
  <si>
    <t>Motor Price ABB</t>
  </si>
  <si>
    <t xml:space="preserve">    PRICE Without,
 motor </t>
  </si>
  <si>
    <t>* Raised 12% from Last</t>
  </si>
  <si>
    <t>ENCON 28/3</t>
  </si>
  <si>
    <t>28” W.G.</t>
  </si>
  <si>
    <t>ENCON 28/5</t>
  </si>
  <si>
    <t>ENCON 28/7.5</t>
  </si>
  <si>
    <t>ENCON 28/10</t>
  </si>
  <si>
    <t>ENCON 28/15</t>
  </si>
  <si>
    <t>ENCON 28/20</t>
  </si>
  <si>
    <t>ENCON 28/25</t>
  </si>
  <si>
    <t>ENCON 28/30</t>
  </si>
  <si>
    <t>ENCON 28/40</t>
  </si>
  <si>
    <t>ENCON 28/50</t>
  </si>
  <si>
    <t>ENCON 28/60</t>
  </si>
  <si>
    <t xml:space="preserve">     HIGH PRESSURE</t>
  </si>
  <si>
    <t>ENCON 40/5</t>
  </si>
  <si>
    <t xml:space="preserve"> 40” W.G.</t>
  </si>
  <si>
    <t>ENCON 40/7.5</t>
  </si>
  <si>
    <t>ENCON 40/10</t>
  </si>
  <si>
    <t>ENCON 40/15</t>
  </si>
  <si>
    <t>ENCON 40/20</t>
  </si>
  <si>
    <t>ENCON 40/25</t>
  </si>
  <si>
    <t>ENCON 40/30</t>
  </si>
  <si>
    <t>ENCON 40/40</t>
  </si>
  <si>
    <t>ENCON 40/50</t>
  </si>
  <si>
    <t>ENCON 40/60</t>
  </si>
  <si>
    <t>Note:</t>
  </si>
  <si>
    <t xml:space="preserve">(1) The ex works price indicated for fuel combustors are inclusive of the electric motor of reputed make, such as, NGEF, ABB, Crompton etc. on which the impeller would be directly mounted. </t>
  </si>
  <si>
    <t>(2) Quoted prices for 40 HP and above Blowers are for V Belt/coupled mounting.</t>
  </si>
  <si>
    <t>Blower DM 40</t>
  </si>
  <si>
    <t>Blower DM 28</t>
  </si>
  <si>
    <t>M.S Angle 65,50 KG</t>
  </si>
  <si>
    <t>M.S Sheet  8mm Kg</t>
  </si>
  <si>
    <t>M.S Sheet 4mm KG</t>
  </si>
  <si>
    <t>M.S Sheet 2mm KG</t>
  </si>
  <si>
    <t>MS Flat KG</t>
  </si>
  <si>
    <t>CI Hub Nos</t>
  </si>
  <si>
    <t>Hardware KG</t>
  </si>
  <si>
    <t>M.S Angle 65,50 Kg</t>
  </si>
  <si>
    <t>M.S Sheet 5mm Kg</t>
  </si>
  <si>
    <t>M.S Sheet 4mm Kg</t>
  </si>
  <si>
    <t>M.S Sheet  2mm Kg</t>
  </si>
  <si>
    <t>MS Flat Kg</t>
  </si>
  <si>
    <t>Hardware Kg</t>
  </si>
  <si>
    <t>5/40</t>
  </si>
  <si>
    <t>5/28</t>
  </si>
  <si>
    <t>7.5/40</t>
  </si>
  <si>
    <t>7.5/28</t>
  </si>
  <si>
    <t>10/40</t>
  </si>
  <si>
    <t>10/28</t>
  </si>
  <si>
    <t>15/40</t>
  </si>
  <si>
    <t>15/28</t>
  </si>
  <si>
    <t>20/40</t>
  </si>
  <si>
    <t>20/28</t>
  </si>
  <si>
    <t>25/40</t>
  </si>
  <si>
    <t>25/28</t>
  </si>
  <si>
    <t>30/40</t>
  </si>
  <si>
    <t>30/28</t>
  </si>
  <si>
    <t>M.S Sheet 5mm* 8mm Kg</t>
  </si>
  <si>
    <t>M.S Sheet 4mm* 3mm KG</t>
  </si>
  <si>
    <t>M.S Sheet 4mm* 3mm Kg</t>
  </si>
  <si>
    <t>M.S Sheet 2.5mm* 2mm Kg</t>
  </si>
  <si>
    <t>Blower IDM</t>
  </si>
  <si>
    <t>M.S Sheet 8mm Kg</t>
  </si>
  <si>
    <t>M.S Sheet 2mm Kg</t>
  </si>
  <si>
    <t>CI Hub Kg</t>
  </si>
  <si>
    <t>M.S Round Kg</t>
  </si>
  <si>
    <t>Plumber block with Bearing Nos</t>
  </si>
  <si>
    <t>Coupling Nos</t>
  </si>
  <si>
    <t>M.S Chanel Kg</t>
  </si>
  <si>
    <t>40/28</t>
  </si>
  <si>
    <t>50/28</t>
  </si>
  <si>
    <t>60/28</t>
  </si>
  <si>
    <t>50/40</t>
  </si>
  <si>
    <t>cost</t>
  </si>
  <si>
    <t>Costing of Heating &amp; Pumping Unit 3 KW                              Date :  01.07.2022</t>
  </si>
  <si>
    <t>Costing of Heating &amp; Pumping Unit 6 KW                             Date :  01.07.2022</t>
  </si>
  <si>
    <t>Costing of Heating &amp; Pumping Unit 9 KW                           Date :  01.07.2022</t>
  </si>
  <si>
    <t>Costing of Heating &amp; Pumping Unit 12 KW                              Date :  01.07.2022</t>
  </si>
  <si>
    <t>Costing of Heating &amp; Pumping Unit 16 KW                              Date :  01.07.2022</t>
  </si>
  <si>
    <t>Costing of Heating &amp; Pumping Unit 20 KW                           Date :  01.07.2022</t>
  </si>
  <si>
    <t>Costing of Heating &amp; Pumping Unit 24 KW                              Date :  01.07.2022</t>
  </si>
  <si>
    <t>Costing of Heating &amp; Pumping Unit 30 KW                             Date :  01.07.2022</t>
  </si>
  <si>
    <t>Costing of Heating &amp; Pumping Unit 36 KW                            Date :  01.07.2022</t>
  </si>
  <si>
    <t>Costing of Heating &amp; Pumping Unit 48 KW                              Date :  01.07.2022</t>
  </si>
  <si>
    <t>Duplex 1</t>
  </si>
  <si>
    <t>Duplex 2</t>
  </si>
  <si>
    <t>Simplex</t>
  </si>
  <si>
    <t xml:space="preserve">S No. </t>
  </si>
  <si>
    <t xml:space="preserve">Items </t>
  </si>
  <si>
    <t>Qty.</t>
  </si>
  <si>
    <t>Unit</t>
  </si>
  <si>
    <t>Rate</t>
  </si>
  <si>
    <t>Pre. Price</t>
  </si>
  <si>
    <t>Pre.Price</t>
  </si>
  <si>
    <t>Pre Price</t>
  </si>
  <si>
    <t>M.S Channel 75x40(2700 mm long)</t>
  </si>
  <si>
    <t>Kg</t>
  </si>
  <si>
    <t>kg</t>
  </si>
  <si>
    <t>M.S Channel 75x40(2900 mm long)</t>
  </si>
  <si>
    <t>M.S Channel 75x40(3200 mm long)</t>
  </si>
  <si>
    <t>M.S Channel 75x40(3400 mm long)</t>
  </si>
  <si>
    <t>M.S Channel 75x40(3600 mm long)</t>
  </si>
  <si>
    <t>M.S Channel 100x50( 5 mtr. long)</t>
  </si>
  <si>
    <t>M.S  pipe 150 NB X 700  MM long</t>
  </si>
  <si>
    <t>M.S  pipe 200 NB X 700  MM long</t>
  </si>
  <si>
    <t>M.S Plate 5 mmx1051x700 mm</t>
  </si>
  <si>
    <t>M.S Plate 5 mmx1318x700 mm</t>
  </si>
  <si>
    <t>M.S Plate 5 mmx 1428x700 mm</t>
  </si>
  <si>
    <t>M.S Plate 5 mmx 1444x700 mm</t>
  </si>
  <si>
    <t>M.S Plate 5 mmx 2166x700 mm</t>
  </si>
  <si>
    <t>M.S Plate 5 mmx 2245x700 mm</t>
  </si>
  <si>
    <t>M.S Plate 5 mmx 2794x700 mm</t>
  </si>
  <si>
    <t>HR Sheet 850x1000X3 MM</t>
  </si>
  <si>
    <t>HR Sheet 1050X900X3 MM</t>
  </si>
  <si>
    <t>HR Sheet 1100x1000X3 MM</t>
  </si>
  <si>
    <t>HR Sheet 1100x1200X3 MM</t>
  </si>
  <si>
    <t>HR Sheet 1200x1300X3 MM</t>
  </si>
  <si>
    <t>HR Sheet 1300x1400X3 MM</t>
  </si>
  <si>
    <t>HR Sheet 1800x1900X5 MM</t>
  </si>
  <si>
    <t>HR Sheet 709 X175X3 MM</t>
  </si>
  <si>
    <t>HR Sheet 286 diaX175X3 MM</t>
  </si>
  <si>
    <t>HR Sheet 1274 X175X3 MM</t>
  </si>
  <si>
    <t>HR Sheet 1318 X175X3 MM</t>
  </si>
  <si>
    <t>HR Sheet 1632 X175X3 MM</t>
  </si>
  <si>
    <t>HR Sheet 1651 X175X3 MM</t>
  </si>
  <si>
    <t>HR Sheet 2373 X175X3 MM</t>
  </si>
  <si>
    <t>HR Sheet 2452 X175X3 MM</t>
  </si>
  <si>
    <t>HR Sheet 3000 X175X3 MM</t>
  </si>
  <si>
    <t>M.S Plate 226 diax3 mm</t>
  </si>
  <si>
    <t>M.S Plate 5 MM motor base</t>
  </si>
  <si>
    <t>M.S Plate 406 diax3 mm</t>
  </si>
  <si>
    <t>M.S Plate 486 diax3 mm</t>
  </si>
  <si>
    <t>M.S Plate 526 diax3 mm</t>
  </si>
  <si>
    <t>M.S Plate 756 diax3 mm</t>
  </si>
  <si>
    <t>M.S Plate 781 diax3 mm</t>
  </si>
  <si>
    <t>M.S Plate 956 diax3 mm</t>
  </si>
  <si>
    <t>M.S Plate 280 diax16 MM</t>
  </si>
  <si>
    <t>M.S Plate 220 diax16 MM</t>
  </si>
  <si>
    <t>M.S Plate  240 dia x5 mm</t>
  </si>
  <si>
    <t>M.S Plate 400 diax16 MM</t>
  </si>
  <si>
    <t>M.S Plate 480 diax16 MM</t>
  </si>
  <si>
    <t>M.S Plate 520 diax16 MM</t>
  </si>
  <si>
    <t>M.S Plate 750 diax16 MM</t>
  </si>
  <si>
    <t>M.S Plate 775 diax16 MM</t>
  </si>
  <si>
    <t>M.S Plate 950 diax20MM</t>
  </si>
  <si>
    <t>M.S Pipe 20 NB (5 mtr.)</t>
  </si>
  <si>
    <t>M.S Plate  380 dia x5 mm</t>
  </si>
  <si>
    <t>M.S Plate  440 dia x5 mm</t>
  </si>
  <si>
    <t>M.S Plate  480 dia x5 mm</t>
  </si>
  <si>
    <t>M.S Plate  770 dia x5 mm</t>
  </si>
  <si>
    <t>M.S Plate  910 dia x5 mm</t>
  </si>
  <si>
    <t>M.S Pipe 15 NB (.5 mtr.)</t>
  </si>
  <si>
    <t>M.S Pipe 20 NB (6 mtr.)</t>
  </si>
  <si>
    <t>M.S Pipe 25 NB (6 mtr.)</t>
  </si>
  <si>
    <t>M.S Pipe 32 NB (9 mtr.)</t>
  </si>
  <si>
    <t>M.S Channel 100X50(400 mm long)</t>
  </si>
  <si>
    <t>M.S Pipe 20 NB (.5 mtr.)</t>
  </si>
  <si>
    <t>M.S Pipe 25NB (0.5 mtr.)</t>
  </si>
  <si>
    <t>M.S Flange 15 NB</t>
  </si>
  <si>
    <t>nos</t>
  </si>
  <si>
    <t>M.S Channel 100X50(700 mm long)</t>
  </si>
  <si>
    <t>M.S Channel 100X50(760 mm long)</t>
  </si>
  <si>
    <t>M.S Channel 100X50(960 mm long)</t>
  </si>
  <si>
    <t>M.S Channel 100X50(1540 mm long)</t>
  </si>
  <si>
    <t>M.S Channel 100X50(1900 mm long)</t>
  </si>
  <si>
    <t>M.S flat 40x5x800 (4 NOS.)</t>
  </si>
  <si>
    <t>M.S Flange 20 NB</t>
  </si>
  <si>
    <t>M.S Flange 25 NB</t>
  </si>
  <si>
    <t>M.S Elbow 20 NB</t>
  </si>
  <si>
    <t>M.S Flange 32 NB</t>
  </si>
  <si>
    <t>M.S TEE 20 NB</t>
  </si>
  <si>
    <t>M.S Elbow 25NB</t>
  </si>
  <si>
    <t>M.S Elbow 32NB</t>
  </si>
  <si>
    <t>M.S Bend 20 NB</t>
  </si>
  <si>
    <t>M.S TEE 25 NB</t>
  </si>
  <si>
    <t>M.S TEE 32 NB</t>
  </si>
  <si>
    <t>M.S Plug 20 NB</t>
  </si>
  <si>
    <t>M.S Bend 25 NB</t>
  </si>
  <si>
    <t>M.S Bend 32 NB</t>
  </si>
  <si>
    <t>M.S Socket 3/8"</t>
  </si>
  <si>
    <t>M.S Plug 25 NB</t>
  </si>
  <si>
    <t>M.S Plug 32 NB</t>
  </si>
  <si>
    <t>M.S Bush Nippal 1/2"x3/4"</t>
  </si>
  <si>
    <t>Pressure Regulator 3/4"</t>
  </si>
  <si>
    <t>M.S Bush Nippal 1/2"x 25 NB</t>
  </si>
  <si>
    <t>M.S Bush Nippal 1/2"x 32 NB</t>
  </si>
  <si>
    <t xml:space="preserve">Duplex Filter </t>
  </si>
  <si>
    <t>Pressure Regulator  25 NB</t>
  </si>
  <si>
    <t>Pressure Regulator  32 NB</t>
  </si>
  <si>
    <t>Simplex Filter</t>
  </si>
  <si>
    <t>Duplex Filter 25 NB</t>
  </si>
  <si>
    <t>Duplex Filter 32 NB</t>
  </si>
  <si>
    <t xml:space="preserve">Gate Valve 20 NB </t>
  </si>
  <si>
    <t>Simplex Filter 25 NB</t>
  </si>
  <si>
    <t>Simplex Filter 32 NB</t>
  </si>
  <si>
    <t>Motor 0.5 HP , 1440 RPM</t>
  </si>
  <si>
    <t xml:space="preserve">Gate Valve 25 NB </t>
  </si>
  <si>
    <t xml:space="preserve">Gate Valve 32 NB </t>
  </si>
  <si>
    <t>Oil Pump AGP -15</t>
  </si>
  <si>
    <t>Motor  1  HP , 1440 RPM</t>
  </si>
  <si>
    <t>Heater 6 KW</t>
  </si>
  <si>
    <t>Oil Pump AGP - 20</t>
  </si>
  <si>
    <t>Oil Pump AGP - 25</t>
  </si>
  <si>
    <t>Heater 3 KW</t>
  </si>
  <si>
    <t>Pressure Gauge 0 -7 Kg</t>
  </si>
  <si>
    <t>Heater 4 KW</t>
  </si>
  <si>
    <t>Temp. Gauge 0 -150 *C</t>
  </si>
  <si>
    <t xml:space="preserve">Thermostate </t>
  </si>
  <si>
    <t>Indicator</t>
  </si>
  <si>
    <t>Connecting Plate</t>
  </si>
  <si>
    <t xml:space="preserve">Thimble </t>
  </si>
  <si>
    <t>Glass Wire</t>
  </si>
  <si>
    <t>Mtr</t>
  </si>
  <si>
    <t>Mtr.</t>
  </si>
  <si>
    <t>Cross Tee</t>
  </si>
  <si>
    <t>n/a</t>
  </si>
  <si>
    <t>Star Coupling L -95</t>
  </si>
  <si>
    <t>Cross Tee 1''</t>
  </si>
  <si>
    <t>Teflon Tape 3/4"</t>
  </si>
  <si>
    <t>Star Coupling L - 110</t>
  </si>
  <si>
    <t>Nut / Bolt 3/8x1/2'',5/16x1/2''</t>
  </si>
  <si>
    <t>Red Oxide</t>
  </si>
  <si>
    <t>Ltr.</t>
  </si>
  <si>
    <t>Nut / Bolt 1/2x 2 '',5/16x1/2''</t>
  </si>
  <si>
    <t>Hammer Ton Deep Blue</t>
  </si>
  <si>
    <t>g</t>
  </si>
  <si>
    <t xml:space="preserve">Alluminium Paint </t>
  </si>
  <si>
    <t>Gurb Screw</t>
  </si>
  <si>
    <t>Gaskit (300x300x3 mm)</t>
  </si>
  <si>
    <t>LABOUR CHARGE</t>
  </si>
  <si>
    <t>Gaskit (600x600x3 mm)</t>
  </si>
  <si>
    <t>Gaskit (700x700x3 mm)</t>
  </si>
  <si>
    <t>Total Amount</t>
  </si>
  <si>
    <t>PRICE LIST OF RAD-HEAT GAS HEATING ELEMENTS (W.E.F Aug'22)</t>
  </si>
  <si>
    <t>MS</t>
  </si>
  <si>
    <t>SS</t>
  </si>
  <si>
    <t xml:space="preserve">MODEL </t>
  </si>
  <si>
    <t>OUTPUT</t>
  </si>
  <si>
    <t xml:space="preserve">NOMINAL GAS PER BURNER M³/HR          </t>
  </si>
  <si>
    <t>PRICE WITH SS TUBING</t>
  </si>
  <si>
    <t>Dia</t>
  </si>
  <si>
    <t>Tube length</t>
  </si>
  <si>
    <t>Elbow</t>
  </si>
  <si>
    <t>Tube Cost</t>
  </si>
  <si>
    <t>Elbow Cost</t>
  </si>
  <si>
    <t>total Cost</t>
  </si>
  <si>
    <t>LPG</t>
  </si>
  <si>
    <t>NG</t>
  </si>
  <si>
    <t>ARE-13</t>
  </si>
  <si>
    <t xml:space="preserve">   9 KW</t>
  </si>
  <si>
    <t>ARE-22</t>
  </si>
  <si>
    <t xml:space="preserve"> 17 KW</t>
  </si>
  <si>
    <t>ARE-35</t>
  </si>
  <si>
    <t xml:space="preserve"> 30 KW</t>
  </si>
  <si>
    <t>ARE-50</t>
  </si>
  <si>
    <t xml:space="preserve"> 40 KW</t>
  </si>
  <si>
    <t xml:space="preserve">              SPARES PRICE FOR AMBIRAD</t>
  </si>
  <si>
    <t>PRICE (Rs.)</t>
  </si>
  <si>
    <t>POWER CABLE</t>
  </si>
  <si>
    <t>INDICATOR</t>
  </si>
  <si>
    <t>HT CABLE</t>
  </si>
  <si>
    <t>SENSOR CABLE</t>
  </si>
  <si>
    <t>WIRING KIT</t>
  </si>
  <si>
    <t xml:space="preserve">A.   GAIL GAS BURNER (FOR FURNACES) </t>
  </si>
  <si>
    <t>Burner</t>
  </si>
  <si>
    <t>C.I. Burner Plate</t>
  </si>
  <si>
    <t>Burner Block</t>
  </si>
  <si>
    <t>Hose</t>
  </si>
  <si>
    <t>Butterfly Valve</t>
  </si>
  <si>
    <t>Ball Valve</t>
  </si>
  <si>
    <t>Burner SET</t>
  </si>
  <si>
    <t>ENCON-500 KW</t>
  </si>
  <si>
    <t>ENCON-1000 KW</t>
  </si>
  <si>
    <t>ENCON-2000 KW</t>
  </si>
  <si>
    <t xml:space="preserve">B.   PILOT BURNER </t>
  </si>
  <si>
    <t>ENCON-PB-LPG- 10KW</t>
  </si>
  <si>
    <t>ENCON-PB (NG/LPG) - 100 KW</t>
  </si>
  <si>
    <t>ENCON-PB-COG- 100KW</t>
  </si>
  <si>
    <t>Electrode for LPG pilot burner</t>
  </si>
  <si>
    <t>Electrode for COG pilot burner</t>
  </si>
  <si>
    <t xml:space="preserve">Burner Control Unit </t>
  </si>
  <si>
    <t>Ignition Transformer</t>
  </si>
  <si>
    <t>UV Sensor with Air Jacket</t>
  </si>
  <si>
    <t>ALL BURNER BLOCKS ARE MADE OF WHYTE HEAT -K</t>
  </si>
  <si>
    <t>PRICE FOR VARIOUS SIZES OF ENCON `FILM’ BURNER &amp; ACCESSORIES (W.E.F JUL'22)</t>
  </si>
  <si>
    <t>Burner Alone</t>
  </si>
  <si>
    <t>Micro Valve</t>
  </si>
  <si>
    <t>C.I.Burner Plate</t>
  </si>
  <si>
    <t>High Al.  whyteHeat K Burner Block</t>
  </si>
  <si>
    <t>Flexible Hoses Set</t>
  </si>
  <si>
    <t>`Y’ type Strainer</t>
  </si>
  <si>
    <t xml:space="preserve">Burner Set </t>
  </si>
  <si>
    <t>ENCON 2A</t>
  </si>
  <si>
    <t>ENCON 3A</t>
  </si>
  <si>
    <t>ENCON 4A</t>
  </si>
  <si>
    <t>ENCON 5A</t>
  </si>
  <si>
    <t>ENCON 6A</t>
  </si>
  <si>
    <t>ENCON 7A</t>
  </si>
  <si>
    <t>PRICE LIST FOR SPARES OF IIP ENCON OIL FILM BURNERS (W.E.F JUL'22)</t>
  </si>
  <si>
    <t xml:space="preserve"> </t>
  </si>
  <si>
    <t>Air Resistor</t>
  </si>
  <si>
    <t>PRICE FOR VARIOUS SIZES OF ENCON DUAL FUEL BURNER &amp; ACCESSORIES (W.E.F JUL'22)</t>
  </si>
  <si>
    <t>`Y’ type 
Strainer</t>
  </si>
  <si>
    <t>PRICE LIST FOR HIGH VELOCITY OIL BURNERS (W.E.F JUL'22)</t>
  </si>
  <si>
    <t>ENCON HV-3A</t>
  </si>
  <si>
    <t>ENCON HV-4A</t>
  </si>
  <si>
    <t>ENCON HV-5A</t>
  </si>
  <si>
    <t>ENCON HV-6A</t>
  </si>
  <si>
    <t>ENCON HV-7A</t>
  </si>
  <si>
    <t>PRICE LIST FOR HIGH VELOCITY GAS BURNERS (W.E.F JUL'22)</t>
  </si>
  <si>
    <t>PRICE FOR VARIOUS SIZES OF ENCON `GAS’ BURNER &amp; ACCESSORIES (W.E.F JUL'22)</t>
  </si>
  <si>
    <t>PRICE LIST FOR PILOT BURNER BURNERS</t>
  </si>
  <si>
    <t>ENCON-PB-LPG -10 KW</t>
  </si>
  <si>
    <t>ENCON( NG/LPG) -100 KW</t>
  </si>
  <si>
    <t>ENCON PB COG 100 KW</t>
  </si>
  <si>
    <t>Ignition tranformer</t>
  </si>
  <si>
    <t>UV Sesnor with air jacket</t>
  </si>
  <si>
    <t>PRICE LIST FOR GAS Burner (W.E.F JUL'22)</t>
  </si>
  <si>
    <t>GAIL design (Hole Type)</t>
  </si>
  <si>
    <t>Burner Alone (SS Pipe)</t>
  </si>
  <si>
    <t>High Al.  Burner Block</t>
  </si>
  <si>
    <t>Burner Assly</t>
  </si>
  <si>
    <t>500 KW</t>
  </si>
  <si>
    <t>1000 KW</t>
  </si>
  <si>
    <t>2000 KW</t>
  </si>
  <si>
    <t>Ada (Casting Type)</t>
  </si>
  <si>
    <t xml:space="preserve">Burner Alone </t>
  </si>
  <si>
    <t>10 TON HORIZONTAL LADLE PREHEATER</t>
  </si>
  <si>
    <t>AMOUNT(Rs.)</t>
  </si>
  <si>
    <t>15 TON HORIZONTAL LADLE PREHEATER</t>
  </si>
  <si>
    <t>20 TON HORIZONTAL LADLE PREHEATER</t>
  </si>
  <si>
    <t>MS Structure</t>
  </si>
  <si>
    <t>1096 Kgs.</t>
  </si>
  <si>
    <t>1236 Kgs.</t>
  </si>
  <si>
    <t>1416 Kgs.</t>
  </si>
  <si>
    <t>Combustion Equipment:</t>
  </si>
  <si>
    <t>a. Encon Film Burner -3A</t>
  </si>
  <si>
    <t>3A</t>
  </si>
  <si>
    <t>a. Encon Film Burner (4A) – 1Set.</t>
  </si>
  <si>
    <t>b. Blower 5/40"</t>
  </si>
  <si>
    <t>5/40"</t>
  </si>
  <si>
    <t>b. Blower 10/40” – 1 No.</t>
  </si>
  <si>
    <t>b. Blower 15/40” – 1 No.</t>
  </si>
  <si>
    <t>c. H &amp; P Unit 3kW-1No,(HPD-3)</t>
  </si>
  <si>
    <t>HPD-3</t>
  </si>
  <si>
    <t>c. H &amp; P Unit 6 kW – 1No .(HPD-6)</t>
  </si>
  <si>
    <t xml:space="preserve">Ceramic fiber </t>
  </si>
  <si>
    <t>9 Rolls</t>
  </si>
  <si>
    <t>11 Rolls</t>
  </si>
  <si>
    <t>13 Rolls</t>
  </si>
  <si>
    <t>Control Panel</t>
  </si>
  <si>
    <t>1Set</t>
  </si>
  <si>
    <t>Pipeline and Fittings, Nut, Bolts, paint</t>
  </si>
  <si>
    <t>Trolley Drive Mechanism</t>
  </si>
  <si>
    <t>30 TON HORIZONTAL LADLE PREHEATER</t>
  </si>
  <si>
    <t>35-40 TON HORIZONTAL LADLE PREHEATER</t>
  </si>
  <si>
    <t>60 TON HORIZONTAL LADLE PREHEATER</t>
  </si>
  <si>
    <t>1450 Kgs.</t>
  </si>
  <si>
    <t>1500 Kgs.</t>
  </si>
  <si>
    <t>1683 Kgs.</t>
  </si>
  <si>
    <t>a. Encon Film Burner (5A) – 1Set.</t>
  </si>
  <si>
    <t>b. Blower20/40” – 1 No.</t>
  </si>
  <si>
    <t>b. Blower 20/40” – 1 No.</t>
  </si>
  <si>
    <t>b. Blower30/40” – 1 No.</t>
  </si>
  <si>
    <t>c. H &amp; P Unit 12 kW – 1No .(HPD-12)</t>
  </si>
  <si>
    <t>c. H &amp; P Unit 20 kW – 1No .(HPD-20)</t>
  </si>
  <si>
    <t>14 Rolls</t>
  </si>
  <si>
    <t>15 Rolls</t>
  </si>
  <si>
    <t>19Rolls</t>
  </si>
  <si>
    <t>Trolley Drive System</t>
  </si>
  <si>
    <t>1. LPG Pilot for the above system will cost Rs.1,00,000.00 extra</t>
  </si>
  <si>
    <t>Change colored cell manually in this sheet</t>
  </si>
  <si>
    <t xml:space="preserve">Prices </t>
  </si>
  <si>
    <t>Prices quoted are ex-works, Faridabad.</t>
  </si>
  <si>
    <t>Packing &amp; Forwarding</t>
  </si>
  <si>
    <t>4% &amp; 2% respectively</t>
  </si>
  <si>
    <t xml:space="preserve">Taxes &amp; Duties </t>
  </si>
  <si>
    <t>As applicable shall be charged extra.  At present Excise Duty is 14 %   Education Cess 2%  and   Secondary Higher Education cess @ 1% . CST @ 2% against Form C otherwise 12.5%.</t>
  </si>
  <si>
    <t xml:space="preserve">Terms of Payment </t>
  </si>
  <si>
    <t>50% Advance alongwith purchase order. 50% payment with taxes and duties against despatch.</t>
  </si>
  <si>
    <t>Validity</t>
  </si>
  <si>
    <t>45 Days.</t>
  </si>
  <si>
    <t>DESCRIPTION( Vertical 10 ton lps)</t>
  </si>
  <si>
    <t>DESCRIPTION( Vertical 12-14 ton lps)</t>
  </si>
  <si>
    <t>DESCRIPTION( Vertical 15 ton lps)</t>
  </si>
  <si>
    <t>1130 Kgs.</t>
  </si>
  <si>
    <t>1215Kgs.</t>
  </si>
  <si>
    <t>b. Blower 7.5/40” – 1 No.</t>
  </si>
  <si>
    <t>8 Rolls</t>
  </si>
  <si>
    <t>Swirling  mech, Pipeline and Fittings, Nut, Bolts, paint</t>
  </si>
  <si>
    <t>DESCRIPTION( Vertical 16-20 ton lps)</t>
  </si>
  <si>
    <t>DESCRIPTION( Vertical 30 ton lps)</t>
  </si>
  <si>
    <t>DESCRIPTION( Vertical 30 to 40 ton lps)</t>
  </si>
  <si>
    <t>1300Kgs.</t>
  </si>
  <si>
    <t>1354 Kgs.</t>
  </si>
  <si>
    <t>1773 Kgs.</t>
  </si>
  <si>
    <t>10 Rolls</t>
  </si>
  <si>
    <t>11Rolls</t>
  </si>
  <si>
    <t>13Rolls</t>
  </si>
  <si>
    <t>DESCRIPTION( Vertical 50 to 60 ton lps)</t>
  </si>
  <si>
    <t>1800 Kgs.</t>
  </si>
  <si>
    <t xml:space="preserve">2. System will hydraulic system for lowering and lifting will cost Rs.1,50,000.00 extra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</si>
</sst>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INR]\ #,##0.00"/>
    <numFmt numFmtId="165" formatCode="_ * #,##0_ ;_ * \-#,##0_ ;_ * &quot;-&quot;??_ ;_ @_ "/>
    <numFmt numFmtId="166" formatCode="#,##0\ &quot;Nos&quot;"/>
    <numFmt numFmtId="167" formatCode="_-* #,##0.00_-;\-* #,##0.00_-;_-* &quot;-&quot;??_-;_-@"/>
    <numFmt numFmtId="168" formatCode="0.0000"/>
    <numFmt numFmtId="169" formatCode="d\.m\.yy"/>
  </numFmts>
  <fonts count="24" x14ac:knownFonts="1">
    <font>
      <sz val="11"/>
      <color theme="1"/>
      <name val="Calibri"/>
      <scheme val="minor"/>
    </font>
    <font>
      <sz val="11"/>
      <color theme="1"/>
      <name val="Calibri"/>
      <scheme val="minor"/>
    </font>
    <font>
      <b/>
      <sz val="11"/>
      <color theme="1"/>
      <name val="Calibri"/>
    </font>
    <font>
      <sz val="11"/>
      <color theme="1"/>
      <name val="Calibri"/>
    </font>
    <font>
      <sz val="10"/>
      <color theme="1"/>
      <name val="Arial"/>
    </font>
    <font>
      <sz val="12"/>
      <color theme="1"/>
      <name val="Times New Roman"/>
    </font>
    <font>
      <b/>
      <sz val="12"/>
      <color theme="1"/>
      <name val="Times New Roman"/>
    </font>
    <font>
      <sz val="10"/>
      <color rgb="FFFF0000"/>
      <name val="Arial"/>
    </font>
    <font>
      <sz val="18"/>
      <color theme="1"/>
      <name val="Arial"/>
    </font>
    <font>
      <b/>
      <sz val="10"/>
      <color theme="1"/>
      <name val="Arial"/>
    </font>
    <font>
      <b/>
      <u/>
      <sz val="14"/>
      <color theme="1"/>
      <name val="Times New Roman"/>
    </font>
    <font>
      <b/>
      <u/>
      <sz val="14"/>
      <color theme="1"/>
      <name val="Times New Roman"/>
    </font>
    <font>
      <sz val="12"/>
      <color rgb="FFFF0000"/>
      <name val="Times New Roman"/>
    </font>
    <font>
      <b/>
      <sz val="14"/>
      <color theme="1"/>
      <name val="Times New Roman"/>
    </font>
    <font>
      <sz val="14"/>
      <color theme="1"/>
      <name val="Times New Roman"/>
    </font>
    <font>
      <b/>
      <sz val="11"/>
      <color rgb="FFFF0000"/>
      <name val="Calibri"/>
    </font>
    <font>
      <b/>
      <u/>
      <sz val="16"/>
      <color theme="1"/>
      <name val="Times New Roman"/>
    </font>
    <font>
      <sz val="12"/>
      <color rgb="FF000000"/>
      <name val="Times New Roman"/>
    </font>
    <font>
      <b/>
      <u/>
      <sz val="14"/>
      <color theme="1"/>
      <name val="Times New Roman"/>
    </font>
    <font>
      <b/>
      <u/>
      <sz val="12"/>
      <color theme="1"/>
      <name val="Times New Roman"/>
    </font>
    <font>
      <sz val="10"/>
      <color theme="1"/>
      <name val="Times New Roman"/>
    </font>
    <font>
      <sz val="11"/>
      <color theme="1"/>
      <name val="Times New Roman"/>
    </font>
    <font>
      <b/>
      <u/>
      <sz val="12"/>
      <color theme="1"/>
      <name val="Times New Roman"/>
    </font>
    <font>
      <b/>
      <sz val="12"/>
      <color rgb="FF000000"/>
      <name val="Times New Roman"/>
    </font>
  </fonts>
  <fills count="7">
    <fill>
      <patternFill patternType="none"/>
    </fill>
    <fill>
      <patternFill patternType="gray125"/>
    </fill>
    <fill>
      <patternFill patternType="solid">
        <fgColor theme="9"/>
        <bgColor theme="9"/>
      </patternFill>
    </fill>
    <fill>
      <patternFill patternType="solid">
        <fgColor rgb="FFFFFF00"/>
        <bgColor rgb="FFFFFF00"/>
      </patternFill>
    </fill>
    <fill>
      <patternFill patternType="solid">
        <fgColor theme="0"/>
        <bgColor theme="0"/>
      </patternFill>
    </fill>
    <fill>
      <patternFill patternType="solid">
        <fgColor rgb="FFCCFFFF"/>
        <bgColor rgb="FFCCFFFF"/>
      </patternFill>
    </fill>
    <fill>
      <patternFill patternType="solid">
        <fgColor rgb="FFC6D9F0"/>
        <bgColor rgb="FFC6D9F0"/>
      </patternFill>
    </fill>
  </fills>
  <borders count="76">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s>
  <cellStyleXfs count="1">
    <xf numFmtId="0" fontId="0" fillId="0" borderId="19"/>
  </cellStyleXfs>
  <cellXfs count="377">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1" xfId="0" applyFont="1" applyBorder="1"/>
    <xf numFmtId="0" fontId="4" fillId="2" borderId="1" xfId="0" applyFont="1" applyFill="1" applyBorder="1"/>
    <xf numFmtId="0" fontId="3" fillId="0" borderId="0" xfId="0" applyFont="1" applyBorder="1" applyAlignment="1">
      <alignment horizontal="center"/>
    </xf>
    <xf numFmtId="0" fontId="3" fillId="0" borderId="1" xfId="0" applyFont="1" applyBorder="1" applyAlignment="1">
      <alignment horizontal="center"/>
    </xf>
    <xf numFmtId="0" fontId="6" fillId="4" borderId="1" xfId="0" applyFont="1" applyFill="1" applyBorder="1" applyAlignment="1">
      <alignment horizontal="center" vertical="top" wrapText="1"/>
    </xf>
    <xf numFmtId="4" fontId="5" fillId="3" borderId="6" xfId="0" applyNumberFormat="1" applyFont="1" applyFill="1" applyBorder="1" applyAlignment="1">
      <alignment vertical="top" wrapText="1"/>
    </xf>
    <xf numFmtId="4" fontId="5" fillId="3" borderId="7" xfId="0" applyNumberFormat="1" applyFont="1" applyFill="1" applyBorder="1" applyAlignment="1">
      <alignment vertical="top" wrapText="1"/>
    </xf>
    <xf numFmtId="4" fontId="5" fillId="0" borderId="8" xfId="0" applyNumberFormat="1" applyFont="1" applyBorder="1" applyAlignment="1">
      <alignment vertical="top" wrapText="1"/>
    </xf>
    <xf numFmtId="0" fontId="4" fillId="4" borderId="1" xfId="0" applyFont="1" applyFill="1" applyBorder="1"/>
    <xf numFmtId="0" fontId="4" fillId="3" borderId="1" xfId="0" applyFont="1" applyFill="1" applyBorder="1"/>
    <xf numFmtId="4" fontId="5" fillId="3" borderId="12" xfId="0" applyNumberFormat="1" applyFont="1" applyFill="1" applyBorder="1" applyAlignment="1">
      <alignment vertical="top" wrapText="1"/>
    </xf>
    <xf numFmtId="4" fontId="5" fillId="3" borderId="13" xfId="0" applyNumberFormat="1" applyFont="1" applyFill="1" applyBorder="1" applyAlignment="1">
      <alignment vertical="top" wrapText="1"/>
    </xf>
    <xf numFmtId="4" fontId="5" fillId="0" borderId="10" xfId="0" applyNumberFormat="1" applyFont="1" applyBorder="1" applyAlignment="1">
      <alignment vertical="top" wrapText="1"/>
    </xf>
    <xf numFmtId="0" fontId="3" fillId="0" borderId="1" xfId="0" applyFont="1" applyBorder="1" applyAlignment="1">
      <alignment horizontal="right"/>
    </xf>
    <xf numFmtId="4" fontId="5" fillId="3" borderId="17" xfId="0" applyNumberFormat="1" applyFont="1" applyFill="1" applyBorder="1" applyAlignment="1">
      <alignment vertical="top" wrapText="1"/>
    </xf>
    <xf numFmtId="4" fontId="5" fillId="3" borderId="18" xfId="0" applyNumberFormat="1" applyFont="1" applyFill="1" applyBorder="1" applyAlignment="1">
      <alignment vertical="top" wrapText="1"/>
    </xf>
    <xf numFmtId="4" fontId="5" fillId="0" borderId="15" xfId="0" applyNumberFormat="1" applyFont="1" applyBorder="1" applyAlignment="1">
      <alignment vertical="top" wrapText="1"/>
    </xf>
    <xf numFmtId="0" fontId="3" fillId="0" borderId="0" xfId="0" applyFont="1" applyBorder="1" applyAlignment="1">
      <alignment horizontal="right"/>
    </xf>
    <xf numFmtId="0" fontId="4" fillId="0" borderId="1" xfId="0" applyFont="1" applyBorder="1" applyAlignment="1">
      <alignment wrapText="1"/>
    </xf>
    <xf numFmtId="0" fontId="7" fillId="4" borderId="1" xfId="0" applyFont="1" applyFill="1" applyBorder="1"/>
    <xf numFmtId="0" fontId="7" fillId="0" borderId="1" xfId="0" applyFont="1" applyBorder="1"/>
    <xf numFmtId="0" fontId="3" fillId="4" borderId="19" xfId="0" applyFont="1" applyFill="1"/>
    <xf numFmtId="0" fontId="3" fillId="0" borderId="1" xfId="0" applyFont="1" applyBorder="1"/>
    <xf numFmtId="1" fontId="3" fillId="0" borderId="0" xfId="0" applyNumberFormat="1" applyFont="1" applyBorder="1"/>
    <xf numFmtId="43" fontId="3" fillId="0" borderId="0" xfId="0" applyNumberFormat="1" applyFont="1" applyBorder="1"/>
    <xf numFmtId="0" fontId="3" fillId="0" borderId="25" xfId="0" applyFont="1" applyBorder="1"/>
    <xf numFmtId="0" fontId="3" fillId="0" borderId="1" xfId="0" applyFont="1" applyBorder="1" applyAlignment="1">
      <alignment horizontal="left"/>
    </xf>
    <xf numFmtId="0" fontId="3" fillId="0" borderId="26" xfId="0" applyFont="1" applyBorder="1" applyAlignment="1">
      <alignment horizontal="left"/>
    </xf>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left"/>
    </xf>
    <xf numFmtId="0" fontId="3" fillId="3" borderId="1" xfId="0" applyFont="1" applyFill="1" applyBorder="1" applyAlignment="1">
      <alignment horizontal="left"/>
    </xf>
    <xf numFmtId="0" fontId="3" fillId="0" borderId="27" xfId="0" applyFont="1" applyBorder="1"/>
    <xf numFmtId="0" fontId="3" fillId="0" borderId="28" xfId="0" applyFont="1" applyBorder="1"/>
    <xf numFmtId="0" fontId="3" fillId="0" borderId="28" xfId="0" applyFont="1" applyBorder="1" applyAlignment="1">
      <alignment horizontal="left"/>
    </xf>
    <xf numFmtId="0" fontId="3" fillId="0" borderId="29" xfId="0" applyFont="1" applyBorder="1" applyAlignment="1">
      <alignment horizontal="left"/>
    </xf>
    <xf numFmtId="0" fontId="3" fillId="3" borderId="30" xfId="0" applyFont="1" applyFill="1" applyBorder="1" applyAlignment="1">
      <alignment vertical="top" wrapText="1"/>
    </xf>
    <xf numFmtId="0" fontId="3" fillId="3" borderId="31" xfId="0" applyFont="1" applyFill="1" applyBorder="1" applyAlignment="1">
      <alignment horizontal="center" vertical="top" wrapText="1"/>
    </xf>
    <xf numFmtId="0" fontId="3" fillId="3" borderId="31" xfId="0" applyFont="1" applyFill="1" applyBorder="1" applyAlignment="1">
      <alignment vertical="top" wrapText="1"/>
    </xf>
    <xf numFmtId="0" fontId="3" fillId="3" borderId="32" xfId="0" applyFont="1" applyFill="1" applyBorder="1" applyAlignment="1">
      <alignment vertical="top" wrapText="1"/>
    </xf>
    <xf numFmtId="0" fontId="3" fillId="0" borderId="0" xfId="0" applyFont="1" applyBorder="1" applyAlignment="1">
      <alignment horizontal="left"/>
    </xf>
    <xf numFmtId="0" fontId="3" fillId="3" borderId="1" xfId="0" applyFont="1" applyFill="1" applyBorder="1" applyAlignment="1">
      <alignment vertical="top" wrapText="1"/>
    </xf>
    <xf numFmtId="4" fontId="3" fillId="3" borderId="1" xfId="0" applyNumberFormat="1" applyFont="1" applyFill="1" applyBorder="1" applyAlignment="1">
      <alignment vertical="top" wrapText="1"/>
    </xf>
    <xf numFmtId="0" fontId="9" fillId="0" borderId="1" xfId="0" applyFont="1" applyBorder="1" applyAlignment="1">
      <alignment horizontal="center"/>
    </xf>
    <xf numFmtId="0" fontId="9" fillId="0" borderId="1" xfId="0" applyFont="1" applyBorder="1"/>
    <xf numFmtId="0" fontId="9" fillId="0" borderId="1" xfId="0" applyFont="1" applyBorder="1" applyAlignment="1">
      <alignment horizontal="left"/>
    </xf>
    <xf numFmtId="0" fontId="3" fillId="0" borderId="1" xfId="0" applyFont="1" applyBorder="1" applyAlignment="1">
      <alignment horizontal="center" vertical="center"/>
    </xf>
    <xf numFmtId="0" fontId="2" fillId="0" borderId="33" xfId="0" applyFont="1" applyBorder="1"/>
    <xf numFmtId="0" fontId="3" fillId="0" borderId="34" xfId="0" applyFont="1" applyBorder="1"/>
    <xf numFmtId="0" fontId="3" fillId="0" borderId="35" xfId="0" applyFont="1" applyBorder="1"/>
    <xf numFmtId="0" fontId="4" fillId="0" borderId="25" xfId="0" applyFont="1" applyBorder="1" applyAlignment="1">
      <alignment wrapText="1"/>
    </xf>
    <xf numFmtId="164" fontId="4" fillId="0" borderId="1" xfId="0" applyNumberFormat="1" applyFont="1" applyBorder="1" applyAlignment="1">
      <alignment wrapText="1"/>
    </xf>
    <xf numFmtId="0" fontId="4" fillId="0" borderId="0" xfId="0" applyFont="1" applyBorder="1" applyAlignment="1">
      <alignment wrapText="1"/>
    </xf>
    <xf numFmtId="0" fontId="4" fillId="0" borderId="36" xfId="0" applyFont="1" applyBorder="1" applyAlignment="1">
      <alignment wrapText="1"/>
    </xf>
    <xf numFmtId="2" fontId="3" fillId="0" borderId="25" xfId="0" applyNumberFormat="1" applyFont="1" applyBorder="1" applyAlignment="1">
      <alignment wrapText="1"/>
    </xf>
    <xf numFmtId="2" fontId="3" fillId="0" borderId="1" xfId="0" applyNumberFormat="1" applyFont="1" applyBorder="1" applyAlignment="1">
      <alignment wrapText="1"/>
    </xf>
    <xf numFmtId="2" fontId="3" fillId="0" borderId="0" xfId="0" applyNumberFormat="1" applyFont="1" applyBorder="1" applyAlignment="1">
      <alignment wrapText="1"/>
    </xf>
    <xf numFmtId="2" fontId="3" fillId="0" borderId="36" xfId="0" applyNumberFormat="1" applyFont="1" applyBorder="1" applyAlignment="1">
      <alignment wrapText="1"/>
    </xf>
    <xf numFmtId="0" fontId="4" fillId="0" borderId="25" xfId="0" applyFont="1" applyBorder="1" applyAlignment="1">
      <alignment horizontal="right"/>
    </xf>
    <xf numFmtId="164" fontId="9" fillId="0" borderId="1" xfId="0" applyNumberFormat="1" applyFont="1" applyBorder="1"/>
    <xf numFmtId="0" fontId="4" fillId="0" borderId="0" xfId="0" applyFont="1" applyBorder="1"/>
    <xf numFmtId="0" fontId="4" fillId="0" borderId="36" xfId="0" applyFont="1" applyBorder="1"/>
    <xf numFmtId="164" fontId="3" fillId="0" borderId="1" xfId="0" applyNumberFormat="1" applyFont="1" applyBorder="1"/>
    <xf numFmtId="0" fontId="3" fillId="0" borderId="36" xfId="0" applyFont="1" applyBorder="1"/>
    <xf numFmtId="0" fontId="3" fillId="0" borderId="37" xfId="0" applyFont="1" applyBorder="1"/>
    <xf numFmtId="0" fontId="4" fillId="0" borderId="37" xfId="0" applyFont="1" applyBorder="1" applyAlignment="1">
      <alignment horizontal="right"/>
    </xf>
    <xf numFmtId="164" fontId="9" fillId="0" borderId="0" xfId="0" applyNumberFormat="1" applyFont="1" applyBorder="1"/>
    <xf numFmtId="0" fontId="4" fillId="0" borderId="25" xfId="0" applyFont="1" applyBorder="1" applyAlignment="1">
      <alignment vertical="center" wrapText="1"/>
    </xf>
    <xf numFmtId="0" fontId="4" fillId="0" borderId="1" xfId="0" applyFont="1" applyBorder="1" applyAlignment="1">
      <alignment vertical="center" wrapText="1"/>
    </xf>
    <xf numFmtId="164" fontId="4" fillId="0" borderId="1" xfId="0" applyNumberFormat="1" applyFont="1" applyBorder="1" applyAlignment="1">
      <alignment vertical="center" wrapText="1"/>
    </xf>
    <xf numFmtId="9" fontId="4" fillId="0" borderId="1" xfId="0" applyNumberFormat="1" applyFont="1" applyBorder="1" applyAlignment="1">
      <alignment vertical="center"/>
    </xf>
    <xf numFmtId="9" fontId="4" fillId="0" borderId="26" xfId="0" applyNumberFormat="1" applyFont="1" applyBorder="1" applyAlignment="1">
      <alignment vertical="center"/>
    </xf>
    <xf numFmtId="9" fontId="3" fillId="0" borderId="1" xfId="0" applyNumberFormat="1" applyFont="1" applyBorder="1"/>
    <xf numFmtId="9" fontId="3" fillId="0" borderId="26" xfId="0" applyNumberFormat="1" applyFont="1" applyBorder="1"/>
    <xf numFmtId="43" fontId="3" fillId="0" borderId="1" xfId="0" applyNumberFormat="1" applyFont="1" applyBorder="1"/>
    <xf numFmtId="164" fontId="3" fillId="0" borderId="26" xfId="0" applyNumberFormat="1" applyFont="1" applyBorder="1"/>
    <xf numFmtId="164" fontId="3" fillId="0" borderId="28" xfId="0" applyNumberFormat="1" applyFont="1" applyBorder="1"/>
    <xf numFmtId="164" fontId="3" fillId="0" borderId="29" xfId="0" applyNumberFormat="1" applyFont="1" applyBorder="1"/>
    <xf numFmtId="0" fontId="4" fillId="0" borderId="27" xfId="0" applyFont="1" applyBorder="1" applyAlignment="1">
      <alignment horizontal="right"/>
    </xf>
    <xf numFmtId="43" fontId="3" fillId="0" borderId="28" xfId="0" applyNumberFormat="1" applyFont="1" applyBorder="1"/>
    <xf numFmtId="0" fontId="4" fillId="0" borderId="28" xfId="0" applyFont="1" applyBorder="1"/>
    <xf numFmtId="0" fontId="9" fillId="0" borderId="33" xfId="0" applyFont="1" applyBorder="1" applyAlignment="1">
      <alignment horizontal="left"/>
    </xf>
    <xf numFmtId="0" fontId="3" fillId="0" borderId="34" xfId="0" applyFont="1" applyBorder="1" applyAlignment="1">
      <alignment horizontal="left"/>
    </xf>
    <xf numFmtId="0" fontId="3" fillId="0" borderId="25" xfId="0" applyFont="1" applyBorder="1" applyAlignment="1">
      <alignment wrapText="1"/>
    </xf>
    <xf numFmtId="0" fontId="3" fillId="0" borderId="1" xfId="0" applyFont="1" applyBorder="1" applyAlignment="1">
      <alignment wrapText="1"/>
    </xf>
    <xf numFmtId="164" fontId="3" fillId="0" borderId="0" xfId="0" applyNumberFormat="1" applyFont="1" applyBorder="1"/>
    <xf numFmtId="0" fontId="3" fillId="0" borderId="38" xfId="0" applyFont="1" applyBorder="1" applyAlignment="1">
      <alignment wrapText="1"/>
    </xf>
    <xf numFmtId="0" fontId="3" fillId="0" borderId="39" xfId="0" applyFont="1" applyBorder="1" applyAlignment="1">
      <alignment wrapText="1"/>
    </xf>
    <xf numFmtId="164" fontId="3" fillId="0" borderId="39" xfId="0" applyNumberFormat="1" applyFont="1" applyBorder="1"/>
    <xf numFmtId="9" fontId="3" fillId="0" borderId="39" xfId="0" applyNumberFormat="1" applyFont="1" applyBorder="1"/>
    <xf numFmtId="9" fontId="3" fillId="0" borderId="40" xfId="0" applyNumberFormat="1" applyFont="1" applyBorder="1"/>
    <xf numFmtId="0" fontId="3" fillId="0" borderId="26" xfId="0" applyFont="1" applyBorder="1"/>
    <xf numFmtId="0" fontId="3" fillId="0" borderId="29" xfId="0" applyFont="1" applyBorder="1"/>
    <xf numFmtId="0" fontId="3" fillId="0" borderId="0" xfId="0" applyFont="1" applyBorder="1" applyAlignment="1">
      <alignment vertical="center"/>
    </xf>
    <xf numFmtId="0" fontId="11" fillId="0" borderId="0" xfId="0" applyFont="1" applyBorder="1"/>
    <xf numFmtId="0" fontId="9" fillId="5" borderId="19" xfId="0" applyFont="1" applyFill="1"/>
    <xf numFmtId="0" fontId="4" fillId="5" borderId="19" xfId="0" applyFont="1" applyFill="1"/>
    <xf numFmtId="0" fontId="5" fillId="0" borderId="42" xfId="0" applyFont="1" applyBorder="1" applyAlignment="1">
      <alignment horizontal="center" vertical="top"/>
    </xf>
    <xf numFmtId="0" fontId="5" fillId="0" borderId="43" xfId="0" applyFont="1" applyBorder="1" applyAlignment="1">
      <alignment horizontal="center" vertical="top"/>
    </xf>
    <xf numFmtId="0" fontId="5" fillId="0" borderId="44" xfId="0" applyFont="1" applyBorder="1" applyAlignment="1">
      <alignment horizontal="center" vertical="top"/>
    </xf>
    <xf numFmtId="0" fontId="5" fillId="5" borderId="45" xfId="0" applyFont="1" applyFill="1" applyBorder="1" applyAlignment="1">
      <alignment horizontal="center" vertical="top" wrapText="1"/>
    </xf>
    <xf numFmtId="0" fontId="5" fillId="5" borderId="1" xfId="0" applyFont="1" applyFill="1" applyBorder="1" applyAlignment="1">
      <alignment horizontal="center" vertical="top"/>
    </xf>
    <xf numFmtId="0" fontId="5" fillId="5" borderId="1" xfId="0" applyFont="1" applyFill="1" applyBorder="1" applyAlignment="1">
      <alignment horizontal="center" vertical="top" wrapText="1"/>
    </xf>
    <xf numFmtId="0" fontId="5" fillId="5" borderId="46" xfId="0" applyFont="1" applyFill="1" applyBorder="1" applyAlignment="1">
      <alignment horizontal="center" vertical="top"/>
    </xf>
    <xf numFmtId="0" fontId="5" fillId="0" borderId="47" xfId="0" applyFont="1" applyBorder="1" applyAlignment="1">
      <alignment vertical="top"/>
    </xf>
    <xf numFmtId="0" fontId="5" fillId="0" borderId="48" xfId="0" applyFont="1" applyBorder="1" applyAlignment="1">
      <alignment vertical="top"/>
    </xf>
    <xf numFmtId="0" fontId="5" fillId="0" borderId="48" xfId="0" applyFont="1" applyBorder="1" applyAlignment="1">
      <alignment horizontal="center" vertical="top"/>
    </xf>
    <xf numFmtId="4" fontId="5" fillId="0" borderId="48" xfId="0" applyNumberFormat="1" applyFont="1" applyBorder="1" applyAlignment="1">
      <alignment vertical="top"/>
    </xf>
    <xf numFmtId="4" fontId="5" fillId="0" borderId="49" xfId="0" applyNumberFormat="1" applyFont="1" applyBorder="1" applyAlignment="1">
      <alignment vertical="top"/>
    </xf>
    <xf numFmtId="0" fontId="4" fillId="3" borderId="45" xfId="0" applyFont="1" applyFill="1" applyBorder="1"/>
    <xf numFmtId="0" fontId="4" fillId="5" borderId="1" xfId="0" applyFont="1" applyFill="1" applyBorder="1"/>
    <xf numFmtId="9" fontId="3" fillId="0" borderId="0" xfId="0" applyNumberFormat="1" applyFont="1" applyBorder="1"/>
    <xf numFmtId="0" fontId="5" fillId="0" borderId="25" xfId="0" applyFont="1" applyBorder="1" applyAlignment="1">
      <alignment vertical="top"/>
    </xf>
    <xf numFmtId="0" fontId="5" fillId="0" borderId="1" xfId="0" applyFont="1" applyBorder="1" applyAlignment="1">
      <alignment vertical="top"/>
    </xf>
    <xf numFmtId="0" fontId="5" fillId="0" borderId="1" xfId="0" applyFont="1" applyBorder="1" applyAlignment="1">
      <alignment horizontal="center" vertical="top"/>
    </xf>
    <xf numFmtId="4" fontId="5" fillId="0" borderId="1" xfId="0" applyNumberFormat="1" applyFont="1" applyBorder="1" applyAlignment="1">
      <alignment vertical="top"/>
    </xf>
    <xf numFmtId="4" fontId="5" fillId="0" borderId="26" xfId="0" applyNumberFormat="1" applyFont="1" applyBorder="1" applyAlignment="1">
      <alignment vertical="top"/>
    </xf>
    <xf numFmtId="4" fontId="12" fillId="0" borderId="1" xfId="0" applyNumberFormat="1" applyFont="1" applyBorder="1" applyAlignment="1">
      <alignment horizontal="right"/>
    </xf>
    <xf numFmtId="4" fontId="5" fillId="0" borderId="26" xfId="0" applyNumberFormat="1" applyFont="1" applyBorder="1"/>
    <xf numFmtId="0" fontId="5" fillId="0" borderId="27" xfId="0" applyFont="1" applyBorder="1" applyAlignment="1">
      <alignment vertical="top"/>
    </xf>
    <xf numFmtId="0" fontId="5" fillId="0" borderId="28" xfId="0" applyFont="1" applyBorder="1" applyAlignment="1">
      <alignment vertical="top"/>
    </xf>
    <xf numFmtId="0" fontId="5" fillId="0" borderId="28" xfId="0" applyFont="1" applyBorder="1" applyAlignment="1">
      <alignment horizontal="center" vertical="top"/>
    </xf>
    <xf numFmtId="4" fontId="12" fillId="0" borderId="28" xfId="0" applyNumberFormat="1" applyFont="1" applyBorder="1" applyAlignment="1">
      <alignment horizontal="right"/>
    </xf>
    <xf numFmtId="4" fontId="5" fillId="0" borderId="29" xfId="0" applyNumberFormat="1" applyFont="1" applyBorder="1"/>
    <xf numFmtId="0" fontId="13" fillId="0" borderId="0" xfId="0" applyFont="1" applyBorder="1"/>
    <xf numFmtId="0" fontId="5" fillId="0" borderId="38" xfId="0" applyFont="1" applyBorder="1" applyAlignment="1">
      <alignment horizontal="center" vertical="top"/>
    </xf>
    <xf numFmtId="0" fontId="5" fillId="0" borderId="39" xfId="0" applyFont="1" applyBorder="1" applyAlignment="1">
      <alignment horizontal="center" vertical="top"/>
    </xf>
    <xf numFmtId="0" fontId="5" fillId="0" borderId="40" xfId="0" applyFont="1" applyBorder="1" applyAlignment="1">
      <alignment horizontal="center" vertical="top"/>
    </xf>
    <xf numFmtId="0" fontId="4" fillId="5" borderId="1" xfId="0" applyFont="1" applyFill="1" applyBorder="1" applyAlignment="1">
      <alignment vertical="center" wrapText="1"/>
    </xf>
    <xf numFmtId="0" fontId="4" fillId="5" borderId="1" xfId="0" applyFont="1" applyFill="1" applyBorder="1" applyAlignment="1">
      <alignment vertical="center"/>
    </xf>
    <xf numFmtId="165" fontId="4" fillId="5" borderId="1" xfId="0" applyNumberFormat="1" applyFont="1" applyFill="1" applyBorder="1"/>
    <xf numFmtId="4" fontId="12" fillId="0" borderId="1" xfId="0" applyNumberFormat="1" applyFont="1" applyBorder="1"/>
    <xf numFmtId="0" fontId="14" fillId="0" borderId="0" xfId="0" applyFont="1" applyBorder="1"/>
    <xf numFmtId="0" fontId="5" fillId="0" borderId="0" xfId="0" applyFont="1" applyBorder="1" applyAlignment="1">
      <alignment horizontal="left"/>
    </xf>
    <xf numFmtId="12" fontId="3" fillId="0" borderId="25" xfId="0" applyNumberFormat="1" applyFont="1" applyBorder="1"/>
    <xf numFmtId="12" fontId="3" fillId="0" borderId="1" xfId="0" applyNumberFormat="1" applyFont="1" applyBorder="1"/>
    <xf numFmtId="166" fontId="3" fillId="0" borderId="1" xfId="0" applyNumberFormat="1" applyFont="1" applyBorder="1"/>
    <xf numFmtId="12" fontId="3" fillId="0" borderId="25" xfId="0" quotePrefix="1" applyNumberFormat="1" applyFont="1" applyBorder="1"/>
    <xf numFmtId="12" fontId="3" fillId="0" borderId="1" xfId="0" quotePrefix="1" applyNumberFormat="1" applyFont="1" applyBorder="1"/>
    <xf numFmtId="12" fontId="3" fillId="0" borderId="37" xfId="0" applyNumberFormat="1" applyFont="1" applyBorder="1"/>
    <xf numFmtId="12" fontId="3" fillId="0" borderId="0" xfId="0" applyNumberFormat="1" applyFont="1" applyBorder="1"/>
    <xf numFmtId="166" fontId="3" fillId="0" borderId="0" xfId="0" applyNumberFormat="1" applyFont="1" applyBorder="1"/>
    <xf numFmtId="12" fontId="3" fillId="0" borderId="27" xfId="0" quotePrefix="1" applyNumberFormat="1" applyFont="1" applyBorder="1"/>
    <xf numFmtId="12" fontId="3" fillId="0" borderId="33" xfId="0" applyNumberFormat="1" applyFont="1" applyBorder="1"/>
    <xf numFmtId="0" fontId="2" fillId="0" borderId="11" xfId="0" applyFont="1" applyBorder="1" applyAlignment="1">
      <alignment vertical="center"/>
    </xf>
    <xf numFmtId="0" fontId="2" fillId="0" borderId="1" xfId="0" applyFont="1" applyBorder="1" applyAlignment="1">
      <alignment horizontal="center" wrapText="1"/>
    </xf>
    <xf numFmtId="0" fontId="2" fillId="0" borderId="48" xfId="0" applyFont="1" applyBorder="1" applyAlignment="1">
      <alignment horizontal="center" wrapText="1"/>
    </xf>
    <xf numFmtId="0" fontId="2" fillId="0" borderId="48" xfId="0" applyFont="1" applyBorder="1" applyAlignment="1">
      <alignment horizontal="left" wrapText="1"/>
    </xf>
    <xf numFmtId="0" fontId="3" fillId="0" borderId="48" xfId="0" applyFont="1" applyBorder="1" applyAlignment="1">
      <alignment horizontal="left"/>
    </xf>
    <xf numFmtId="0" fontId="2" fillId="0" borderId="48" xfId="0" applyFont="1" applyBorder="1" applyAlignment="1">
      <alignment horizontal="left"/>
    </xf>
    <xf numFmtId="0" fontId="3" fillId="0" borderId="48" xfId="0" applyFont="1" applyBorder="1"/>
    <xf numFmtId="0" fontId="2" fillId="0" borderId="48" xfId="0" applyFont="1" applyBorder="1" applyAlignment="1">
      <alignment horizontal="center"/>
    </xf>
    <xf numFmtId="0" fontId="5" fillId="0" borderId="54" xfId="0" applyFont="1" applyBorder="1" applyAlignment="1">
      <alignment vertical="center" wrapText="1"/>
    </xf>
    <xf numFmtId="0" fontId="5" fillId="0" borderId="55" xfId="0" applyFont="1" applyBorder="1" applyAlignment="1">
      <alignment vertical="center" wrapText="1"/>
    </xf>
    <xf numFmtId="0" fontId="5" fillId="0" borderId="55" xfId="0" applyFont="1" applyBorder="1" applyAlignment="1">
      <alignment horizontal="center" vertical="center" wrapText="1"/>
    </xf>
    <xf numFmtId="0" fontId="2" fillId="0" borderId="1" xfId="0" applyFont="1" applyBorder="1" applyAlignment="1">
      <alignment horizontal="left" wrapText="1"/>
    </xf>
    <xf numFmtId="0" fontId="5" fillId="0" borderId="56" xfId="0" applyFont="1" applyBorder="1" applyAlignment="1">
      <alignment vertical="center" wrapText="1"/>
    </xf>
    <xf numFmtId="0" fontId="5" fillId="0" borderId="57" xfId="0" applyFont="1" applyBorder="1" applyAlignment="1">
      <alignment horizontal="right" vertical="center" wrapText="1"/>
    </xf>
    <xf numFmtId="0" fontId="5" fillId="0" borderId="57" xfId="0" applyFont="1" applyBorder="1" applyAlignment="1">
      <alignment vertical="center" wrapText="1"/>
    </xf>
    <xf numFmtId="4" fontId="5" fillId="0" borderId="57" xfId="0" applyNumberFormat="1" applyFont="1" applyBorder="1" applyAlignment="1">
      <alignment horizontal="right" vertical="center" wrapText="1"/>
    </xf>
    <xf numFmtId="0" fontId="3" fillId="6" borderId="1" xfId="0" applyFont="1" applyFill="1" applyBorder="1" applyAlignment="1">
      <alignment horizontal="left"/>
    </xf>
    <xf numFmtId="0" fontId="3" fillId="6" borderId="1" xfId="0" applyFont="1" applyFill="1" applyBorder="1"/>
    <xf numFmtId="0" fontId="2" fillId="0" borderId="1" xfId="0" applyFont="1" applyBorder="1" applyAlignment="1">
      <alignment wrapText="1"/>
    </xf>
    <xf numFmtId="0" fontId="3" fillId="0" borderId="50" xfId="0" applyFont="1" applyBorder="1"/>
    <xf numFmtId="0" fontId="3" fillId="4" borderId="1" xfId="0" applyFont="1" applyFill="1" applyBorder="1"/>
    <xf numFmtId="0" fontId="3" fillId="3" borderId="1" xfId="0" applyFont="1" applyFill="1" applyBorder="1"/>
    <xf numFmtId="0" fontId="2" fillId="3" borderId="1" xfId="0" applyFont="1" applyFill="1" applyBorder="1"/>
    <xf numFmtId="0" fontId="2" fillId="0" borderId="53" xfId="0" applyFont="1" applyBorder="1" applyAlignment="1">
      <alignment horizontal="left" wrapText="1"/>
    </xf>
    <xf numFmtId="0" fontId="15" fillId="0" borderId="1" xfId="0" applyFont="1" applyBorder="1"/>
    <xf numFmtId="0" fontId="3" fillId="0" borderId="53" xfId="0" applyFont="1" applyBorder="1"/>
    <xf numFmtId="0" fontId="15" fillId="0" borderId="1" xfId="0" applyFont="1" applyBorder="1" applyAlignment="1">
      <alignment horizontal="left"/>
    </xf>
    <xf numFmtId="0" fontId="15" fillId="0" borderId="53" xfId="0" applyFont="1" applyBorder="1" applyAlignment="1">
      <alignment horizontal="left"/>
    </xf>
    <xf numFmtId="0" fontId="15" fillId="0" borderId="53" xfId="0" applyFont="1" applyBorder="1"/>
    <xf numFmtId="0" fontId="5" fillId="0" borderId="0" xfId="0" applyFont="1" applyBorder="1"/>
    <xf numFmtId="0" fontId="5" fillId="0" borderId="1" xfId="0" applyFont="1" applyBorder="1" applyAlignment="1">
      <alignment horizontal="center" vertical="top" wrapText="1"/>
    </xf>
    <xf numFmtId="0" fontId="5" fillId="0" borderId="25" xfId="0" applyFont="1" applyBorder="1" applyAlignment="1">
      <alignment vertical="top" wrapText="1"/>
    </xf>
    <xf numFmtId="0" fontId="5" fillId="0" borderId="1" xfId="0" applyFont="1" applyBorder="1" applyAlignment="1">
      <alignment vertical="top" wrapText="1"/>
    </xf>
    <xf numFmtId="4" fontId="5" fillId="0" borderId="26" xfId="0" applyNumberFormat="1" applyFont="1" applyBorder="1" applyAlignment="1">
      <alignment vertical="top" wrapText="1"/>
    </xf>
    <xf numFmtId="167" fontId="3" fillId="0" borderId="0" xfId="0" applyNumberFormat="1" applyFont="1" applyBorder="1"/>
    <xf numFmtId="4" fontId="5" fillId="0" borderId="1" xfId="0" applyNumberFormat="1" applyFont="1" applyBorder="1" applyAlignment="1">
      <alignment vertical="top" wrapText="1"/>
    </xf>
    <xf numFmtId="0" fontId="5" fillId="0" borderId="27" xfId="0" applyFont="1" applyBorder="1" applyAlignment="1">
      <alignment vertical="top" wrapText="1"/>
    </xf>
    <xf numFmtId="0" fontId="5" fillId="0" borderId="28" xfId="0" applyFont="1" applyBorder="1" applyAlignment="1">
      <alignment vertical="top" wrapText="1"/>
    </xf>
    <xf numFmtId="4" fontId="5" fillId="0" borderId="29" xfId="0" applyNumberFormat="1" applyFont="1" applyBorder="1" applyAlignment="1">
      <alignment vertical="top" wrapText="1"/>
    </xf>
    <xf numFmtId="4" fontId="5" fillId="0" borderId="48" xfId="0" applyNumberFormat="1" applyFont="1" applyBorder="1" applyAlignment="1">
      <alignment vertical="top" wrapText="1"/>
    </xf>
    <xf numFmtId="4" fontId="5" fillId="0" borderId="49" xfId="0" applyNumberFormat="1" applyFont="1" applyBorder="1" applyAlignment="1">
      <alignment vertical="top" wrapText="1"/>
    </xf>
    <xf numFmtId="43" fontId="4" fillId="0" borderId="1" xfId="0" applyNumberFormat="1" applyFont="1" applyBorder="1"/>
    <xf numFmtId="4" fontId="5" fillId="0" borderId="62" xfId="0" applyNumberFormat="1" applyFont="1" applyBorder="1" applyAlignment="1">
      <alignment vertical="top" wrapText="1"/>
    </xf>
    <xf numFmtId="0" fontId="5" fillId="0" borderId="62" xfId="0" applyFont="1" applyBorder="1" applyAlignment="1">
      <alignment vertical="top" wrapText="1"/>
    </xf>
    <xf numFmtId="4" fontId="5" fillId="0" borderId="28" xfId="0" applyNumberFormat="1" applyFont="1" applyBorder="1" applyAlignment="1">
      <alignment vertical="top" wrapText="1"/>
    </xf>
    <xf numFmtId="0" fontId="5" fillId="0" borderId="0" xfId="0" applyFont="1" applyBorder="1" applyAlignment="1">
      <alignment vertical="top" wrapText="1"/>
    </xf>
    <xf numFmtId="4" fontId="5" fillId="0" borderId="0" xfId="0" applyNumberFormat="1" applyFont="1" applyBorder="1" applyAlignment="1">
      <alignment vertical="top" wrapText="1"/>
    </xf>
    <xf numFmtId="0" fontId="13" fillId="0" borderId="0" xfId="0" applyFont="1" applyBorder="1" applyAlignment="1">
      <alignment horizontal="left" vertical="center"/>
    </xf>
    <xf numFmtId="0" fontId="5" fillId="0" borderId="54"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56" xfId="0" applyFont="1" applyBorder="1" applyAlignment="1">
      <alignment vertical="center"/>
    </xf>
    <xf numFmtId="4" fontId="17" fillId="0" borderId="57" xfId="0" applyNumberFormat="1" applyFont="1" applyBorder="1" applyAlignment="1">
      <alignment horizontal="right" vertical="center"/>
    </xf>
    <xf numFmtId="0" fontId="13" fillId="0" borderId="0" xfId="0" applyFont="1" applyBorder="1" applyAlignment="1">
      <alignment vertical="center"/>
    </xf>
    <xf numFmtId="0" fontId="17" fillId="0" borderId="54" xfId="0" applyFont="1" applyBorder="1" applyAlignment="1">
      <alignment vertical="center"/>
    </xf>
    <xf numFmtId="4" fontId="5" fillId="0" borderId="55" xfId="0" applyNumberFormat="1" applyFont="1" applyBorder="1" applyAlignment="1">
      <alignment horizontal="right" vertical="center"/>
    </xf>
    <xf numFmtId="0" fontId="18" fillId="0" borderId="0" xfId="0" applyFont="1" applyBorder="1" applyAlignment="1">
      <alignment horizontal="left" vertical="center"/>
    </xf>
    <xf numFmtId="168" fontId="3" fillId="0" borderId="0" xfId="0" applyNumberFormat="1" applyFont="1" applyBorder="1"/>
    <xf numFmtId="4" fontId="3" fillId="0" borderId="0" xfId="0" applyNumberFormat="1" applyFont="1" applyBorder="1"/>
    <xf numFmtId="43" fontId="5" fillId="0" borderId="26" xfId="0" applyNumberFormat="1" applyFont="1" applyBorder="1" applyAlignment="1">
      <alignment vertical="top" wrapText="1"/>
    </xf>
    <xf numFmtId="0" fontId="20" fillId="0" borderId="0" xfId="0" applyFont="1" applyBorder="1"/>
    <xf numFmtId="0" fontId="5" fillId="0" borderId="38" xfId="0" applyFont="1" applyBorder="1" applyAlignment="1">
      <alignment vertical="top" wrapText="1"/>
    </xf>
    <xf numFmtId="0" fontId="5" fillId="0" borderId="39" xfId="0" applyFont="1" applyBorder="1" applyAlignment="1">
      <alignment vertical="top" wrapText="1"/>
    </xf>
    <xf numFmtId="0" fontId="5" fillId="0" borderId="40" xfId="0" applyFont="1" applyBorder="1" applyAlignment="1">
      <alignment vertical="top" wrapText="1"/>
    </xf>
    <xf numFmtId="0" fontId="21" fillId="0" borderId="58" xfId="0" applyFont="1" applyBorder="1" applyAlignment="1">
      <alignment vertical="top" wrapText="1"/>
    </xf>
    <xf numFmtId="0" fontId="21" fillId="0" borderId="59" xfId="0" applyFont="1" applyBorder="1" applyAlignment="1">
      <alignment horizontal="center" vertical="top" wrapText="1"/>
    </xf>
    <xf numFmtId="0" fontId="21" fillId="0" borderId="59" xfId="0" applyFont="1" applyBorder="1" applyAlignment="1">
      <alignment vertical="top" wrapText="1"/>
    </xf>
    <xf numFmtId="0" fontId="6" fillId="0" borderId="0" xfId="0" applyFont="1" applyBorder="1"/>
    <xf numFmtId="0" fontId="6" fillId="0" borderId="0" xfId="0" applyFont="1" applyBorder="1" applyAlignment="1">
      <alignment horizontal="center"/>
    </xf>
    <xf numFmtId="0" fontId="5" fillId="0" borderId="40" xfId="0" applyFont="1" applyBorder="1" applyAlignment="1">
      <alignment horizontal="center" vertical="top" wrapText="1"/>
    </xf>
    <xf numFmtId="4" fontId="5" fillId="0" borderId="26" xfId="0" applyNumberFormat="1" applyFont="1" applyBorder="1" applyAlignment="1">
      <alignment horizontal="center" vertical="top" wrapText="1"/>
    </xf>
    <xf numFmtId="4" fontId="5" fillId="0" borderId="29" xfId="0" applyNumberFormat="1" applyFont="1" applyBorder="1" applyAlignment="1">
      <alignment horizontal="center" vertical="top" wrapText="1"/>
    </xf>
    <xf numFmtId="0" fontId="21" fillId="0" borderId="0" xfId="0" applyFont="1" applyBorder="1" applyAlignment="1">
      <alignment vertical="top" wrapText="1"/>
    </xf>
    <xf numFmtId="4" fontId="21" fillId="0" borderId="0" xfId="0" applyNumberFormat="1" applyFont="1" applyBorder="1" applyAlignment="1">
      <alignment vertical="top" wrapText="1"/>
    </xf>
    <xf numFmtId="169" fontId="21" fillId="0" borderId="0" xfId="0" applyNumberFormat="1" applyFont="1" applyBorder="1" applyAlignment="1">
      <alignment vertical="top" wrapText="1"/>
    </xf>
    <xf numFmtId="4" fontId="21" fillId="0" borderId="0" xfId="0" applyNumberFormat="1" applyFont="1" applyBorder="1" applyAlignment="1">
      <alignment horizontal="center" vertical="top" wrapText="1"/>
    </xf>
    <xf numFmtId="0" fontId="22" fillId="0" borderId="0" xfId="0" applyFont="1" applyBorder="1"/>
    <xf numFmtId="0" fontId="6" fillId="0" borderId="1" xfId="0" applyFont="1" applyBorder="1"/>
    <xf numFmtId="0" fontId="5" fillId="0" borderId="1" xfId="0" applyFont="1" applyBorder="1"/>
    <xf numFmtId="0" fontId="6" fillId="0" borderId="33" xfId="0" applyFont="1" applyBorder="1"/>
    <xf numFmtId="0" fontId="5" fillId="0" borderId="25" xfId="0" applyFont="1" applyBorder="1" applyAlignment="1">
      <alignment horizontal="center" vertical="top" wrapText="1"/>
    </xf>
    <xf numFmtId="0" fontId="5" fillId="0" borderId="26" xfId="0" applyFont="1" applyBorder="1" applyAlignment="1">
      <alignment horizontal="center" vertical="top" wrapText="1"/>
    </xf>
    <xf numFmtId="4" fontId="3" fillId="0" borderId="1" xfId="0" applyNumberFormat="1" applyFont="1" applyBorder="1"/>
    <xf numFmtId="4" fontId="3" fillId="0" borderId="26" xfId="0" applyNumberFormat="1" applyFont="1" applyBorder="1"/>
    <xf numFmtId="4" fontId="3" fillId="0" borderId="0" xfId="0" applyNumberFormat="1" applyFont="1" applyBorder="1" applyAlignment="1">
      <alignment horizontal="center"/>
    </xf>
    <xf numFmtId="4" fontId="3" fillId="0" borderId="28" xfId="0" applyNumberFormat="1" applyFont="1" applyBorder="1"/>
    <xf numFmtId="4" fontId="3" fillId="0" borderId="29" xfId="0" applyNumberFormat="1" applyFont="1" applyBorder="1"/>
    <xf numFmtId="0" fontId="6" fillId="3" borderId="38" xfId="0" applyFont="1" applyFill="1" applyBorder="1" applyAlignment="1">
      <alignment horizontal="center" vertical="top"/>
    </xf>
    <xf numFmtId="0" fontId="6" fillId="3" borderId="39" xfId="0" applyFont="1" applyFill="1" applyBorder="1" applyAlignment="1">
      <alignment horizontal="center" vertical="top"/>
    </xf>
    <xf numFmtId="0" fontId="6" fillId="3" borderId="63" xfId="0" applyFont="1" applyFill="1" applyBorder="1" applyAlignment="1">
      <alignment horizontal="center" vertical="top"/>
    </xf>
    <xf numFmtId="43" fontId="6" fillId="3" borderId="63" xfId="0" applyNumberFormat="1" applyFont="1" applyFill="1" applyBorder="1" applyAlignment="1">
      <alignment horizontal="center" vertical="top"/>
    </xf>
    <xf numFmtId="0" fontId="6" fillId="3" borderId="54" xfId="0" applyFont="1" applyFill="1" applyBorder="1" applyAlignment="1">
      <alignment horizontal="center" vertical="top"/>
    </xf>
    <xf numFmtId="0" fontId="6" fillId="0" borderId="54" xfId="0" applyFont="1" applyBorder="1" applyAlignment="1">
      <alignment horizontal="center" vertical="top"/>
    </xf>
    <xf numFmtId="0" fontId="23" fillId="3" borderId="39" xfId="0" applyFont="1" applyFill="1" applyBorder="1" applyAlignment="1">
      <alignment horizontal="center" vertical="top"/>
    </xf>
    <xf numFmtId="0" fontId="6" fillId="0" borderId="55" xfId="0" applyFont="1" applyBorder="1" applyAlignment="1">
      <alignment horizontal="center" vertical="top"/>
    </xf>
    <xf numFmtId="43" fontId="6" fillId="0" borderId="55" xfId="0" applyNumberFormat="1" applyFont="1" applyBorder="1" applyAlignment="1">
      <alignment horizontal="center" vertical="top"/>
    </xf>
    <xf numFmtId="0" fontId="5" fillId="0" borderId="56" xfId="0" applyFont="1" applyBorder="1" applyAlignment="1">
      <alignment vertical="top"/>
    </xf>
    <xf numFmtId="0" fontId="5" fillId="0" borderId="57" xfId="0" applyFont="1" applyBorder="1" applyAlignment="1">
      <alignment vertical="top"/>
    </xf>
    <xf numFmtId="43" fontId="5" fillId="0" borderId="26" xfId="0" applyNumberFormat="1" applyFont="1" applyBorder="1" applyAlignment="1">
      <alignment vertical="top"/>
    </xf>
    <xf numFmtId="43" fontId="5" fillId="0" borderId="57" xfId="0" applyNumberFormat="1" applyFont="1" applyBorder="1" applyAlignment="1">
      <alignment vertical="top"/>
    </xf>
    <xf numFmtId="0" fontId="5" fillId="0" borderId="64" xfId="0" applyFont="1" applyBorder="1" applyAlignment="1">
      <alignment vertical="top"/>
    </xf>
    <xf numFmtId="0" fontId="5" fillId="0" borderId="36" xfId="0" applyFont="1" applyBorder="1" applyAlignment="1">
      <alignment vertical="top"/>
    </xf>
    <xf numFmtId="43" fontId="5" fillId="0" borderId="64" xfId="0" applyNumberFormat="1" applyFont="1" applyBorder="1" applyAlignment="1">
      <alignment vertical="top"/>
    </xf>
    <xf numFmtId="0" fontId="5" fillId="0" borderId="1" xfId="0" applyFont="1" applyBorder="1" applyAlignment="1">
      <alignment horizontal="left" vertical="top"/>
    </xf>
    <xf numFmtId="0" fontId="5" fillId="0" borderId="36" xfId="0" applyFont="1" applyBorder="1" applyAlignment="1">
      <alignment horizontal="left" vertical="top"/>
    </xf>
    <xf numFmtId="0" fontId="5" fillId="0" borderId="66" xfId="0" applyFont="1" applyBorder="1" applyAlignment="1">
      <alignment vertical="top"/>
    </xf>
    <xf numFmtId="43" fontId="5" fillId="0" borderId="65" xfId="0" applyNumberFormat="1" applyFont="1" applyBorder="1" applyAlignment="1">
      <alignment vertical="top"/>
    </xf>
    <xf numFmtId="0" fontId="5" fillId="0" borderId="1" xfId="0" quotePrefix="1" applyFont="1" applyBorder="1" applyAlignment="1">
      <alignment vertical="top"/>
    </xf>
    <xf numFmtId="0" fontId="5" fillId="0" borderId="57" xfId="0" applyFont="1" applyBorder="1" applyAlignment="1">
      <alignment horizontal="left" vertical="top"/>
    </xf>
    <xf numFmtId="0" fontId="5" fillId="0" borderId="67" xfId="0" applyFont="1" applyBorder="1" applyAlignment="1">
      <alignment vertical="top"/>
    </xf>
    <xf numFmtId="43" fontId="5" fillId="0" borderId="56" xfId="0" applyNumberFormat="1" applyFont="1" applyBorder="1" applyAlignment="1">
      <alignment vertical="top"/>
    </xf>
    <xf numFmtId="43" fontId="5" fillId="6" borderId="26" xfId="0" applyNumberFormat="1" applyFont="1" applyFill="1" applyBorder="1" applyAlignment="1">
      <alignment vertical="top"/>
    </xf>
    <xf numFmtId="0" fontId="5" fillId="0" borderId="52" xfId="0" applyFont="1" applyBorder="1" applyAlignment="1">
      <alignment vertical="top"/>
    </xf>
    <xf numFmtId="43" fontId="5" fillId="6" borderId="68" xfId="0" applyNumberFormat="1" applyFont="1" applyFill="1" applyBorder="1" applyAlignment="1">
      <alignment vertical="top"/>
    </xf>
    <xf numFmtId="43" fontId="5" fillId="6" borderId="69" xfId="0" applyNumberFormat="1" applyFont="1" applyFill="1" applyBorder="1" applyAlignment="1">
      <alignment vertical="top"/>
    </xf>
    <xf numFmtId="0" fontId="6" fillId="0" borderId="28" xfId="0" applyFont="1" applyBorder="1" applyAlignment="1">
      <alignment vertical="top"/>
    </xf>
    <xf numFmtId="43" fontId="2" fillId="0" borderId="29" xfId="0" applyNumberFormat="1" applyFont="1" applyBorder="1"/>
    <xf numFmtId="0" fontId="3" fillId="0" borderId="70" xfId="0" applyFont="1" applyBorder="1"/>
    <xf numFmtId="0" fontId="3" fillId="0" borderId="41" xfId="0" applyFont="1" applyBorder="1"/>
    <xf numFmtId="0" fontId="6" fillId="0" borderId="57" xfId="0" applyFont="1" applyBorder="1" applyAlignment="1">
      <alignment vertical="top"/>
    </xf>
    <xf numFmtId="43" fontId="2" fillId="0" borderId="57" xfId="0" applyNumberFormat="1" applyFont="1" applyBorder="1"/>
    <xf numFmtId="0" fontId="6" fillId="0" borderId="0" xfId="0" applyFont="1" applyBorder="1" applyAlignment="1">
      <alignment vertical="top"/>
    </xf>
    <xf numFmtId="43" fontId="2" fillId="0" borderId="0" xfId="0" applyNumberFormat="1" applyFont="1" applyBorder="1"/>
    <xf numFmtId="0" fontId="6" fillId="0" borderId="42" xfId="0" applyFont="1" applyBorder="1" applyAlignment="1">
      <alignment horizontal="center" vertical="top"/>
    </xf>
    <xf numFmtId="0" fontId="23" fillId="3" borderId="43" xfId="0" applyFont="1" applyFill="1" applyBorder="1" applyAlignment="1">
      <alignment horizontal="center" vertical="top"/>
    </xf>
    <xf numFmtId="0" fontId="6" fillId="0" borderId="43" xfId="0" applyFont="1" applyBorder="1" applyAlignment="1">
      <alignment horizontal="center" vertical="top"/>
    </xf>
    <xf numFmtId="43" fontId="6" fillId="0" borderId="44" xfId="0" applyNumberFormat="1" applyFont="1" applyBorder="1" applyAlignment="1">
      <alignment horizontal="center" vertical="top"/>
    </xf>
    <xf numFmtId="43" fontId="5" fillId="0" borderId="49" xfId="0" applyNumberFormat="1" applyFont="1" applyBorder="1" applyAlignment="1">
      <alignment vertical="top"/>
    </xf>
    <xf numFmtId="0" fontId="5" fillId="0" borderId="71" xfId="0" applyFont="1" applyBorder="1" applyAlignment="1">
      <alignment vertical="top"/>
    </xf>
    <xf numFmtId="0" fontId="5" fillId="0" borderId="65" xfId="0" applyFont="1" applyBorder="1" applyAlignment="1">
      <alignment vertical="top"/>
    </xf>
    <xf numFmtId="0" fontId="2" fillId="0" borderId="28" xfId="0" applyFont="1" applyBorder="1"/>
    <xf numFmtId="0" fontId="2" fillId="0" borderId="41" xfId="0" applyFont="1" applyBorder="1"/>
    <xf numFmtId="43" fontId="3" fillId="0" borderId="57" xfId="0" applyNumberFormat="1" applyFont="1" applyBorder="1"/>
    <xf numFmtId="0" fontId="5" fillId="0" borderId="72" xfId="0" applyFont="1" applyBorder="1" applyAlignment="1">
      <alignment vertical="top"/>
    </xf>
    <xf numFmtId="43" fontId="5" fillId="0" borderId="66" xfId="0" applyNumberFormat="1" applyFont="1" applyBorder="1" applyAlignment="1">
      <alignment vertical="top"/>
    </xf>
    <xf numFmtId="0" fontId="5" fillId="0" borderId="57" xfId="0" applyFont="1" applyBorder="1" applyAlignment="1">
      <alignment horizontal="center" vertical="top"/>
    </xf>
    <xf numFmtId="0" fontId="5" fillId="0" borderId="64" xfId="0" applyFont="1" applyBorder="1" applyAlignment="1">
      <alignment horizontal="center" vertical="top"/>
    </xf>
    <xf numFmtId="0" fontId="5" fillId="0" borderId="0" xfId="0" applyFont="1" applyBorder="1" applyAlignment="1">
      <alignment vertical="top"/>
    </xf>
    <xf numFmtId="4" fontId="5" fillId="0" borderId="0" xfId="0" applyNumberFormat="1" applyFont="1" applyBorder="1" applyAlignment="1">
      <alignment vertical="top"/>
    </xf>
    <xf numFmtId="0" fontId="5" fillId="0" borderId="20" xfId="0" applyFont="1" applyBorder="1"/>
    <xf numFmtId="0" fontId="5" fillId="0" borderId="61" xfId="0" applyFont="1" applyBorder="1"/>
    <xf numFmtId="0" fontId="5" fillId="0" borderId="60" xfId="0" applyFont="1" applyBorder="1"/>
    <xf numFmtId="0" fontId="5" fillId="0" borderId="8" xfId="0" applyFont="1" applyBorder="1"/>
    <xf numFmtId="0" fontId="5" fillId="0" borderId="21" xfId="0" applyFont="1" applyBorder="1"/>
    <xf numFmtId="0" fontId="5" fillId="0" borderId="9" xfId="0" applyFont="1" applyBorder="1"/>
    <xf numFmtId="0" fontId="5" fillId="0" borderId="11" xfId="0" applyFont="1" applyBorder="1"/>
    <xf numFmtId="0" fontId="5" fillId="0" borderId="50" xfId="0" applyFont="1" applyBorder="1"/>
    <xf numFmtId="0" fontId="5" fillId="0" borderId="10" xfId="0" applyFont="1" applyBorder="1"/>
    <xf numFmtId="0" fontId="5" fillId="0" borderId="62" xfId="0" applyFont="1" applyBorder="1"/>
    <xf numFmtId="0" fontId="5" fillId="0" borderId="14" xfId="0" applyFont="1" applyBorder="1"/>
    <xf numFmtId="0" fontId="5" fillId="0" borderId="16" xfId="0" applyFont="1" applyBorder="1"/>
    <xf numFmtId="0" fontId="5" fillId="0" borderId="73" xfId="0" applyFont="1" applyBorder="1"/>
    <xf numFmtId="0" fontId="5" fillId="0" borderId="15" xfId="0" applyFont="1" applyBorder="1"/>
    <xf numFmtId="0" fontId="5" fillId="0" borderId="74" xfId="0" applyFont="1" applyBorder="1"/>
    <xf numFmtId="0" fontId="3" fillId="0" borderId="22" xfId="0" applyFont="1" applyBorder="1" applyAlignment="1">
      <alignment horizontal="center" vertical="center" wrapText="1"/>
    </xf>
    <xf numFmtId="0" fontId="0" fillId="0" borderId="23" xfId="0" applyBorder="1"/>
    <xf numFmtId="0" fontId="3" fillId="0" borderId="48" xfId="0" applyFont="1" applyBorder="1" applyAlignment="1">
      <alignment horizontal="center" vertical="center" wrapText="1"/>
    </xf>
    <xf numFmtId="0" fontId="0" fillId="0" borderId="24" xfId="0" applyBorder="1"/>
    <xf numFmtId="0" fontId="3" fillId="0" borderId="75" xfId="0" applyFont="1" applyBorder="1" applyAlignment="1">
      <alignment horizontal="center" vertical="center"/>
    </xf>
    <xf numFmtId="0" fontId="0" fillId="0" borderId="8" xfId="0" applyBorder="1"/>
    <xf numFmtId="0" fontId="0" fillId="0" borderId="21" xfId="0" applyBorder="1"/>
    <xf numFmtId="0" fontId="5" fillId="3" borderId="25" xfId="0" applyFont="1" applyFill="1" applyBorder="1" applyAlignment="1">
      <alignment vertical="top" wrapText="1"/>
    </xf>
    <xf numFmtId="0" fontId="0" fillId="0" borderId="51" xfId="0" applyBorder="1"/>
    <xf numFmtId="0" fontId="0" fillId="0" borderId="45" xfId="0" applyBorder="1"/>
    <xf numFmtId="0" fontId="2" fillId="0" borderId="2" xfId="0" applyFont="1" applyBorder="1" applyAlignment="1">
      <alignment horizontal="center"/>
    </xf>
    <xf numFmtId="0" fontId="0" fillId="0" borderId="5" xfId="0" applyBorder="1"/>
    <xf numFmtId="0" fontId="5" fillId="3" borderId="47" xfId="0" applyFont="1" applyFill="1" applyBorder="1" applyAlignment="1">
      <alignment vertical="top" wrapText="1"/>
    </xf>
    <xf numFmtId="0" fontId="5" fillId="3" borderId="27" xfId="0" applyFont="1" applyFill="1" applyBorder="1" applyAlignment="1">
      <alignment vertical="top" wrapText="1"/>
    </xf>
    <xf numFmtId="0" fontId="0" fillId="0" borderId="18" xfId="0" applyBorder="1"/>
    <xf numFmtId="0" fontId="0" fillId="0" borderId="16" xfId="0" applyBorder="1"/>
    <xf numFmtId="0" fontId="5" fillId="3" borderId="42" xfId="0" applyFont="1" applyFill="1" applyBorder="1" applyAlignment="1">
      <alignment horizontal="center" vertical="top" wrapText="1"/>
    </xf>
    <xf numFmtId="0" fontId="0" fillId="0" borderId="3" xfId="0" applyBorder="1"/>
    <xf numFmtId="0" fontId="5" fillId="3" borderId="4" xfId="0" applyFont="1" applyFill="1" applyBorder="1" applyAlignment="1">
      <alignment horizontal="center" vertical="top" wrapText="1"/>
    </xf>
    <xf numFmtId="0" fontId="3" fillId="0" borderId="19" xfId="0" applyFont="1" applyAlignment="1">
      <alignment horizontal="center"/>
    </xf>
    <xf numFmtId="0" fontId="0" fillId="0" borderId="0" xfId="0" applyBorder="1"/>
    <xf numFmtId="0" fontId="8" fillId="0" borderId="48" xfId="0" applyFont="1" applyBorder="1" applyAlignment="1">
      <alignment horizontal="center" vertical="center"/>
    </xf>
    <xf numFmtId="0" fontId="8" fillId="0" borderId="22" xfId="0" applyFont="1" applyBorder="1" applyAlignment="1">
      <alignment horizontal="center" vertical="center"/>
    </xf>
    <xf numFmtId="0" fontId="8" fillId="0" borderId="22" xfId="0" applyFont="1" applyBorder="1" applyAlignment="1">
      <alignment horizontal="center" vertical="center" wrapText="1"/>
    </xf>
    <xf numFmtId="0" fontId="6" fillId="0" borderId="41" xfId="0" applyFont="1" applyBorder="1" applyAlignment="1">
      <alignment horizontal="center"/>
    </xf>
    <xf numFmtId="0" fontId="0" fillId="0" borderId="41" xfId="0" applyBorder="1"/>
    <xf numFmtId="0" fontId="5" fillId="0" borderId="19" xfId="0" applyFont="1" applyAlignment="1">
      <alignment horizontal="center"/>
    </xf>
    <xf numFmtId="0" fontId="5" fillId="0" borderId="19" xfId="0" applyFont="1" applyAlignment="1">
      <alignment horizontal="left"/>
    </xf>
    <xf numFmtId="0" fontId="10" fillId="0" borderId="19" xfId="0" applyFont="1" applyAlignment="1">
      <alignment horizontal="center"/>
    </xf>
    <xf numFmtId="0" fontId="4" fillId="0" borderId="19" xfId="0" applyFont="1" applyAlignment="1">
      <alignment horizontal="center"/>
    </xf>
    <xf numFmtId="0" fontId="2" fillId="0" borderId="1" xfId="0" applyFont="1" applyBorder="1" applyAlignment="1">
      <alignment horizontal="center"/>
    </xf>
    <xf numFmtId="0" fontId="2" fillId="0" borderId="48" xfId="0" applyFont="1" applyBorder="1" applyAlignment="1">
      <alignment horizontal="center" wrapText="1"/>
    </xf>
    <xf numFmtId="0" fontId="0" fillId="0" borderId="48" xfId="0" applyBorder="1"/>
    <xf numFmtId="0" fontId="2" fillId="3" borderId="1" xfId="0" applyFont="1" applyFill="1" applyBorder="1" applyAlignment="1">
      <alignment horizontal="center" vertical="center"/>
    </xf>
    <xf numFmtId="0" fontId="2" fillId="3" borderId="50" xfId="0" applyFont="1" applyFill="1" applyBorder="1" applyAlignment="1">
      <alignment horizontal="center" vertical="center"/>
    </xf>
    <xf numFmtId="0" fontId="2" fillId="0" borderId="22" xfId="0" applyFont="1" applyBorder="1" applyAlignment="1">
      <alignment horizontal="center" wrapText="1"/>
    </xf>
    <xf numFmtId="0" fontId="0" fillId="0" borderId="22" xfId="0" applyBorder="1"/>
    <xf numFmtId="0" fontId="2" fillId="0" borderId="1" xfId="0" applyFont="1" applyBorder="1" applyAlignment="1">
      <alignment horizontal="center" wrapText="1"/>
    </xf>
    <xf numFmtId="0" fontId="5" fillId="0" borderId="25" xfId="0" applyFont="1" applyBorder="1" applyAlignment="1">
      <alignment vertical="top" wrapText="1"/>
    </xf>
    <xf numFmtId="0" fontId="5" fillId="0" borderId="19" xfId="0" applyFont="1" applyAlignment="1">
      <alignment vertical="top" wrapText="1"/>
    </xf>
    <xf numFmtId="0" fontId="5" fillId="0" borderId="39" xfId="0" applyFont="1" applyBorder="1" applyAlignment="1">
      <alignment horizontal="center" vertical="top" wrapText="1"/>
    </xf>
    <xf numFmtId="0" fontId="5" fillId="0" borderId="42" xfId="0" applyFont="1" applyBorder="1" applyAlignment="1">
      <alignment horizontal="center" vertical="top" wrapText="1"/>
    </xf>
    <xf numFmtId="0" fontId="3" fillId="0" borderId="1" xfId="0" applyFont="1" applyBorder="1" applyAlignment="1">
      <alignment horizontal="center"/>
    </xf>
    <xf numFmtId="0" fontId="5" fillId="0" borderId="38" xfId="0" applyFont="1" applyBorder="1" applyAlignment="1">
      <alignment horizontal="center" vertical="top" wrapText="1"/>
    </xf>
    <xf numFmtId="0" fontId="0" fillId="0" borderId="47" xfId="0" applyBorder="1"/>
    <xf numFmtId="0" fontId="5" fillId="0" borderId="47" xfId="0" applyFont="1" applyBorder="1" applyAlignment="1">
      <alignment vertical="top" wrapText="1"/>
    </xf>
    <xf numFmtId="0" fontId="5" fillId="0" borderId="27" xfId="0" applyFont="1" applyBorder="1" applyAlignment="1">
      <alignment vertical="top" wrapText="1"/>
    </xf>
    <xf numFmtId="0" fontId="5" fillId="0" borderId="44" xfId="0" applyFont="1" applyBorder="1" applyAlignment="1">
      <alignment horizontal="center" vertical="top" wrapText="1"/>
    </xf>
    <xf numFmtId="0" fontId="0" fillId="0" borderId="63" xfId="0" applyBorder="1"/>
    <xf numFmtId="0" fontId="14" fillId="0" borderId="19" xfId="0" applyFont="1" applyAlignment="1">
      <alignment horizontal="left"/>
    </xf>
    <xf numFmtId="0" fontId="5" fillId="0" borderId="40" xfId="0" applyFont="1" applyBorder="1" applyAlignment="1">
      <alignment horizontal="center" vertical="top" wrapText="1"/>
    </xf>
    <xf numFmtId="0" fontId="0" fillId="0" borderId="49" xfId="0" applyBorder="1"/>
    <xf numFmtId="0" fontId="16" fillId="0" borderId="19" xfId="0" applyFont="1" applyAlignment="1">
      <alignment horizontal="center"/>
    </xf>
    <xf numFmtId="0" fontId="0" fillId="0" borderId="61" xfId="0" applyBorder="1"/>
    <xf numFmtId="0" fontId="5" fillId="0" borderId="25" xfId="0" applyFont="1" applyBorder="1" applyAlignment="1">
      <alignment horizontal="left" vertical="top" wrapText="1"/>
    </xf>
    <xf numFmtId="0" fontId="5" fillId="0" borderId="38" xfId="0" applyFont="1" applyBorder="1" applyAlignment="1">
      <alignment horizontal="left" vertical="top" wrapText="1"/>
    </xf>
    <xf numFmtId="0" fontId="5" fillId="0" borderId="27" xfId="0" applyFont="1" applyBorder="1" applyAlignment="1">
      <alignment horizontal="left" vertical="top" wrapText="1"/>
    </xf>
    <xf numFmtId="0" fontId="5" fillId="0" borderId="25" xfId="0" applyFont="1" applyBorder="1" applyAlignment="1">
      <alignment horizontal="center" vertical="top" wrapText="1"/>
    </xf>
    <xf numFmtId="0" fontId="5" fillId="0" borderId="27" xfId="0" applyFont="1" applyBorder="1" applyAlignment="1">
      <alignment horizontal="center" vertical="top" wrapText="1"/>
    </xf>
    <xf numFmtId="0" fontId="19" fillId="0" borderId="19" xfId="0" applyFont="1" applyAlignment="1">
      <alignment horizontal="center"/>
    </xf>
    <xf numFmtId="0" fontId="3" fillId="0" borderId="1" xfId="0" applyFont="1" applyBorder="1" applyAlignment="1">
      <alignment horizontal="left"/>
    </xf>
    <xf numFmtId="0" fontId="6" fillId="0" borderId="19" xfId="0" applyFont="1" applyAlignment="1">
      <alignment horizontal="center"/>
    </xf>
    <xf numFmtId="0" fontId="5" fillId="0" borderId="40" xfId="0" applyFont="1" applyBorder="1" applyAlignment="1">
      <alignment horizontal="left"/>
    </xf>
    <xf numFmtId="0" fontId="5" fillId="0" borderId="25" xfId="0" applyFont="1" applyBorder="1" applyAlignment="1">
      <alignment horizontal="left"/>
    </xf>
    <xf numFmtId="0" fontId="5" fillId="0" borderId="26" xfId="0" applyFont="1" applyBorder="1" applyAlignment="1">
      <alignment horizontal="left"/>
    </xf>
    <xf numFmtId="0" fontId="0" fillId="0" borderId="62" xfId="0" applyBorder="1"/>
    <xf numFmtId="0" fontId="5" fillId="0" borderId="38" xfId="0" applyFont="1" applyBorder="1" applyAlignment="1">
      <alignment horizontal="left"/>
    </xf>
    <xf numFmtId="0" fontId="5" fillId="0" borderId="54" xfId="0" applyFont="1" applyBorder="1" applyAlignment="1">
      <alignment vertical="top"/>
    </xf>
    <xf numFmtId="0" fontId="0" fillId="0" borderId="65" xfId="0" applyBorder="1"/>
    <xf numFmtId="0" fontId="0" fillId="0" borderId="56" xfId="0" applyBorder="1"/>
    <xf numFmtId="0" fontId="5" fillId="0" borderId="27" xfId="0" applyFont="1" applyBorder="1" applyAlignment="1">
      <alignment horizontal="left"/>
    </xf>
    <xf numFmtId="0" fontId="5" fillId="0" borderId="29" xfId="0" applyFont="1" applyBorder="1" applyAlignment="1">
      <alignment horizontal="left"/>
    </xf>
    <xf numFmtId="0" fontId="0" fillId="0" borderId="74" xfId="0" applyBorder="1"/>
    <xf numFmtId="0" fontId="3" fillId="0" borderId="2" xfId="0" applyFont="1" applyBorder="1" applyAlignment="1">
      <alignment horizontal="center"/>
    </xf>
    <xf numFmtId="0" fontId="5" fillId="0" borderId="25" xfId="0" applyFont="1" applyBorder="1" applyAlignment="1">
      <alignment vertical="top"/>
    </xf>
    <xf numFmtId="0" fontId="0" fillId="0" borderId="7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D1000"/>
  <sheetViews>
    <sheetView topLeftCell="A13" workbookViewId="0">
      <selection activeCell="D37" sqref="D37"/>
    </sheetView>
  </sheetViews>
  <sheetFormatPr defaultColWidth="14.44140625" defaultRowHeight="15" customHeight="1" x14ac:dyDescent="0.3"/>
  <cols>
    <col min="1" max="1" width="3" customWidth="1"/>
    <col min="2" max="2" width="24" customWidth="1"/>
    <col min="3" max="3" width="14.44140625" customWidth="1"/>
    <col min="4" max="4" width="16.33203125" customWidth="1"/>
    <col min="5" max="5" width="8.6640625" customWidth="1"/>
    <col min="6" max="6" width="3" customWidth="1"/>
    <col min="7" max="7" width="24" customWidth="1"/>
    <col min="8" max="8" width="6" customWidth="1"/>
    <col min="9" max="9" width="8.6640625" customWidth="1"/>
    <col min="10" max="10" width="41.33203125" customWidth="1"/>
    <col min="11" max="11" width="10" customWidth="1"/>
    <col min="12" max="12" width="8.6640625" customWidth="1"/>
    <col min="13" max="13" width="14.109375" customWidth="1"/>
    <col min="14" max="14" width="9.109375" customWidth="1"/>
    <col min="15" max="15" width="10.109375" customWidth="1"/>
    <col min="16" max="19" width="8.6640625" customWidth="1"/>
    <col min="20" max="20" width="10.109375" customWidth="1"/>
    <col min="21" max="21" width="17.6640625" customWidth="1"/>
    <col min="22" max="26" width="8.6640625" customWidth="1"/>
  </cols>
  <sheetData>
    <row r="1" spans="1:24" ht="14.4" customHeight="1" x14ac:dyDescent="0.3">
      <c r="A1" s="1" t="s">
        <v>99</v>
      </c>
      <c r="C1" s="2" t="s">
        <v>100</v>
      </c>
      <c r="D1" s="2" t="s">
        <v>101</v>
      </c>
      <c r="N1" s="3"/>
      <c r="U1" s="3"/>
    </row>
    <row r="2" spans="1:24" ht="14.4" customHeight="1" x14ac:dyDescent="0.3">
      <c r="N2" s="3"/>
      <c r="U2" s="3"/>
    </row>
    <row r="3" spans="1:24" ht="14.4" customHeight="1" x14ac:dyDescent="0.3">
      <c r="A3" s="4">
        <v>1</v>
      </c>
      <c r="B3" s="4" t="s">
        <v>102</v>
      </c>
      <c r="C3" s="5">
        <v>170</v>
      </c>
      <c r="D3" s="4">
        <v>170</v>
      </c>
      <c r="J3" s="320" t="s">
        <v>103</v>
      </c>
      <c r="K3" s="321"/>
      <c r="L3" s="321"/>
      <c r="M3" s="321"/>
      <c r="N3" s="321"/>
      <c r="O3" s="321"/>
      <c r="P3" s="311" t="s">
        <v>104</v>
      </c>
      <c r="Q3" s="312"/>
      <c r="R3" s="312"/>
      <c r="S3" s="312"/>
      <c r="T3" s="312"/>
      <c r="U3" s="7"/>
    </row>
    <row r="4" spans="1:24" ht="15.6" customHeight="1" x14ac:dyDescent="0.3">
      <c r="A4" s="4">
        <v>2</v>
      </c>
      <c r="B4" s="4" t="s">
        <v>105</v>
      </c>
      <c r="C4" s="5">
        <v>375</v>
      </c>
      <c r="D4" s="4">
        <v>375</v>
      </c>
      <c r="K4" s="2" t="s">
        <v>106</v>
      </c>
      <c r="M4" s="2" t="s">
        <v>107</v>
      </c>
      <c r="N4" s="3"/>
      <c r="P4" s="317" t="s">
        <v>108</v>
      </c>
      <c r="Q4" s="312"/>
      <c r="R4" s="318"/>
      <c r="S4" s="319" t="s">
        <v>109</v>
      </c>
      <c r="T4" s="312"/>
      <c r="U4" s="8" t="s">
        <v>110</v>
      </c>
    </row>
    <row r="5" spans="1:24" ht="15.6" customHeight="1" x14ac:dyDescent="0.3">
      <c r="A5" s="4">
        <v>3</v>
      </c>
      <c r="B5" s="4" t="s">
        <v>111</v>
      </c>
      <c r="C5" s="4">
        <v>350</v>
      </c>
      <c r="D5" s="4">
        <v>250</v>
      </c>
      <c r="J5" s="1" t="s">
        <v>112</v>
      </c>
      <c r="K5" s="1">
        <v>100</v>
      </c>
      <c r="L5" s="1" t="s">
        <v>113</v>
      </c>
      <c r="M5" s="3">
        <v>90</v>
      </c>
      <c r="N5" s="3"/>
      <c r="P5" s="313" t="s">
        <v>114</v>
      </c>
      <c r="Q5" s="302"/>
      <c r="R5" s="304"/>
      <c r="S5" s="9"/>
      <c r="T5" s="10">
        <v>10640</v>
      </c>
      <c r="U5" s="11">
        <v>5935.4</v>
      </c>
    </row>
    <row r="6" spans="1:24" ht="15.6" customHeight="1" x14ac:dyDescent="0.3">
      <c r="A6" s="4">
        <v>4</v>
      </c>
      <c r="B6" s="4" t="s">
        <v>115</v>
      </c>
      <c r="C6" s="12">
        <v>150</v>
      </c>
      <c r="D6" s="13">
        <v>150</v>
      </c>
      <c r="J6" s="1" t="s">
        <v>116</v>
      </c>
      <c r="K6" s="1">
        <v>2500</v>
      </c>
      <c r="M6" s="3">
        <v>2300</v>
      </c>
      <c r="N6" s="3"/>
      <c r="P6" s="308" t="s">
        <v>117</v>
      </c>
      <c r="Q6" s="309"/>
      <c r="R6" s="310"/>
      <c r="S6" s="14"/>
      <c r="T6" s="15">
        <v>1200</v>
      </c>
      <c r="U6" s="16">
        <v>882</v>
      </c>
    </row>
    <row r="7" spans="1:24" ht="15.6" customHeight="1" x14ac:dyDescent="0.3">
      <c r="A7" s="4">
        <v>5</v>
      </c>
      <c r="B7" s="4" t="s">
        <v>118</v>
      </c>
      <c r="C7" s="12">
        <v>52.4</v>
      </c>
      <c r="D7" s="13">
        <v>71</v>
      </c>
      <c r="J7" s="1" t="s">
        <v>119</v>
      </c>
      <c r="K7" s="1">
        <v>2600</v>
      </c>
      <c r="M7" s="3">
        <v>2400</v>
      </c>
      <c r="N7" s="3"/>
      <c r="P7" s="308" t="s">
        <v>120</v>
      </c>
      <c r="Q7" s="309"/>
      <c r="R7" s="310"/>
      <c r="S7" s="14"/>
      <c r="T7" s="15">
        <v>30000</v>
      </c>
      <c r="U7" s="16">
        <v>21550</v>
      </c>
    </row>
    <row r="8" spans="1:24" ht="15.6" customHeight="1" x14ac:dyDescent="0.3">
      <c r="A8" s="4">
        <v>6</v>
      </c>
      <c r="B8" s="4" t="s">
        <v>121</v>
      </c>
      <c r="C8" s="12">
        <v>51</v>
      </c>
      <c r="D8" s="13">
        <v>71</v>
      </c>
      <c r="J8" s="1" t="s">
        <v>122</v>
      </c>
      <c r="K8" s="1">
        <v>5000</v>
      </c>
      <c r="M8" s="3">
        <v>4500</v>
      </c>
      <c r="N8" s="3"/>
      <c r="P8" s="308" t="s">
        <v>123</v>
      </c>
      <c r="Q8" s="309"/>
      <c r="R8" s="310"/>
      <c r="S8" s="14"/>
      <c r="T8" s="15">
        <v>34400</v>
      </c>
      <c r="U8" s="16">
        <v>32623</v>
      </c>
    </row>
    <row r="9" spans="1:24" ht="15.6" customHeight="1" x14ac:dyDescent="0.3">
      <c r="A9" s="4">
        <v>7</v>
      </c>
      <c r="B9" s="4" t="s">
        <v>124</v>
      </c>
      <c r="C9" s="12">
        <v>51.66</v>
      </c>
      <c r="D9" s="13">
        <v>71</v>
      </c>
      <c r="J9" s="1" t="s">
        <v>125</v>
      </c>
      <c r="K9" s="1">
        <v>26000</v>
      </c>
      <c r="M9" s="3">
        <v>23000</v>
      </c>
      <c r="N9" s="3"/>
      <c r="P9" s="308" t="s">
        <v>126</v>
      </c>
      <c r="Q9" s="309"/>
      <c r="R9" s="310"/>
      <c r="S9" s="14"/>
      <c r="T9" s="15">
        <v>49000</v>
      </c>
      <c r="U9" s="15">
        <f>(27497/76.9)*79*1.4</f>
        <v>39547.050715214558</v>
      </c>
    </row>
    <row r="10" spans="1:24" ht="15.6" customHeight="1" x14ac:dyDescent="0.3">
      <c r="A10" s="4">
        <v>8</v>
      </c>
      <c r="B10" s="4" t="s">
        <v>127</v>
      </c>
      <c r="C10" s="12">
        <v>51.4</v>
      </c>
      <c r="D10" s="13">
        <v>71</v>
      </c>
      <c r="J10" s="1" t="s">
        <v>128</v>
      </c>
      <c r="K10" s="1">
        <v>2300</v>
      </c>
      <c r="M10" s="3">
        <v>2075</v>
      </c>
      <c r="N10" s="3"/>
      <c r="P10" s="308" t="s">
        <v>129</v>
      </c>
      <c r="Q10" s="309"/>
      <c r="R10" s="310"/>
      <c r="S10" s="14"/>
      <c r="T10" s="15">
        <v>50000</v>
      </c>
      <c r="U10" s="16">
        <v>38000</v>
      </c>
      <c r="X10" s="1">
        <v>35000</v>
      </c>
    </row>
    <row r="11" spans="1:24" ht="15.6" customHeight="1" x14ac:dyDescent="0.3">
      <c r="A11" s="4">
        <v>9</v>
      </c>
      <c r="B11" s="4" t="s">
        <v>130</v>
      </c>
      <c r="C11" s="12">
        <v>71</v>
      </c>
      <c r="D11" s="13">
        <v>71</v>
      </c>
      <c r="J11" s="1" t="s">
        <v>131</v>
      </c>
      <c r="K11" s="3">
        <v>2300</v>
      </c>
      <c r="M11" s="3">
        <v>2075</v>
      </c>
      <c r="N11" s="3"/>
      <c r="P11" s="308" t="s">
        <v>132</v>
      </c>
      <c r="Q11" s="309"/>
      <c r="R11" s="310"/>
      <c r="S11" s="14"/>
      <c r="T11" s="15">
        <v>14000</v>
      </c>
      <c r="U11" s="16">
        <v>10278.459999999999</v>
      </c>
    </row>
    <row r="12" spans="1:24" ht="15.6" customHeight="1" x14ac:dyDescent="0.3">
      <c r="A12" s="4">
        <v>10</v>
      </c>
      <c r="B12" s="4" t="s">
        <v>133</v>
      </c>
      <c r="C12" s="12">
        <v>51.02</v>
      </c>
      <c r="D12" s="13">
        <v>72</v>
      </c>
      <c r="J12" s="1" t="s">
        <v>134</v>
      </c>
      <c r="K12" s="3">
        <v>2300</v>
      </c>
      <c r="M12" s="3">
        <v>2075</v>
      </c>
      <c r="N12" s="3"/>
      <c r="P12" s="308" t="s">
        <v>135</v>
      </c>
      <c r="Q12" s="309"/>
      <c r="R12" s="310"/>
      <c r="S12" s="14"/>
      <c r="T12" s="15">
        <v>15247</v>
      </c>
      <c r="U12" s="16">
        <v>10877.7</v>
      </c>
    </row>
    <row r="13" spans="1:24" ht="15.6" customHeight="1" x14ac:dyDescent="0.3">
      <c r="A13" s="4">
        <v>11</v>
      </c>
      <c r="B13" s="4" t="s">
        <v>136</v>
      </c>
      <c r="C13" s="12">
        <v>51.02</v>
      </c>
      <c r="D13" s="13">
        <v>72</v>
      </c>
      <c r="J13" s="1" t="s">
        <v>137</v>
      </c>
      <c r="K13" s="1">
        <v>2500</v>
      </c>
      <c r="M13" s="3">
        <v>2125</v>
      </c>
      <c r="N13" s="3"/>
      <c r="P13" s="308" t="s">
        <v>138</v>
      </c>
      <c r="Q13" s="309"/>
      <c r="R13" s="310"/>
      <c r="S13" s="14"/>
      <c r="T13" s="15">
        <v>25550</v>
      </c>
      <c r="U13" s="16">
        <v>19254</v>
      </c>
    </row>
    <row r="14" spans="1:24" ht="15.6" customHeight="1" x14ac:dyDescent="0.3">
      <c r="A14" s="4">
        <v>12</v>
      </c>
      <c r="B14" s="4" t="s">
        <v>139</v>
      </c>
      <c r="C14" s="12">
        <v>49.74</v>
      </c>
      <c r="D14" s="13">
        <v>72</v>
      </c>
      <c r="H14" s="3"/>
      <c r="I14" s="3"/>
      <c r="J14" s="17" t="s">
        <v>43</v>
      </c>
      <c r="K14" s="3">
        <v>590</v>
      </c>
      <c r="M14" s="3">
        <v>590</v>
      </c>
      <c r="N14" s="3"/>
      <c r="P14" s="308" t="s">
        <v>140</v>
      </c>
      <c r="Q14" s="309"/>
      <c r="R14" s="310"/>
      <c r="S14" s="14"/>
      <c r="T14" s="15">
        <v>45000</v>
      </c>
      <c r="U14" s="16">
        <v>41236</v>
      </c>
      <c r="V14" s="1" t="s">
        <v>141</v>
      </c>
    </row>
    <row r="15" spans="1:24" ht="15.6" customHeight="1" x14ac:dyDescent="0.3">
      <c r="A15" s="4">
        <v>13</v>
      </c>
      <c r="B15" s="4" t="s">
        <v>142</v>
      </c>
      <c r="C15" s="12">
        <v>49.94</v>
      </c>
      <c r="D15" s="13">
        <v>72</v>
      </c>
      <c r="H15" s="3"/>
      <c r="I15" s="3"/>
      <c r="J15" s="17" t="s">
        <v>143</v>
      </c>
      <c r="K15" s="3">
        <v>750</v>
      </c>
      <c r="M15" s="3">
        <v>750</v>
      </c>
      <c r="N15" s="3"/>
      <c r="P15" s="308" t="s">
        <v>144</v>
      </c>
      <c r="Q15" s="309"/>
      <c r="R15" s="310"/>
      <c r="S15" s="14"/>
      <c r="T15" s="15">
        <v>8000</v>
      </c>
      <c r="U15" s="16">
        <v>4744</v>
      </c>
      <c r="X15" s="1">
        <f>3389*1.4</f>
        <v>4744.5999999999995</v>
      </c>
    </row>
    <row r="16" spans="1:24" ht="15.6" customHeight="1" x14ac:dyDescent="0.3">
      <c r="A16" s="4">
        <v>14</v>
      </c>
      <c r="B16" s="4" t="s">
        <v>145</v>
      </c>
      <c r="C16" s="12">
        <v>56</v>
      </c>
      <c r="D16" s="13">
        <v>72</v>
      </c>
      <c r="H16" s="3"/>
      <c r="I16" s="3"/>
      <c r="J16" s="17" t="s">
        <v>59</v>
      </c>
      <c r="K16" s="3">
        <v>800</v>
      </c>
      <c r="M16" s="3">
        <v>800</v>
      </c>
      <c r="N16" s="3"/>
      <c r="P16" s="308" t="s">
        <v>146</v>
      </c>
      <c r="Q16" s="309"/>
      <c r="R16" s="310"/>
      <c r="S16" s="14"/>
      <c r="T16" s="15">
        <v>2200</v>
      </c>
      <c r="U16" s="16">
        <v>560</v>
      </c>
    </row>
    <row r="17" spans="1:21" ht="15.6" customHeight="1" x14ac:dyDescent="0.3">
      <c r="A17" s="4">
        <v>15</v>
      </c>
      <c r="B17" s="4" t="s">
        <v>147</v>
      </c>
      <c r="C17" s="12">
        <v>77</v>
      </c>
      <c r="D17" s="13">
        <v>77</v>
      </c>
      <c r="H17" s="3"/>
      <c r="I17" s="3"/>
      <c r="J17" s="17" t="s">
        <v>64</v>
      </c>
      <c r="K17" s="3">
        <v>1100</v>
      </c>
      <c r="M17" s="3">
        <v>1100</v>
      </c>
      <c r="N17" s="3"/>
      <c r="P17" s="308" t="s">
        <v>148</v>
      </c>
      <c r="Q17" s="309"/>
      <c r="R17" s="310"/>
      <c r="S17" s="14"/>
      <c r="T17" s="15">
        <v>400</v>
      </c>
      <c r="U17" s="16">
        <v>250</v>
      </c>
    </row>
    <row r="18" spans="1:21" ht="15.6" customHeight="1" x14ac:dyDescent="0.3">
      <c r="A18" s="4">
        <v>16</v>
      </c>
      <c r="B18" s="4" t="s">
        <v>149</v>
      </c>
      <c r="C18" s="12">
        <v>77</v>
      </c>
      <c r="D18" s="13">
        <v>77</v>
      </c>
      <c r="H18" s="3"/>
      <c r="I18" s="3"/>
      <c r="J18" s="17" t="s">
        <v>54</v>
      </c>
      <c r="K18" s="3">
        <v>30</v>
      </c>
      <c r="M18" s="3">
        <v>30</v>
      </c>
      <c r="N18" s="3"/>
      <c r="P18" s="314" t="s">
        <v>150</v>
      </c>
      <c r="Q18" s="315"/>
      <c r="R18" s="316"/>
      <c r="S18" s="18"/>
      <c r="T18" s="19">
        <v>1070</v>
      </c>
      <c r="U18" s="20">
        <v>280</v>
      </c>
    </row>
    <row r="19" spans="1:21" ht="14.4" customHeight="1" x14ac:dyDescent="0.3">
      <c r="A19" s="4">
        <v>17</v>
      </c>
      <c r="B19" s="4" t="s">
        <v>151</v>
      </c>
      <c r="C19" s="12">
        <v>72</v>
      </c>
      <c r="D19" s="13">
        <v>72</v>
      </c>
      <c r="H19" s="3"/>
      <c r="I19" s="3"/>
      <c r="J19" s="17" t="s">
        <v>56</v>
      </c>
      <c r="K19" s="3">
        <v>30</v>
      </c>
      <c r="M19" s="3">
        <v>30</v>
      </c>
      <c r="N19" s="3"/>
      <c r="U19" s="3"/>
    </row>
    <row r="20" spans="1:21" ht="14.4" customHeight="1" x14ac:dyDescent="0.3">
      <c r="A20" s="4">
        <v>18</v>
      </c>
      <c r="B20" s="4" t="s">
        <v>152</v>
      </c>
      <c r="C20" s="12">
        <v>51.7</v>
      </c>
      <c r="D20" s="13">
        <v>72</v>
      </c>
      <c r="M20" s="3"/>
      <c r="N20" s="3"/>
      <c r="U20" s="3"/>
    </row>
    <row r="21" spans="1:21" ht="15.75" customHeight="1" x14ac:dyDescent="0.3">
      <c r="A21" s="4">
        <v>19</v>
      </c>
      <c r="B21" s="4" t="s">
        <v>153</v>
      </c>
      <c r="C21" s="12">
        <v>49.94</v>
      </c>
      <c r="D21" s="13">
        <v>72</v>
      </c>
      <c r="J21" s="21" t="s">
        <v>154</v>
      </c>
      <c r="K21" s="1">
        <v>1500</v>
      </c>
      <c r="M21" s="3">
        <v>1500</v>
      </c>
      <c r="N21" s="3"/>
      <c r="U21" s="3"/>
    </row>
    <row r="22" spans="1:21" ht="15.75" customHeight="1" x14ac:dyDescent="0.3">
      <c r="A22" s="4">
        <v>20</v>
      </c>
      <c r="B22" s="22" t="s">
        <v>155</v>
      </c>
      <c r="C22" s="12">
        <v>135</v>
      </c>
      <c r="D22" s="13">
        <v>135</v>
      </c>
      <c r="J22" s="21" t="s">
        <v>156</v>
      </c>
      <c r="K22" s="1">
        <v>1650</v>
      </c>
      <c r="M22" s="3">
        <v>1650</v>
      </c>
      <c r="N22" s="3"/>
      <c r="U22" s="3"/>
    </row>
    <row r="23" spans="1:21" ht="15.75" customHeight="1" x14ac:dyDescent="0.3">
      <c r="A23" s="4">
        <v>21</v>
      </c>
      <c r="B23" s="4" t="s">
        <v>157</v>
      </c>
      <c r="C23" s="12">
        <v>135</v>
      </c>
      <c r="D23" s="13">
        <v>135</v>
      </c>
      <c r="J23" s="21" t="s">
        <v>158</v>
      </c>
      <c r="K23" s="1">
        <v>4500</v>
      </c>
      <c r="M23" s="3">
        <v>4500</v>
      </c>
      <c r="N23" s="3"/>
      <c r="U23" s="3"/>
    </row>
    <row r="24" spans="1:21" ht="15.75" customHeight="1" x14ac:dyDescent="0.3">
      <c r="A24" s="4">
        <v>22</v>
      </c>
      <c r="B24" s="4" t="s">
        <v>159</v>
      </c>
      <c r="C24" s="12">
        <v>51.4</v>
      </c>
      <c r="D24" s="13">
        <v>71</v>
      </c>
      <c r="J24" s="17" t="s">
        <v>160</v>
      </c>
      <c r="K24" s="1">
        <v>450</v>
      </c>
      <c r="M24" s="3">
        <v>360</v>
      </c>
      <c r="N24" s="3"/>
      <c r="U24" s="3"/>
    </row>
    <row r="25" spans="1:21" ht="15.75" customHeight="1" x14ac:dyDescent="0.3">
      <c r="A25" s="4">
        <v>23</v>
      </c>
      <c r="B25" s="4" t="s">
        <v>161</v>
      </c>
      <c r="C25" s="23">
        <v>13000</v>
      </c>
      <c r="D25" s="24">
        <v>11000</v>
      </c>
      <c r="J25" s="21" t="s">
        <v>162</v>
      </c>
      <c r="K25" s="25">
        <v>70</v>
      </c>
      <c r="M25" s="3">
        <v>50</v>
      </c>
      <c r="N25" s="3"/>
      <c r="U25" s="3"/>
    </row>
    <row r="26" spans="1:21" ht="15.75" customHeight="1" x14ac:dyDescent="0.3">
      <c r="A26" s="4">
        <v>24</v>
      </c>
      <c r="B26" s="4" t="s">
        <v>163</v>
      </c>
      <c r="C26" s="23">
        <v>5000</v>
      </c>
      <c r="D26" s="24">
        <v>3000</v>
      </c>
      <c r="J26" s="21" t="s">
        <v>164</v>
      </c>
      <c r="K26" s="1">
        <v>2500</v>
      </c>
      <c r="M26" s="3">
        <v>2500</v>
      </c>
      <c r="N26" s="3"/>
      <c r="U26" s="3"/>
    </row>
    <row r="27" spans="1:21" ht="15.75" customHeight="1" x14ac:dyDescent="0.3">
      <c r="A27" s="4">
        <v>25</v>
      </c>
      <c r="B27" s="4" t="s">
        <v>165</v>
      </c>
      <c r="C27" s="12">
        <v>206.4</v>
      </c>
      <c r="D27" s="13">
        <v>270</v>
      </c>
      <c r="J27" s="21" t="str">
        <f>'Gas Burner'!B9</f>
        <v>FLEXIBLE HOSE-40NB*750MM WITH ADOPTER</v>
      </c>
      <c r="K27" s="1">
        <v>1500</v>
      </c>
      <c r="M27" s="3">
        <v>1500</v>
      </c>
      <c r="N27" s="3"/>
      <c r="U27" s="3"/>
    </row>
    <row r="28" spans="1:21" ht="15.75" customHeight="1" x14ac:dyDescent="0.3">
      <c r="A28" s="4">
        <v>26</v>
      </c>
      <c r="B28" s="4" t="s">
        <v>166</v>
      </c>
      <c r="C28" s="26"/>
      <c r="D28" s="26"/>
      <c r="J28" s="21" t="s">
        <v>167</v>
      </c>
      <c r="K28" s="1">
        <v>1718</v>
      </c>
      <c r="M28" s="3">
        <v>1718</v>
      </c>
      <c r="N28" s="27"/>
      <c r="U28" s="3"/>
    </row>
    <row r="29" spans="1:21" ht="15.75" customHeight="1" x14ac:dyDescent="0.3">
      <c r="A29" s="4">
        <v>27</v>
      </c>
      <c r="B29" s="4" t="s">
        <v>168</v>
      </c>
      <c r="C29" s="26">
        <v>1728.89</v>
      </c>
      <c r="D29" s="26">
        <v>2000</v>
      </c>
      <c r="G29" s="1" t="s">
        <v>169</v>
      </c>
      <c r="J29" s="21" t="s">
        <v>170</v>
      </c>
      <c r="K29" s="1">
        <v>2929</v>
      </c>
      <c r="M29" s="3">
        <v>2929</v>
      </c>
      <c r="N29" s="27"/>
      <c r="U29" s="3"/>
    </row>
    <row r="30" spans="1:21" ht="15.75" customHeight="1" x14ac:dyDescent="0.3">
      <c r="A30" s="4">
        <v>28</v>
      </c>
      <c r="B30" s="4" t="s">
        <v>171</v>
      </c>
      <c r="C30" s="26">
        <v>330</v>
      </c>
      <c r="D30" s="26">
        <v>330</v>
      </c>
      <c r="E30" s="28">
        <f>C30*G30</f>
        <v>1391.6485765202654</v>
      </c>
      <c r="G30" s="28">
        <f>PI()*60*60*7850*1/(4*1000*1000)-PI()*54*54*7850*1/(4*1000*1000)</f>
        <v>4.2171168985462586</v>
      </c>
      <c r="J30" s="21" t="s">
        <v>172</v>
      </c>
      <c r="K30" s="1">
        <v>5000</v>
      </c>
      <c r="M30" s="3">
        <v>5000</v>
      </c>
      <c r="N30" s="3"/>
      <c r="U30" s="3"/>
    </row>
    <row r="31" spans="1:21" ht="15.75" customHeight="1" x14ac:dyDescent="0.3">
      <c r="A31" s="4">
        <v>29</v>
      </c>
      <c r="B31" s="4" t="s">
        <v>173</v>
      </c>
      <c r="C31" s="26">
        <v>330</v>
      </c>
      <c r="D31" s="26">
        <v>330</v>
      </c>
      <c r="E31" s="28">
        <f>C31*G31</f>
        <v>1782.2867734382328</v>
      </c>
      <c r="G31" s="28">
        <f>PI()*76*76*7850*1/(4*1000*1000)- PI()*70*70*7850*1/(4*1000*1000)</f>
        <v>5.4008690104188872</v>
      </c>
      <c r="N31" s="3"/>
      <c r="U31" s="3"/>
    </row>
    <row r="32" spans="1:21" ht="15.75" customHeight="1" x14ac:dyDescent="0.3">
      <c r="A32" s="4">
        <v>30</v>
      </c>
      <c r="B32" s="4" t="s">
        <v>174</v>
      </c>
      <c r="C32" s="26">
        <v>226.99</v>
      </c>
      <c r="D32" s="26">
        <v>330</v>
      </c>
      <c r="E32" s="28">
        <f>C32*G32</f>
        <v>1628.9930944859377</v>
      </c>
      <c r="G32" s="28">
        <f>PI()*100*100*7850*1/(4*1000*1000)- PI()*94*94*7850*1/(4*1000*1000)</f>
        <v>7.1764971782278408</v>
      </c>
      <c r="J32" t="s">
        <v>175</v>
      </c>
      <c r="N32" s="3" t="s">
        <v>176</v>
      </c>
      <c r="U32" s="3"/>
    </row>
    <row r="33" spans="1:21" ht="15.75" customHeight="1" x14ac:dyDescent="0.3">
      <c r="A33" s="4">
        <v>31</v>
      </c>
      <c r="B33" s="4" t="s">
        <v>177</v>
      </c>
      <c r="C33" s="26">
        <v>200</v>
      </c>
      <c r="D33" s="26">
        <v>200</v>
      </c>
      <c r="J33" t="s">
        <v>178</v>
      </c>
      <c r="K33">
        <v>172892</v>
      </c>
      <c r="N33" s="3" t="s">
        <v>179</v>
      </c>
      <c r="U33" s="3"/>
    </row>
    <row r="34" spans="1:21" ht="15.75" customHeight="1" x14ac:dyDescent="0.3">
      <c r="A34" s="4">
        <v>32</v>
      </c>
      <c r="B34" s="4" t="s">
        <v>180</v>
      </c>
      <c r="C34" s="26">
        <v>300</v>
      </c>
      <c r="D34" s="26">
        <v>300</v>
      </c>
      <c r="J34" t="s">
        <v>181</v>
      </c>
      <c r="K34">
        <v>176475</v>
      </c>
      <c r="N34" s="3" t="s">
        <v>179</v>
      </c>
      <c r="U34" s="3"/>
    </row>
    <row r="35" spans="1:21" ht="15.75" customHeight="1" x14ac:dyDescent="0.3">
      <c r="A35" s="4">
        <v>33</v>
      </c>
      <c r="B35" s="4" t="s">
        <v>182</v>
      </c>
      <c r="C35" s="26">
        <v>400</v>
      </c>
      <c r="D35" s="26">
        <v>400</v>
      </c>
      <c r="J35" t="s">
        <v>183</v>
      </c>
      <c r="K35">
        <v>183291</v>
      </c>
      <c r="N35" s="3" t="s">
        <v>179</v>
      </c>
      <c r="U35" s="3"/>
    </row>
    <row r="36" spans="1:21" ht="15.75" customHeight="1" x14ac:dyDescent="0.3">
      <c r="A36" s="4">
        <v>34</v>
      </c>
      <c r="B36" s="4" t="s">
        <v>184</v>
      </c>
      <c r="C36" s="26">
        <v>600</v>
      </c>
      <c r="D36" s="26">
        <v>500</v>
      </c>
      <c r="J36" t="s">
        <v>185</v>
      </c>
      <c r="K36">
        <v>187598</v>
      </c>
      <c r="N36" s="3" t="s">
        <v>179</v>
      </c>
      <c r="U36" s="3"/>
    </row>
    <row r="37" spans="1:21" ht="15.75" customHeight="1" x14ac:dyDescent="0.3">
      <c r="A37" s="4">
        <v>35</v>
      </c>
      <c r="B37" s="4" t="s">
        <v>186</v>
      </c>
      <c r="C37" s="26">
        <v>700</v>
      </c>
      <c r="D37" s="26">
        <v>600</v>
      </c>
      <c r="J37" t="s">
        <v>187</v>
      </c>
      <c r="K37">
        <v>201687</v>
      </c>
      <c r="N37" s="3" t="s">
        <v>179</v>
      </c>
      <c r="U37" s="3"/>
    </row>
    <row r="38" spans="1:21" ht="15.75" customHeight="1" x14ac:dyDescent="0.3">
      <c r="A38" s="4">
        <v>36</v>
      </c>
      <c r="B38" s="4" t="s">
        <v>188</v>
      </c>
      <c r="C38" s="26">
        <v>1000</v>
      </c>
      <c r="D38" s="26">
        <v>900</v>
      </c>
      <c r="J38" t="s">
        <v>189</v>
      </c>
      <c r="K38">
        <v>205736</v>
      </c>
      <c r="N38" s="3" t="s">
        <v>179</v>
      </c>
      <c r="U38" s="3"/>
    </row>
    <row r="39" spans="1:21" ht="15.75" customHeight="1" x14ac:dyDescent="0.3">
      <c r="J39" t="s">
        <v>190</v>
      </c>
      <c r="K39">
        <v>242404</v>
      </c>
      <c r="N39" s="3" t="s">
        <v>179</v>
      </c>
      <c r="U39" s="3"/>
    </row>
    <row r="40" spans="1:21" ht="15.75" customHeight="1" x14ac:dyDescent="0.3">
      <c r="J40" t="s">
        <v>191</v>
      </c>
      <c r="K40">
        <v>305228</v>
      </c>
      <c r="N40" s="3" t="s">
        <v>179</v>
      </c>
      <c r="U40" s="3"/>
    </row>
    <row r="41" spans="1:21" ht="15.75" customHeight="1" x14ac:dyDescent="0.3">
      <c r="J41" t="s">
        <v>192</v>
      </c>
      <c r="K41">
        <v>344828</v>
      </c>
      <c r="N41" s="3" t="s">
        <v>179</v>
      </c>
      <c r="U41" s="3"/>
    </row>
    <row r="42" spans="1:21" ht="15.75" customHeight="1" x14ac:dyDescent="0.3">
      <c r="J42" t="s">
        <v>193</v>
      </c>
      <c r="K42">
        <v>455577</v>
      </c>
      <c r="N42" s="3" t="s">
        <v>179</v>
      </c>
      <c r="U42" s="3"/>
    </row>
    <row r="43" spans="1:21" ht="15.75" customHeight="1" x14ac:dyDescent="0.3">
      <c r="J43" t="s">
        <v>194</v>
      </c>
      <c r="K43">
        <v>495831</v>
      </c>
      <c r="N43" s="3" t="s">
        <v>179</v>
      </c>
      <c r="U43" s="3"/>
    </row>
    <row r="44" spans="1:21" ht="15.75" customHeight="1" x14ac:dyDescent="0.3">
      <c r="J44" t="s">
        <v>195</v>
      </c>
      <c r="K44">
        <v>594311</v>
      </c>
      <c r="N44" s="3" t="s">
        <v>179</v>
      </c>
      <c r="U44" s="3"/>
    </row>
    <row r="45" spans="1:21" ht="15.75" customHeight="1" x14ac:dyDescent="0.3">
      <c r="J45" t="s">
        <v>196</v>
      </c>
      <c r="K45">
        <v>810100</v>
      </c>
      <c r="N45" s="3" t="s">
        <v>179</v>
      </c>
      <c r="U45" s="3"/>
    </row>
    <row r="46" spans="1:21" ht="15.75" customHeight="1" x14ac:dyDescent="0.3">
      <c r="J46" t="s">
        <v>197</v>
      </c>
      <c r="K46">
        <v>1293131</v>
      </c>
      <c r="N46" s="3" t="s">
        <v>179</v>
      </c>
      <c r="U46" s="3"/>
    </row>
    <row r="47" spans="1:21" ht="15.75" customHeight="1" x14ac:dyDescent="0.3">
      <c r="J47" t="s">
        <v>198</v>
      </c>
      <c r="K47">
        <v>1821680</v>
      </c>
      <c r="N47" s="3" t="s">
        <v>179</v>
      </c>
      <c r="U47" s="3"/>
    </row>
    <row r="48" spans="1:21" ht="15.75" customHeight="1" x14ac:dyDescent="0.3">
      <c r="J48" t="s">
        <v>199</v>
      </c>
      <c r="K48">
        <v>2096854</v>
      </c>
      <c r="N48" s="3" t="s">
        <v>179</v>
      </c>
      <c r="U48" s="3"/>
    </row>
    <row r="49" spans="10:21" ht="15.75" customHeight="1" x14ac:dyDescent="0.3">
      <c r="N49" s="3"/>
      <c r="U49" s="3"/>
    </row>
    <row r="50" spans="10:21" ht="15.75" customHeight="1" x14ac:dyDescent="0.3">
      <c r="J50" t="s">
        <v>200</v>
      </c>
      <c r="N50" s="3" t="s">
        <v>176</v>
      </c>
      <c r="U50" s="3"/>
    </row>
    <row r="51" spans="10:21" ht="15.75" customHeight="1" x14ac:dyDescent="0.3">
      <c r="J51" t="s">
        <v>201</v>
      </c>
      <c r="K51">
        <v>71626</v>
      </c>
      <c r="N51" s="3" t="s">
        <v>179</v>
      </c>
      <c r="U51" s="3"/>
    </row>
    <row r="52" spans="10:21" ht="15.75" customHeight="1" x14ac:dyDescent="0.3">
      <c r="J52" t="s">
        <v>202</v>
      </c>
      <c r="K52">
        <v>63722</v>
      </c>
      <c r="N52" s="3" t="s">
        <v>179</v>
      </c>
      <c r="U52" s="3"/>
    </row>
    <row r="53" spans="10:21" ht="15.75" customHeight="1" x14ac:dyDescent="0.3">
      <c r="J53" t="s">
        <v>203</v>
      </c>
      <c r="K53">
        <v>70539</v>
      </c>
      <c r="N53" s="3" t="s">
        <v>179</v>
      </c>
      <c r="U53" s="3"/>
    </row>
    <row r="54" spans="10:21" ht="15.75" customHeight="1" x14ac:dyDescent="0.3">
      <c r="J54" t="s">
        <v>204</v>
      </c>
      <c r="K54">
        <v>74846</v>
      </c>
      <c r="N54" s="3" t="s">
        <v>179</v>
      </c>
      <c r="U54" s="3"/>
    </row>
    <row r="55" spans="10:21" ht="15.75" customHeight="1" x14ac:dyDescent="0.3">
      <c r="J55" t="s">
        <v>205</v>
      </c>
      <c r="K55">
        <v>88935</v>
      </c>
      <c r="N55" s="3" t="s">
        <v>179</v>
      </c>
      <c r="U55" s="3"/>
    </row>
    <row r="56" spans="10:21" ht="15.75" customHeight="1" x14ac:dyDescent="0.3">
      <c r="J56" t="s">
        <v>206</v>
      </c>
      <c r="K56">
        <v>92984</v>
      </c>
      <c r="N56" s="3" t="s">
        <v>179</v>
      </c>
      <c r="U56" s="3"/>
    </row>
    <row r="57" spans="10:21" ht="15.75" customHeight="1" x14ac:dyDescent="0.3">
      <c r="J57" t="s">
        <v>207</v>
      </c>
      <c r="K57">
        <v>129651</v>
      </c>
      <c r="N57" s="3" t="s">
        <v>179</v>
      </c>
      <c r="U57" s="3"/>
    </row>
    <row r="58" spans="10:21" ht="15.75" customHeight="1" x14ac:dyDescent="0.3">
      <c r="J58" t="s">
        <v>208</v>
      </c>
      <c r="K58">
        <v>192475</v>
      </c>
      <c r="N58" s="3" t="s">
        <v>179</v>
      </c>
      <c r="U58" s="3"/>
    </row>
    <row r="59" spans="10:21" ht="15.75" customHeight="1" x14ac:dyDescent="0.3">
      <c r="J59" t="s">
        <v>209</v>
      </c>
      <c r="K59">
        <v>232075</v>
      </c>
      <c r="N59" s="3" t="s">
        <v>179</v>
      </c>
      <c r="U59" s="3"/>
    </row>
    <row r="60" spans="10:21" ht="15.75" customHeight="1" x14ac:dyDescent="0.3">
      <c r="J60" t="s">
        <v>210</v>
      </c>
      <c r="K60">
        <v>342825</v>
      </c>
      <c r="N60" s="3" t="s">
        <v>179</v>
      </c>
      <c r="U60" s="3"/>
    </row>
    <row r="61" spans="10:21" ht="15.75" customHeight="1" x14ac:dyDescent="0.3">
      <c r="J61" t="s">
        <v>211</v>
      </c>
      <c r="K61">
        <v>383078</v>
      </c>
      <c r="N61" s="3" t="s">
        <v>179</v>
      </c>
      <c r="U61" s="3"/>
    </row>
    <row r="62" spans="10:21" ht="15.75" customHeight="1" x14ac:dyDescent="0.3">
      <c r="J62" t="s">
        <v>212</v>
      </c>
      <c r="K62">
        <v>481559</v>
      </c>
      <c r="N62" s="3" t="s">
        <v>179</v>
      </c>
      <c r="U62" s="3"/>
    </row>
    <row r="63" spans="10:21" ht="15.75" customHeight="1" x14ac:dyDescent="0.3">
      <c r="J63" t="s">
        <v>213</v>
      </c>
      <c r="K63">
        <v>697348</v>
      </c>
      <c r="N63" s="3" t="s">
        <v>179</v>
      </c>
      <c r="U63" s="3"/>
    </row>
    <row r="64" spans="10:21" ht="15.75" customHeight="1" x14ac:dyDescent="0.3">
      <c r="J64" t="s">
        <v>214</v>
      </c>
      <c r="K64">
        <v>1180378</v>
      </c>
      <c r="N64" s="3" t="s">
        <v>179</v>
      </c>
      <c r="U64" s="3"/>
    </row>
    <row r="65" spans="10:21" ht="15.75" customHeight="1" x14ac:dyDescent="0.3">
      <c r="J65" t="s">
        <v>215</v>
      </c>
      <c r="K65">
        <v>1708927</v>
      </c>
      <c r="N65" s="3" t="s">
        <v>179</v>
      </c>
      <c r="U65" s="3"/>
    </row>
    <row r="66" spans="10:21" ht="15.75" customHeight="1" x14ac:dyDescent="0.3">
      <c r="J66" t="s">
        <v>216</v>
      </c>
      <c r="K66">
        <v>1984102</v>
      </c>
      <c r="N66" s="3" t="s">
        <v>179</v>
      </c>
      <c r="U66" s="3"/>
    </row>
    <row r="67" spans="10:21" ht="15.75" customHeight="1" x14ac:dyDescent="0.3">
      <c r="N67" s="3"/>
      <c r="U67" s="3"/>
    </row>
    <row r="68" spans="10:21" ht="15.75" customHeight="1" x14ac:dyDescent="0.3">
      <c r="J68" t="s">
        <v>217</v>
      </c>
      <c r="N68" s="3" t="s">
        <v>218</v>
      </c>
      <c r="U68" s="3"/>
    </row>
    <row r="69" spans="10:21" ht="15.75" customHeight="1" x14ac:dyDescent="0.3">
      <c r="J69" t="s">
        <v>219</v>
      </c>
      <c r="K69">
        <v>28688</v>
      </c>
      <c r="N69" s="3" t="s">
        <v>220</v>
      </c>
      <c r="U69" s="3"/>
    </row>
    <row r="70" spans="10:21" ht="15.75" customHeight="1" x14ac:dyDescent="0.3">
      <c r="J70" t="s">
        <v>221</v>
      </c>
      <c r="K70">
        <v>43529</v>
      </c>
      <c r="N70" s="3" t="s">
        <v>220</v>
      </c>
      <c r="U70" s="3"/>
    </row>
    <row r="71" spans="10:21" ht="15.75" customHeight="1" x14ac:dyDescent="0.3">
      <c r="J71" t="s">
        <v>222</v>
      </c>
      <c r="K71">
        <v>43778</v>
      </c>
      <c r="N71" s="3" t="s">
        <v>220</v>
      </c>
      <c r="U71" s="3"/>
    </row>
    <row r="72" spans="10:21" ht="15.75" customHeight="1" x14ac:dyDescent="0.3">
      <c r="J72" t="s">
        <v>223</v>
      </c>
      <c r="K72">
        <v>44173</v>
      </c>
      <c r="N72" s="3" t="s">
        <v>220</v>
      </c>
      <c r="U72" s="3"/>
    </row>
    <row r="73" spans="10:21" ht="15.75" customHeight="1" x14ac:dyDescent="0.3">
      <c r="J73" t="s">
        <v>224</v>
      </c>
      <c r="K73">
        <v>44360</v>
      </c>
      <c r="N73" s="3" t="s">
        <v>220</v>
      </c>
      <c r="U73" s="3"/>
    </row>
    <row r="74" spans="10:21" ht="15.75" customHeight="1" x14ac:dyDescent="0.3">
      <c r="J74" t="s">
        <v>225</v>
      </c>
      <c r="K74">
        <v>45330</v>
      </c>
      <c r="N74" s="3" t="s">
        <v>220</v>
      </c>
      <c r="U74" s="3"/>
    </row>
    <row r="75" spans="10:21" ht="15.75" customHeight="1" x14ac:dyDescent="0.3">
      <c r="J75" t="s">
        <v>226</v>
      </c>
      <c r="K75">
        <v>46430</v>
      </c>
      <c r="N75" s="3" t="s">
        <v>220</v>
      </c>
      <c r="U75" s="3"/>
    </row>
    <row r="76" spans="10:21" ht="15.75" customHeight="1" x14ac:dyDescent="0.3">
      <c r="J76" t="s">
        <v>227</v>
      </c>
      <c r="K76">
        <v>57770</v>
      </c>
      <c r="N76" s="3" t="s">
        <v>220</v>
      </c>
      <c r="U76" s="3"/>
    </row>
    <row r="77" spans="10:21" ht="15.75" customHeight="1" x14ac:dyDescent="0.3">
      <c r="J77" t="s">
        <v>228</v>
      </c>
      <c r="K77">
        <v>67402</v>
      </c>
      <c r="N77" s="3" t="s">
        <v>220</v>
      </c>
      <c r="U77" s="3"/>
    </row>
    <row r="78" spans="10:21" ht="15.75" customHeight="1" x14ac:dyDescent="0.3">
      <c r="J78" t="s">
        <v>229</v>
      </c>
      <c r="K78">
        <v>76433</v>
      </c>
      <c r="N78" s="3" t="s">
        <v>220</v>
      </c>
      <c r="U78" s="3"/>
    </row>
    <row r="79" spans="10:21" ht="15.75" customHeight="1" x14ac:dyDescent="0.3">
      <c r="J79" t="s">
        <v>230</v>
      </c>
      <c r="K79">
        <v>80479</v>
      </c>
      <c r="N79" s="3" t="s">
        <v>220</v>
      </c>
      <c r="U79" s="3"/>
    </row>
    <row r="80" spans="10:21" ht="15.75" customHeight="1" x14ac:dyDescent="0.3">
      <c r="J80" t="s">
        <v>231</v>
      </c>
      <c r="K80">
        <v>85167</v>
      </c>
      <c r="N80" s="3" t="s">
        <v>220</v>
      </c>
      <c r="U80" s="3"/>
    </row>
    <row r="81" spans="10:21" ht="15.75" customHeight="1" x14ac:dyDescent="0.3">
      <c r="N81" s="3"/>
      <c r="U81" s="3"/>
    </row>
    <row r="82" spans="10:21" ht="15.75" customHeight="1" x14ac:dyDescent="0.3">
      <c r="J82" t="s">
        <v>232</v>
      </c>
      <c r="N82" s="3" t="s">
        <v>218</v>
      </c>
      <c r="U82" s="3"/>
    </row>
    <row r="83" spans="10:21" ht="15.75" customHeight="1" x14ac:dyDescent="0.3">
      <c r="J83" t="s">
        <v>233</v>
      </c>
      <c r="K83">
        <v>22210</v>
      </c>
      <c r="N83" s="3" t="s">
        <v>220</v>
      </c>
      <c r="U83" s="3"/>
    </row>
    <row r="84" spans="10:21" ht="15.75" customHeight="1" x14ac:dyDescent="0.3">
      <c r="J84" t="s">
        <v>234</v>
      </c>
      <c r="K84">
        <v>23000</v>
      </c>
      <c r="N84" s="3" t="s">
        <v>220</v>
      </c>
      <c r="U84" s="3"/>
    </row>
    <row r="85" spans="10:21" ht="15.75" customHeight="1" x14ac:dyDescent="0.3">
      <c r="J85" t="s">
        <v>235</v>
      </c>
      <c r="K85">
        <v>23200</v>
      </c>
      <c r="N85" s="3" t="s">
        <v>220</v>
      </c>
      <c r="U85" s="3"/>
    </row>
    <row r="86" spans="10:21" ht="15.75" customHeight="1" x14ac:dyDescent="0.3">
      <c r="J86" t="s">
        <v>236</v>
      </c>
      <c r="K86">
        <v>20746</v>
      </c>
      <c r="N86" s="3" t="s">
        <v>220</v>
      </c>
      <c r="U86" s="3"/>
    </row>
    <row r="87" spans="10:21" ht="15.75" customHeight="1" x14ac:dyDescent="0.3">
      <c r="J87" t="s">
        <v>237</v>
      </c>
      <c r="K87">
        <v>20995</v>
      </c>
      <c r="N87" s="3" t="s">
        <v>220</v>
      </c>
      <c r="U87" s="3"/>
    </row>
    <row r="88" spans="10:21" ht="15.75" customHeight="1" x14ac:dyDescent="0.3">
      <c r="J88" t="s">
        <v>238</v>
      </c>
      <c r="K88">
        <v>21390</v>
      </c>
      <c r="N88" s="3" t="s">
        <v>220</v>
      </c>
      <c r="U88" s="3"/>
    </row>
    <row r="89" spans="10:21" ht="15.75" customHeight="1" x14ac:dyDescent="0.3">
      <c r="J89" t="s">
        <v>239</v>
      </c>
      <c r="K89">
        <v>21577</v>
      </c>
      <c r="N89" s="3" t="s">
        <v>220</v>
      </c>
      <c r="U89" s="3"/>
    </row>
    <row r="90" spans="10:21" ht="15.75" customHeight="1" x14ac:dyDescent="0.3">
      <c r="J90" t="s">
        <v>240</v>
      </c>
      <c r="K90">
        <v>22547</v>
      </c>
      <c r="N90" s="3" t="s">
        <v>220</v>
      </c>
      <c r="U90" s="3"/>
    </row>
    <row r="91" spans="10:21" ht="15.75" customHeight="1" x14ac:dyDescent="0.3">
      <c r="J91" t="s">
        <v>241</v>
      </c>
      <c r="K91">
        <v>23647</v>
      </c>
      <c r="N91" s="3" t="s">
        <v>220</v>
      </c>
      <c r="U91" s="3"/>
    </row>
    <row r="92" spans="10:21" ht="15.75" customHeight="1" x14ac:dyDescent="0.3">
      <c r="J92" t="s">
        <v>242</v>
      </c>
      <c r="K92">
        <v>34986</v>
      </c>
      <c r="N92" s="3" t="s">
        <v>220</v>
      </c>
      <c r="U92" s="3"/>
    </row>
    <row r="93" spans="10:21" ht="15.75" customHeight="1" x14ac:dyDescent="0.3">
      <c r="J93" t="s">
        <v>243</v>
      </c>
      <c r="K93">
        <v>44619</v>
      </c>
      <c r="N93" s="3" t="s">
        <v>220</v>
      </c>
      <c r="U93" s="3"/>
    </row>
    <row r="94" spans="10:21" ht="15.75" customHeight="1" x14ac:dyDescent="0.3">
      <c r="J94" t="s">
        <v>244</v>
      </c>
      <c r="K94">
        <v>55260</v>
      </c>
      <c r="N94" s="3" t="s">
        <v>220</v>
      </c>
      <c r="U94" s="3"/>
    </row>
    <row r="95" spans="10:21" ht="15.75" customHeight="1" x14ac:dyDescent="0.3">
      <c r="J95" t="s">
        <v>245</v>
      </c>
      <c r="K95">
        <v>59426</v>
      </c>
      <c r="N95" s="3" t="s">
        <v>220</v>
      </c>
      <c r="U95" s="3"/>
    </row>
    <row r="96" spans="10:21" ht="15.75" customHeight="1" x14ac:dyDescent="0.3">
      <c r="J96" t="s">
        <v>246</v>
      </c>
      <c r="K96">
        <v>64255</v>
      </c>
      <c r="N96" s="3" t="s">
        <v>220</v>
      </c>
      <c r="U96" s="3"/>
    </row>
    <row r="97" spans="10:21" ht="15.75" customHeight="1" x14ac:dyDescent="0.3">
      <c r="N97" s="3"/>
      <c r="U97" s="3"/>
    </row>
    <row r="98" spans="10:21" ht="15.75" customHeight="1" x14ac:dyDescent="0.3">
      <c r="J98" t="s">
        <v>247</v>
      </c>
      <c r="K98">
        <v>45000</v>
      </c>
      <c r="N98" s="3" t="s">
        <v>248</v>
      </c>
      <c r="U98" s="3"/>
    </row>
    <row r="99" spans="10:21" ht="15.75" customHeight="1" x14ac:dyDescent="0.3">
      <c r="J99" t="s">
        <v>249</v>
      </c>
      <c r="K99">
        <v>3000</v>
      </c>
      <c r="N99" s="3" t="s">
        <v>250</v>
      </c>
      <c r="U99" s="3"/>
    </row>
    <row r="100" spans="10:21" ht="15.75" customHeight="1" x14ac:dyDescent="0.3">
      <c r="N100" s="3"/>
      <c r="U100" s="3"/>
    </row>
    <row r="101" spans="10:21" ht="15.75" customHeight="1" x14ac:dyDescent="0.3">
      <c r="J101" t="s">
        <v>251</v>
      </c>
      <c r="N101" s="3" t="s">
        <v>252</v>
      </c>
      <c r="U101" s="3"/>
    </row>
    <row r="102" spans="10:21" ht="15.75" customHeight="1" x14ac:dyDescent="0.3">
      <c r="J102" t="s">
        <v>253</v>
      </c>
      <c r="K102">
        <v>2350</v>
      </c>
      <c r="N102" s="3" t="s">
        <v>252</v>
      </c>
      <c r="U102" s="3"/>
    </row>
    <row r="103" spans="10:21" ht="15.75" customHeight="1" x14ac:dyDescent="0.3">
      <c r="J103" t="s">
        <v>254</v>
      </c>
      <c r="K103">
        <v>2950</v>
      </c>
      <c r="N103" s="3" t="s">
        <v>252</v>
      </c>
      <c r="U103" s="3"/>
    </row>
    <row r="104" spans="10:21" ht="15.75" customHeight="1" x14ac:dyDescent="0.3">
      <c r="J104" t="s">
        <v>255</v>
      </c>
      <c r="K104">
        <v>3650</v>
      </c>
      <c r="N104" s="3" t="s">
        <v>252</v>
      </c>
      <c r="U104" s="3"/>
    </row>
    <row r="105" spans="10:21" ht="15.75" customHeight="1" x14ac:dyDescent="0.3">
      <c r="J105" t="s">
        <v>256</v>
      </c>
      <c r="K105">
        <v>4100</v>
      </c>
      <c r="N105" s="3" t="s">
        <v>252</v>
      </c>
      <c r="U105" s="3"/>
    </row>
    <row r="106" spans="10:21" ht="15.75" customHeight="1" x14ac:dyDescent="0.3">
      <c r="J106" t="s">
        <v>257</v>
      </c>
      <c r="K106">
        <v>4700</v>
      </c>
      <c r="N106" s="3" t="s">
        <v>252</v>
      </c>
      <c r="U106" s="3"/>
    </row>
    <row r="107" spans="10:21" ht="15.75" customHeight="1" x14ac:dyDescent="0.3">
      <c r="J107" t="s">
        <v>258</v>
      </c>
      <c r="K107">
        <v>5500</v>
      </c>
      <c r="N107" s="3" t="s">
        <v>252</v>
      </c>
      <c r="U107" s="3"/>
    </row>
    <row r="108" spans="10:21" ht="15.75" customHeight="1" x14ac:dyDescent="0.3">
      <c r="J108" t="s">
        <v>259</v>
      </c>
      <c r="K108">
        <v>7700</v>
      </c>
      <c r="N108" s="3" t="s">
        <v>252</v>
      </c>
      <c r="U108" s="3"/>
    </row>
    <row r="109" spans="10:21" ht="15.75" customHeight="1" x14ac:dyDescent="0.3">
      <c r="J109" t="s">
        <v>260</v>
      </c>
      <c r="K109">
        <v>13200</v>
      </c>
      <c r="N109" s="3" t="s">
        <v>252</v>
      </c>
      <c r="U109" s="3"/>
    </row>
    <row r="110" spans="10:21" ht="15.75" customHeight="1" x14ac:dyDescent="0.3">
      <c r="J110" t="s">
        <v>261</v>
      </c>
      <c r="K110">
        <v>16200</v>
      </c>
      <c r="N110" s="3" t="s">
        <v>252</v>
      </c>
      <c r="U110" s="3"/>
    </row>
    <row r="111" spans="10:21" ht="15.75" customHeight="1" x14ac:dyDescent="0.3">
      <c r="J111" t="s">
        <v>262</v>
      </c>
      <c r="K111">
        <v>18200</v>
      </c>
      <c r="N111" s="3" t="s">
        <v>252</v>
      </c>
      <c r="U111" s="3"/>
    </row>
    <row r="112" spans="10:21" ht="15.75" customHeight="1" x14ac:dyDescent="0.3">
      <c r="J112" t="s">
        <v>263</v>
      </c>
      <c r="K112">
        <v>24200</v>
      </c>
      <c r="N112" s="3" t="s">
        <v>252</v>
      </c>
      <c r="U112" s="3"/>
    </row>
    <row r="113" spans="10:21" ht="15.75" customHeight="1" x14ac:dyDescent="0.3">
      <c r="J113" t="s">
        <v>264</v>
      </c>
      <c r="K113">
        <v>31200</v>
      </c>
      <c r="N113" s="3" t="s">
        <v>252</v>
      </c>
      <c r="U113" s="3"/>
    </row>
    <row r="114" spans="10:21" ht="15.75" customHeight="1" x14ac:dyDescent="0.3">
      <c r="J114" t="s">
        <v>265</v>
      </c>
      <c r="K114">
        <v>37200</v>
      </c>
      <c r="N114" s="3" t="s">
        <v>252</v>
      </c>
      <c r="U114" s="3"/>
    </row>
    <row r="115" spans="10:21" ht="15.75" customHeight="1" x14ac:dyDescent="0.3">
      <c r="J115" t="s">
        <v>266</v>
      </c>
      <c r="K115">
        <v>47000</v>
      </c>
      <c r="N115" s="3" t="s">
        <v>252</v>
      </c>
      <c r="U115" s="3"/>
    </row>
    <row r="116" spans="10:21" ht="15.75" customHeight="1" x14ac:dyDescent="0.3">
      <c r="J116" t="s">
        <v>267</v>
      </c>
      <c r="K116">
        <v>55000</v>
      </c>
      <c r="N116" s="3" t="s">
        <v>252</v>
      </c>
      <c r="U116" s="3"/>
    </row>
    <row r="117" spans="10:21" ht="15.75" customHeight="1" x14ac:dyDescent="0.3">
      <c r="J117" t="s">
        <v>268</v>
      </c>
      <c r="K117">
        <v>61400</v>
      </c>
      <c r="N117" s="3" t="s">
        <v>252</v>
      </c>
      <c r="U117" s="3"/>
    </row>
    <row r="118" spans="10:21" ht="15.75" customHeight="1" x14ac:dyDescent="0.3">
      <c r="N118" s="3"/>
      <c r="U118" s="3"/>
    </row>
    <row r="119" spans="10:21" ht="15.75" customHeight="1" x14ac:dyDescent="0.3">
      <c r="J119" t="s">
        <v>269</v>
      </c>
      <c r="N119" s="3" t="s">
        <v>270</v>
      </c>
      <c r="U119" s="3"/>
    </row>
    <row r="120" spans="10:21" ht="15.75" customHeight="1" x14ac:dyDescent="0.3">
      <c r="J120" t="s">
        <v>271</v>
      </c>
      <c r="K120">
        <v>12000</v>
      </c>
      <c r="N120" s="3" t="s">
        <v>270</v>
      </c>
      <c r="U120" s="3"/>
    </row>
    <row r="121" spans="10:21" ht="15.75" customHeight="1" x14ac:dyDescent="0.3">
      <c r="J121" t="s">
        <v>272</v>
      </c>
      <c r="K121">
        <v>18000</v>
      </c>
      <c r="N121" s="3" t="s">
        <v>270</v>
      </c>
      <c r="U121" s="3"/>
    </row>
    <row r="122" spans="10:21" ht="15.75" customHeight="1" x14ac:dyDescent="0.3">
      <c r="J122" t="s">
        <v>273</v>
      </c>
      <c r="K122">
        <v>26000</v>
      </c>
      <c r="N122" s="3" t="s">
        <v>270</v>
      </c>
      <c r="U122" s="3"/>
    </row>
    <row r="123" spans="10:21" ht="15.75" customHeight="1" x14ac:dyDescent="0.3">
      <c r="J123" t="s">
        <v>274</v>
      </c>
      <c r="K123">
        <v>30000</v>
      </c>
      <c r="N123" s="3" t="s">
        <v>270</v>
      </c>
      <c r="U123" s="3"/>
    </row>
    <row r="124" spans="10:21" ht="15.75" customHeight="1" x14ac:dyDescent="0.3">
      <c r="J124" t="s">
        <v>275</v>
      </c>
      <c r="K124">
        <v>45000</v>
      </c>
      <c r="N124" s="3" t="s">
        <v>270</v>
      </c>
      <c r="U124" s="3"/>
    </row>
    <row r="125" spans="10:21" ht="15.75" customHeight="1" x14ac:dyDescent="0.3">
      <c r="J125" t="s">
        <v>276</v>
      </c>
      <c r="K125">
        <v>55000</v>
      </c>
      <c r="N125" s="3" t="s">
        <v>270</v>
      </c>
      <c r="U125" s="3"/>
    </row>
    <row r="126" spans="10:21" ht="15.75" customHeight="1" x14ac:dyDescent="0.3">
      <c r="J126" t="s">
        <v>277</v>
      </c>
      <c r="K126">
        <v>65000</v>
      </c>
      <c r="N126" s="3" t="s">
        <v>270</v>
      </c>
      <c r="U126" s="3"/>
    </row>
    <row r="127" spans="10:21" ht="15.75" customHeight="1" x14ac:dyDescent="0.3">
      <c r="J127" t="s">
        <v>278</v>
      </c>
      <c r="K127">
        <v>75000</v>
      </c>
      <c r="N127" s="3" t="s">
        <v>270</v>
      </c>
      <c r="U127" s="3"/>
    </row>
    <row r="128" spans="10:21" ht="15.75" customHeight="1" x14ac:dyDescent="0.3">
      <c r="J128" t="s">
        <v>279</v>
      </c>
      <c r="K128">
        <v>90000</v>
      </c>
      <c r="N128" s="3" t="s">
        <v>270</v>
      </c>
      <c r="U128" s="3"/>
    </row>
    <row r="129" spans="10:21" ht="15.75" customHeight="1" x14ac:dyDescent="0.3">
      <c r="J129" t="s">
        <v>280</v>
      </c>
      <c r="K129">
        <v>110000</v>
      </c>
      <c r="N129" s="3" t="s">
        <v>270</v>
      </c>
      <c r="U129" s="3"/>
    </row>
    <row r="130" spans="10:21" ht="15.75" customHeight="1" x14ac:dyDescent="0.3">
      <c r="N130" s="3"/>
      <c r="U130" s="3"/>
    </row>
    <row r="131" spans="10:21" ht="15.75" customHeight="1" x14ac:dyDescent="0.3">
      <c r="J131" t="s">
        <v>281</v>
      </c>
      <c r="N131" s="3" t="s">
        <v>282</v>
      </c>
      <c r="U131" s="3"/>
    </row>
    <row r="132" spans="10:21" ht="15.75" customHeight="1" x14ac:dyDescent="0.3">
      <c r="J132" t="s">
        <v>283</v>
      </c>
      <c r="K132">
        <v>1949</v>
      </c>
      <c r="N132" s="3" t="s">
        <v>282</v>
      </c>
      <c r="U132" s="3"/>
    </row>
    <row r="133" spans="10:21" ht="15.75" customHeight="1" x14ac:dyDescent="0.3">
      <c r="J133" t="s">
        <v>284</v>
      </c>
      <c r="K133">
        <v>2032</v>
      </c>
      <c r="N133" s="3" t="s">
        <v>282</v>
      </c>
      <c r="U133" s="3"/>
    </row>
    <row r="134" spans="10:21" ht="15.75" customHeight="1" x14ac:dyDescent="0.3">
      <c r="J134" t="s">
        <v>285</v>
      </c>
      <c r="K134">
        <v>2393</v>
      </c>
      <c r="N134" s="3" t="s">
        <v>282</v>
      </c>
      <c r="U134" s="3"/>
    </row>
    <row r="135" spans="10:21" ht="15.75" customHeight="1" x14ac:dyDescent="0.3">
      <c r="J135" t="s">
        <v>286</v>
      </c>
      <c r="K135">
        <v>3639</v>
      </c>
      <c r="N135" s="3" t="s">
        <v>282</v>
      </c>
      <c r="U135" s="3"/>
    </row>
    <row r="136" spans="10:21" ht="15.75" customHeight="1" x14ac:dyDescent="0.3">
      <c r="J136" t="s">
        <v>287</v>
      </c>
      <c r="K136">
        <v>5725</v>
      </c>
      <c r="N136" s="3" t="s">
        <v>282</v>
      </c>
      <c r="U136" s="3"/>
    </row>
    <row r="137" spans="10:21" ht="15.75" customHeight="1" x14ac:dyDescent="0.3">
      <c r="J137" t="s">
        <v>288</v>
      </c>
      <c r="K137">
        <v>10611</v>
      </c>
      <c r="N137" s="3" t="s">
        <v>282</v>
      </c>
      <c r="U137" s="3"/>
    </row>
    <row r="138" spans="10:21" ht="15.75" customHeight="1" x14ac:dyDescent="0.3">
      <c r="J138" t="s">
        <v>289</v>
      </c>
      <c r="K138">
        <v>13767</v>
      </c>
      <c r="N138" s="3" t="s">
        <v>282</v>
      </c>
      <c r="U138" s="3"/>
    </row>
    <row r="139" spans="10:21" ht="15.75" customHeight="1" x14ac:dyDescent="0.3">
      <c r="J139" t="s">
        <v>290</v>
      </c>
      <c r="K139">
        <v>21471</v>
      </c>
      <c r="N139" s="3" t="s">
        <v>282</v>
      </c>
      <c r="U139" s="3"/>
    </row>
    <row r="140" spans="10:21" ht="15.75" customHeight="1" x14ac:dyDescent="0.3">
      <c r="J140" t="s">
        <v>291</v>
      </c>
      <c r="K140">
        <v>31834</v>
      </c>
      <c r="N140" s="3" t="s">
        <v>282</v>
      </c>
      <c r="U140" s="3"/>
    </row>
    <row r="141" spans="10:21" ht="15.75" customHeight="1" x14ac:dyDescent="0.3">
      <c r="J141" t="s">
        <v>292</v>
      </c>
      <c r="K141">
        <v>2954</v>
      </c>
      <c r="N141" s="3" t="s">
        <v>282</v>
      </c>
      <c r="U141" s="3"/>
    </row>
    <row r="142" spans="10:21" ht="15.75" customHeight="1" x14ac:dyDescent="0.3">
      <c r="J142" t="s">
        <v>293</v>
      </c>
      <c r="K142">
        <v>3105</v>
      </c>
      <c r="N142" s="3" t="s">
        <v>282</v>
      </c>
      <c r="U142" s="3"/>
    </row>
    <row r="143" spans="10:21" ht="15.75" customHeight="1" x14ac:dyDescent="0.3">
      <c r="J143" t="s">
        <v>294</v>
      </c>
      <c r="K143">
        <v>4071</v>
      </c>
      <c r="N143" s="3" t="s">
        <v>282</v>
      </c>
      <c r="U143" s="3"/>
    </row>
    <row r="144" spans="10:21" ht="15.75" customHeight="1" x14ac:dyDescent="0.3">
      <c r="J144" t="s">
        <v>295</v>
      </c>
      <c r="K144">
        <v>6116</v>
      </c>
      <c r="N144" s="3" t="s">
        <v>282</v>
      </c>
      <c r="U144" s="3"/>
    </row>
    <row r="145" spans="10:21" ht="15.75" customHeight="1" x14ac:dyDescent="0.3">
      <c r="J145" t="s">
        <v>296</v>
      </c>
      <c r="K145">
        <v>9286</v>
      </c>
      <c r="N145" s="3" t="s">
        <v>282</v>
      </c>
      <c r="U145" s="3"/>
    </row>
    <row r="146" spans="10:21" ht="15.75" customHeight="1" x14ac:dyDescent="0.3">
      <c r="J146" t="s">
        <v>297</v>
      </c>
      <c r="K146">
        <v>17634</v>
      </c>
      <c r="N146" s="3" t="s">
        <v>282</v>
      </c>
      <c r="U146" s="3"/>
    </row>
    <row r="147" spans="10:21" ht="15.75" customHeight="1" x14ac:dyDescent="0.3">
      <c r="J147" t="s">
        <v>298</v>
      </c>
      <c r="K147">
        <v>21060</v>
      </c>
      <c r="N147" s="3" t="s">
        <v>282</v>
      </c>
      <c r="U147" s="3"/>
    </row>
    <row r="148" spans="10:21" ht="15.75" customHeight="1" x14ac:dyDescent="0.3">
      <c r="J148" t="s">
        <v>299</v>
      </c>
      <c r="K148">
        <v>32851</v>
      </c>
      <c r="N148" s="3" t="s">
        <v>282</v>
      </c>
      <c r="U148" s="3"/>
    </row>
    <row r="149" spans="10:21" ht="15.75" customHeight="1" x14ac:dyDescent="0.3">
      <c r="J149" t="s">
        <v>300</v>
      </c>
      <c r="K149">
        <v>52189</v>
      </c>
      <c r="N149" s="3" t="s">
        <v>282</v>
      </c>
      <c r="U149" s="3"/>
    </row>
    <row r="150" spans="10:21" ht="15.75" customHeight="1" x14ac:dyDescent="0.3">
      <c r="J150" t="s">
        <v>301</v>
      </c>
      <c r="K150">
        <v>2171</v>
      </c>
      <c r="N150" s="3" t="s">
        <v>282</v>
      </c>
      <c r="U150" s="3"/>
    </row>
    <row r="151" spans="10:21" ht="15.75" customHeight="1" x14ac:dyDescent="0.3">
      <c r="J151" t="s">
        <v>302</v>
      </c>
      <c r="K151">
        <v>2583</v>
      </c>
      <c r="N151" s="3" t="s">
        <v>282</v>
      </c>
      <c r="U151" s="3"/>
    </row>
    <row r="152" spans="10:21" ht="15.75" customHeight="1" x14ac:dyDescent="0.3">
      <c r="J152" t="s">
        <v>303</v>
      </c>
      <c r="K152">
        <v>3372</v>
      </c>
      <c r="N152" s="3" t="s">
        <v>282</v>
      </c>
      <c r="U152" s="3"/>
    </row>
    <row r="153" spans="10:21" ht="15.75" customHeight="1" x14ac:dyDescent="0.3">
      <c r="J153" t="s">
        <v>304</v>
      </c>
      <c r="K153">
        <v>5358</v>
      </c>
      <c r="N153" s="3" t="s">
        <v>282</v>
      </c>
      <c r="U153" s="3"/>
    </row>
    <row r="154" spans="10:21" ht="15.75" customHeight="1" x14ac:dyDescent="0.3">
      <c r="J154" t="s">
        <v>305</v>
      </c>
      <c r="K154">
        <v>7240</v>
      </c>
      <c r="N154" s="3" t="s">
        <v>282</v>
      </c>
      <c r="U154" s="3"/>
    </row>
    <row r="155" spans="10:21" ht="15.75" customHeight="1" x14ac:dyDescent="0.3">
      <c r="J155" t="s">
        <v>306</v>
      </c>
      <c r="K155">
        <v>12360</v>
      </c>
      <c r="N155" s="3" t="s">
        <v>282</v>
      </c>
      <c r="U155" s="3"/>
    </row>
    <row r="156" spans="10:21" ht="15.75" customHeight="1" x14ac:dyDescent="0.3">
      <c r="J156" t="s">
        <v>307</v>
      </c>
      <c r="K156">
        <v>17554</v>
      </c>
      <c r="N156" s="3" t="s">
        <v>282</v>
      </c>
      <c r="U156" s="3"/>
    </row>
    <row r="157" spans="10:21" ht="15.75" customHeight="1" x14ac:dyDescent="0.3">
      <c r="J157" t="s">
        <v>308</v>
      </c>
      <c r="K157">
        <v>25055</v>
      </c>
      <c r="N157" s="3" t="s">
        <v>282</v>
      </c>
      <c r="U157" s="3"/>
    </row>
    <row r="158" spans="10:21" ht="15.75" customHeight="1" x14ac:dyDescent="0.3">
      <c r="J158" t="s">
        <v>309</v>
      </c>
      <c r="K158">
        <v>41346</v>
      </c>
      <c r="N158" s="3" t="s">
        <v>282</v>
      </c>
      <c r="U158" s="3"/>
    </row>
    <row r="159" spans="10:21" ht="15.75" customHeight="1" x14ac:dyDescent="0.3">
      <c r="J159" t="s">
        <v>310</v>
      </c>
      <c r="K159">
        <v>3360</v>
      </c>
      <c r="N159" s="3" t="s">
        <v>282</v>
      </c>
      <c r="U159" s="3"/>
    </row>
    <row r="160" spans="10:21" ht="15.75" customHeight="1" x14ac:dyDescent="0.3">
      <c r="J160" t="s">
        <v>311</v>
      </c>
      <c r="K160">
        <v>4239</v>
      </c>
      <c r="N160" s="3" t="s">
        <v>282</v>
      </c>
      <c r="U160" s="3"/>
    </row>
    <row r="161" spans="10:21" ht="15.75" customHeight="1" x14ac:dyDescent="0.3">
      <c r="J161" t="s">
        <v>312</v>
      </c>
      <c r="K161">
        <v>5846</v>
      </c>
      <c r="N161" s="3" t="s">
        <v>282</v>
      </c>
      <c r="U161" s="3"/>
    </row>
    <row r="162" spans="10:21" ht="15.75" customHeight="1" x14ac:dyDescent="0.3">
      <c r="J162" t="s">
        <v>313</v>
      </c>
      <c r="K162">
        <v>9287</v>
      </c>
      <c r="N162" s="3" t="s">
        <v>282</v>
      </c>
      <c r="U162" s="3"/>
    </row>
    <row r="163" spans="10:21" ht="15.75" customHeight="1" x14ac:dyDescent="0.3">
      <c r="J163" t="s">
        <v>314</v>
      </c>
      <c r="K163">
        <v>12195</v>
      </c>
      <c r="N163" s="3" t="s">
        <v>282</v>
      </c>
      <c r="U163" s="3"/>
    </row>
    <row r="164" spans="10:21" ht="15.75" customHeight="1" x14ac:dyDescent="0.3">
      <c r="J164" t="s">
        <v>315</v>
      </c>
      <c r="K164">
        <v>26271</v>
      </c>
      <c r="N164" s="3" t="s">
        <v>282</v>
      </c>
      <c r="U164" s="3"/>
    </row>
    <row r="165" spans="10:21" ht="15.75" customHeight="1" x14ac:dyDescent="0.3">
      <c r="J165" t="s">
        <v>316</v>
      </c>
      <c r="K165">
        <v>37321</v>
      </c>
      <c r="N165" s="3" t="s">
        <v>282</v>
      </c>
      <c r="U165" s="3"/>
    </row>
    <row r="166" spans="10:21" ht="15.75" customHeight="1" x14ac:dyDescent="0.3">
      <c r="J166" t="s">
        <v>317</v>
      </c>
      <c r="K166">
        <v>53072</v>
      </c>
      <c r="N166" s="3" t="s">
        <v>282</v>
      </c>
      <c r="U166" s="3"/>
    </row>
    <row r="167" spans="10:21" ht="15.75" customHeight="1" x14ac:dyDescent="0.3">
      <c r="J167" t="s">
        <v>318</v>
      </c>
      <c r="K167">
        <v>89375</v>
      </c>
      <c r="N167" s="3" t="s">
        <v>282</v>
      </c>
      <c r="U167" s="3"/>
    </row>
    <row r="168" spans="10:21" ht="15.75" customHeight="1" x14ac:dyDescent="0.3">
      <c r="J168" t="s">
        <v>319</v>
      </c>
      <c r="K168">
        <v>1914</v>
      </c>
      <c r="N168" s="3" t="s">
        <v>282</v>
      </c>
      <c r="U168" s="3"/>
    </row>
    <row r="169" spans="10:21" ht="15.75" customHeight="1" x14ac:dyDescent="0.3">
      <c r="J169" t="s">
        <v>320</v>
      </c>
      <c r="K169">
        <v>2193</v>
      </c>
      <c r="N169" s="3" t="s">
        <v>282</v>
      </c>
      <c r="U169" s="3"/>
    </row>
    <row r="170" spans="10:21" ht="15.75" customHeight="1" x14ac:dyDescent="0.3">
      <c r="J170" t="s">
        <v>321</v>
      </c>
      <c r="K170">
        <v>3023</v>
      </c>
      <c r="N170" s="3" t="s">
        <v>282</v>
      </c>
      <c r="U170" s="3"/>
    </row>
    <row r="171" spans="10:21" ht="15.75" customHeight="1" x14ac:dyDescent="0.3">
      <c r="J171" t="s">
        <v>322</v>
      </c>
      <c r="K171">
        <v>5014</v>
      </c>
      <c r="N171" s="3" t="s">
        <v>282</v>
      </c>
      <c r="U171" s="3"/>
    </row>
    <row r="172" spans="10:21" ht="15.75" customHeight="1" x14ac:dyDescent="0.3">
      <c r="J172" t="s">
        <v>323</v>
      </c>
      <c r="K172">
        <v>8208</v>
      </c>
      <c r="N172" s="3" t="s">
        <v>282</v>
      </c>
      <c r="U172" s="3"/>
    </row>
    <row r="173" spans="10:21" ht="15.75" customHeight="1" x14ac:dyDescent="0.3">
      <c r="J173" t="s">
        <v>324</v>
      </c>
      <c r="K173">
        <v>13102</v>
      </c>
      <c r="N173" s="3" t="s">
        <v>282</v>
      </c>
      <c r="U173" s="3"/>
    </row>
    <row r="174" spans="10:21" ht="15.75" customHeight="1" x14ac:dyDescent="0.3">
      <c r="J174" t="s">
        <v>325</v>
      </c>
      <c r="K174">
        <v>17631</v>
      </c>
      <c r="N174" s="3" t="s">
        <v>282</v>
      </c>
      <c r="U174" s="3"/>
    </row>
    <row r="175" spans="10:21" ht="15.75" customHeight="1" x14ac:dyDescent="0.3">
      <c r="J175" t="s">
        <v>326</v>
      </c>
      <c r="K175">
        <v>28685</v>
      </c>
      <c r="N175" s="3" t="s">
        <v>282</v>
      </c>
      <c r="U175" s="3"/>
    </row>
    <row r="176" spans="10:21" ht="15.75" customHeight="1" x14ac:dyDescent="0.3">
      <c r="J176" t="s">
        <v>327</v>
      </c>
      <c r="K176">
        <v>69697</v>
      </c>
      <c r="N176" s="3" t="s">
        <v>282</v>
      </c>
      <c r="U176" s="3"/>
    </row>
    <row r="177" spans="10:21" ht="15.75" customHeight="1" x14ac:dyDescent="0.3">
      <c r="J177" t="s">
        <v>328</v>
      </c>
      <c r="K177">
        <v>155782</v>
      </c>
      <c r="N177" s="3" t="s">
        <v>282</v>
      </c>
      <c r="U177" s="3"/>
    </row>
    <row r="178" spans="10:21" ht="15.75" customHeight="1" x14ac:dyDescent="0.3">
      <c r="J178" t="s">
        <v>329</v>
      </c>
      <c r="K178">
        <v>2820</v>
      </c>
      <c r="N178" s="3" t="s">
        <v>282</v>
      </c>
      <c r="U178" s="3"/>
    </row>
    <row r="179" spans="10:21" ht="15.75" customHeight="1" x14ac:dyDescent="0.3">
      <c r="J179" t="s">
        <v>330</v>
      </c>
      <c r="K179">
        <v>3246</v>
      </c>
      <c r="N179" s="3" t="s">
        <v>282</v>
      </c>
      <c r="U179" s="3"/>
    </row>
    <row r="180" spans="10:21" ht="15.75" customHeight="1" x14ac:dyDescent="0.3">
      <c r="J180" t="s">
        <v>331</v>
      </c>
      <c r="K180">
        <v>4920</v>
      </c>
      <c r="N180" s="3" t="s">
        <v>282</v>
      </c>
      <c r="U180" s="3"/>
    </row>
    <row r="181" spans="10:21" ht="15.75" customHeight="1" x14ac:dyDescent="0.3">
      <c r="J181" t="s">
        <v>332</v>
      </c>
      <c r="K181">
        <v>7774</v>
      </c>
      <c r="N181" s="3" t="s">
        <v>282</v>
      </c>
      <c r="U181" s="3"/>
    </row>
    <row r="182" spans="10:21" ht="15.75" customHeight="1" x14ac:dyDescent="0.3">
      <c r="J182" t="s">
        <v>333</v>
      </c>
      <c r="K182">
        <v>12462</v>
      </c>
      <c r="N182" s="3" t="s">
        <v>282</v>
      </c>
      <c r="U182" s="3"/>
    </row>
    <row r="183" spans="10:21" ht="15.75" customHeight="1" x14ac:dyDescent="0.3">
      <c r="J183" t="s">
        <v>334</v>
      </c>
      <c r="K183">
        <v>19602</v>
      </c>
      <c r="N183" s="3" t="s">
        <v>282</v>
      </c>
      <c r="U183" s="3"/>
    </row>
    <row r="184" spans="10:21" ht="15.75" customHeight="1" x14ac:dyDescent="0.3">
      <c r="J184" t="s">
        <v>335</v>
      </c>
      <c r="K184">
        <v>26250</v>
      </c>
      <c r="N184" s="3" t="s">
        <v>282</v>
      </c>
      <c r="U184" s="3"/>
    </row>
    <row r="185" spans="10:21" ht="15.75" customHeight="1" x14ac:dyDescent="0.3">
      <c r="J185" t="s">
        <v>336</v>
      </c>
      <c r="K185">
        <v>42208</v>
      </c>
      <c r="N185" s="3" t="s">
        <v>282</v>
      </c>
      <c r="U185" s="3"/>
    </row>
    <row r="186" spans="10:21" ht="15.75" customHeight="1" x14ac:dyDescent="0.3">
      <c r="J186" t="s">
        <v>337</v>
      </c>
      <c r="K186">
        <v>97253</v>
      </c>
      <c r="N186" s="3" t="s">
        <v>282</v>
      </c>
      <c r="U186" s="3"/>
    </row>
    <row r="187" spans="10:21" ht="15.75" customHeight="1" x14ac:dyDescent="0.3">
      <c r="J187" t="s">
        <v>338</v>
      </c>
      <c r="K187">
        <v>207129</v>
      </c>
      <c r="N187" s="3" t="s">
        <v>282</v>
      </c>
      <c r="U187" s="3"/>
    </row>
    <row r="188" spans="10:21" ht="15.75" customHeight="1" x14ac:dyDescent="0.3">
      <c r="J188" t="s">
        <v>339</v>
      </c>
      <c r="K188">
        <v>2213</v>
      </c>
      <c r="N188" s="3" t="s">
        <v>282</v>
      </c>
      <c r="U188" s="3"/>
    </row>
    <row r="189" spans="10:21" ht="15.75" customHeight="1" x14ac:dyDescent="0.3">
      <c r="J189" t="s">
        <v>340</v>
      </c>
      <c r="K189">
        <v>2840</v>
      </c>
      <c r="N189" s="3" t="s">
        <v>282</v>
      </c>
      <c r="U189" s="3"/>
    </row>
    <row r="190" spans="10:21" ht="15.75" customHeight="1" x14ac:dyDescent="0.3">
      <c r="J190" t="s">
        <v>341</v>
      </c>
      <c r="K190">
        <v>3947</v>
      </c>
      <c r="N190" s="3" t="s">
        <v>282</v>
      </c>
      <c r="U190" s="3"/>
    </row>
    <row r="191" spans="10:21" ht="15.75" customHeight="1" x14ac:dyDescent="0.3">
      <c r="J191" t="s">
        <v>342</v>
      </c>
      <c r="K191">
        <v>6644</v>
      </c>
      <c r="N191" s="3" t="s">
        <v>282</v>
      </c>
      <c r="U191" s="3"/>
    </row>
    <row r="192" spans="10:21" ht="15.75" customHeight="1" x14ac:dyDescent="0.3">
      <c r="J192" t="s">
        <v>343</v>
      </c>
      <c r="K192">
        <v>9998</v>
      </c>
      <c r="N192" s="3" t="s">
        <v>282</v>
      </c>
      <c r="U192" s="3"/>
    </row>
    <row r="193" spans="10:21" ht="15.75" customHeight="1" x14ac:dyDescent="0.3">
      <c r="J193" t="s">
        <v>344</v>
      </c>
      <c r="K193">
        <v>15188</v>
      </c>
      <c r="N193" s="3" t="s">
        <v>282</v>
      </c>
      <c r="U193" s="3"/>
    </row>
    <row r="194" spans="10:21" ht="15.75" customHeight="1" x14ac:dyDescent="0.3">
      <c r="J194" t="s">
        <v>345</v>
      </c>
      <c r="K194">
        <v>20801</v>
      </c>
      <c r="N194" s="3" t="s">
        <v>282</v>
      </c>
      <c r="U194" s="3"/>
    </row>
    <row r="195" spans="10:21" ht="15.75" customHeight="1" x14ac:dyDescent="0.3">
      <c r="J195" t="s">
        <v>346</v>
      </c>
      <c r="K195">
        <v>34650</v>
      </c>
      <c r="N195" s="3" t="s">
        <v>282</v>
      </c>
      <c r="U195" s="3"/>
    </row>
    <row r="196" spans="10:21" ht="15.75" customHeight="1" x14ac:dyDescent="0.3">
      <c r="J196" t="s">
        <v>347</v>
      </c>
      <c r="K196">
        <v>93221</v>
      </c>
      <c r="N196" s="3" t="s">
        <v>282</v>
      </c>
      <c r="U196" s="3"/>
    </row>
    <row r="197" spans="10:21" ht="15.75" customHeight="1" x14ac:dyDescent="0.3">
      <c r="J197" t="s">
        <v>348</v>
      </c>
      <c r="K197">
        <v>172988</v>
      </c>
      <c r="N197" s="3" t="s">
        <v>282</v>
      </c>
      <c r="U197" s="3"/>
    </row>
    <row r="198" spans="10:21" ht="15.75" customHeight="1" x14ac:dyDescent="0.3">
      <c r="J198" t="s">
        <v>349</v>
      </c>
      <c r="K198">
        <v>3446</v>
      </c>
      <c r="N198" s="3" t="s">
        <v>282</v>
      </c>
      <c r="U198" s="3"/>
    </row>
    <row r="199" spans="10:21" ht="15.75" customHeight="1" x14ac:dyDescent="0.3">
      <c r="J199" t="s">
        <v>350</v>
      </c>
      <c r="K199">
        <v>4489</v>
      </c>
      <c r="N199" s="3" t="s">
        <v>282</v>
      </c>
      <c r="U199" s="3"/>
    </row>
    <row r="200" spans="10:21" ht="15.75" customHeight="1" x14ac:dyDescent="0.3">
      <c r="J200" t="s">
        <v>351</v>
      </c>
      <c r="K200">
        <v>6584</v>
      </c>
      <c r="N200" s="3" t="s">
        <v>282</v>
      </c>
      <c r="U200" s="3"/>
    </row>
    <row r="201" spans="10:21" ht="15.75" customHeight="1" x14ac:dyDescent="0.3">
      <c r="J201" t="s">
        <v>352</v>
      </c>
      <c r="K201">
        <v>10924</v>
      </c>
      <c r="N201" s="3" t="s">
        <v>282</v>
      </c>
      <c r="U201" s="3"/>
    </row>
    <row r="202" spans="10:21" ht="15.75" customHeight="1" x14ac:dyDescent="0.3">
      <c r="J202" t="s">
        <v>353</v>
      </c>
      <c r="K202">
        <v>16076</v>
      </c>
      <c r="N202" s="3" t="s">
        <v>282</v>
      </c>
      <c r="U202" s="3"/>
    </row>
    <row r="203" spans="10:21" ht="15.75" customHeight="1" x14ac:dyDescent="0.3">
      <c r="J203" t="s">
        <v>354</v>
      </c>
      <c r="K203">
        <v>30520</v>
      </c>
      <c r="N203" s="3" t="s">
        <v>282</v>
      </c>
      <c r="U203" s="3"/>
    </row>
    <row r="204" spans="10:21" ht="15.75" customHeight="1" x14ac:dyDescent="0.3">
      <c r="J204" t="s">
        <v>355</v>
      </c>
      <c r="K204">
        <v>39178</v>
      </c>
      <c r="N204" s="3" t="s">
        <v>282</v>
      </c>
      <c r="U204" s="3"/>
    </row>
    <row r="205" spans="10:21" ht="15.75" customHeight="1" x14ac:dyDescent="0.3">
      <c r="J205" t="s">
        <v>356</v>
      </c>
      <c r="K205">
        <v>65234</v>
      </c>
      <c r="N205" s="3" t="s">
        <v>282</v>
      </c>
      <c r="U205" s="3"/>
    </row>
    <row r="206" spans="10:21" ht="15.75" customHeight="1" x14ac:dyDescent="0.3">
      <c r="J206" t="s">
        <v>357</v>
      </c>
      <c r="K206">
        <v>180460</v>
      </c>
      <c r="N206" s="3" t="s">
        <v>282</v>
      </c>
      <c r="U206" s="3"/>
    </row>
    <row r="207" spans="10:21" ht="15.75" customHeight="1" x14ac:dyDescent="0.3">
      <c r="J207" t="s">
        <v>358</v>
      </c>
      <c r="K207">
        <v>314873</v>
      </c>
      <c r="N207" s="3" t="s">
        <v>282</v>
      </c>
      <c r="U207" s="3"/>
    </row>
    <row r="208" spans="10:21" ht="15.75" customHeight="1" x14ac:dyDescent="0.3">
      <c r="J208" t="s">
        <v>359</v>
      </c>
      <c r="K208">
        <v>1085</v>
      </c>
      <c r="N208" s="3" t="s">
        <v>282</v>
      </c>
      <c r="U208" s="3"/>
    </row>
    <row r="209" spans="10:21" ht="15.75" customHeight="1" x14ac:dyDescent="0.3">
      <c r="J209" t="s">
        <v>360</v>
      </c>
      <c r="K209">
        <v>1604</v>
      </c>
      <c r="N209" s="3" t="s">
        <v>282</v>
      </c>
      <c r="U209" s="3"/>
    </row>
    <row r="210" spans="10:21" ht="15.75" customHeight="1" x14ac:dyDescent="0.3">
      <c r="J210" t="s">
        <v>361</v>
      </c>
      <c r="K210">
        <v>1771</v>
      </c>
      <c r="N210" s="3" t="s">
        <v>282</v>
      </c>
      <c r="U210" s="3"/>
    </row>
    <row r="211" spans="10:21" ht="15.75" customHeight="1" x14ac:dyDescent="0.3">
      <c r="J211" t="s">
        <v>362</v>
      </c>
      <c r="K211">
        <v>3860</v>
      </c>
      <c r="N211" s="3" t="s">
        <v>282</v>
      </c>
      <c r="U211" s="3"/>
    </row>
    <row r="212" spans="10:21" ht="15.75" customHeight="1" x14ac:dyDescent="0.3">
      <c r="J212" t="s">
        <v>363</v>
      </c>
      <c r="K212">
        <v>4046</v>
      </c>
      <c r="N212" s="3" t="s">
        <v>282</v>
      </c>
      <c r="U212" s="3"/>
    </row>
    <row r="213" spans="10:21" ht="15.75" customHeight="1" x14ac:dyDescent="0.3">
      <c r="J213" t="s">
        <v>364</v>
      </c>
      <c r="K213">
        <v>5968</v>
      </c>
      <c r="N213" s="3" t="s">
        <v>282</v>
      </c>
      <c r="U213" s="3"/>
    </row>
    <row r="214" spans="10:21" ht="15.75" customHeight="1" x14ac:dyDescent="0.3">
      <c r="J214" t="s">
        <v>365</v>
      </c>
      <c r="K214">
        <v>1501</v>
      </c>
      <c r="N214" s="3" t="s">
        <v>282</v>
      </c>
      <c r="U214" s="3"/>
    </row>
    <row r="215" spans="10:21" ht="15.75" customHeight="1" x14ac:dyDescent="0.3">
      <c r="J215" t="s">
        <v>366</v>
      </c>
      <c r="K215">
        <v>1951</v>
      </c>
      <c r="N215" s="3" t="s">
        <v>282</v>
      </c>
      <c r="U215" s="3"/>
    </row>
    <row r="216" spans="10:21" ht="15.75" customHeight="1" x14ac:dyDescent="0.3">
      <c r="J216" t="s">
        <v>367</v>
      </c>
      <c r="K216">
        <v>2187</v>
      </c>
      <c r="N216" s="3" t="s">
        <v>282</v>
      </c>
      <c r="U216" s="3"/>
    </row>
    <row r="217" spans="10:21" ht="15.75" customHeight="1" x14ac:dyDescent="0.3">
      <c r="J217" t="s">
        <v>368</v>
      </c>
      <c r="K217">
        <v>5348</v>
      </c>
      <c r="N217" s="3" t="s">
        <v>282</v>
      </c>
      <c r="U217" s="3"/>
    </row>
    <row r="218" spans="10:21" ht="15.75" customHeight="1" x14ac:dyDescent="0.3">
      <c r="J218" t="s">
        <v>369</v>
      </c>
      <c r="K218">
        <v>5348</v>
      </c>
      <c r="N218" s="3" t="s">
        <v>282</v>
      </c>
      <c r="U218" s="3"/>
    </row>
    <row r="219" spans="10:21" ht="15.75" customHeight="1" x14ac:dyDescent="0.3">
      <c r="J219" t="s">
        <v>370</v>
      </c>
      <c r="K219">
        <v>7132</v>
      </c>
      <c r="N219" s="3" t="s">
        <v>282</v>
      </c>
      <c r="U219" s="3"/>
    </row>
    <row r="220" spans="10:21" ht="15.75" customHeight="1" x14ac:dyDescent="0.3">
      <c r="J220" t="s">
        <v>371</v>
      </c>
      <c r="K220">
        <v>1682</v>
      </c>
      <c r="N220" s="3" t="s">
        <v>282</v>
      </c>
      <c r="U220" s="3"/>
    </row>
    <row r="221" spans="10:21" ht="15.75" customHeight="1" x14ac:dyDescent="0.3">
      <c r="J221" t="s">
        <v>372</v>
      </c>
      <c r="K221">
        <v>2543</v>
      </c>
      <c r="N221" s="3" t="s">
        <v>282</v>
      </c>
      <c r="U221" s="3"/>
    </row>
    <row r="222" spans="10:21" ht="15.75" customHeight="1" x14ac:dyDescent="0.3">
      <c r="J222" t="s">
        <v>373</v>
      </c>
      <c r="K222">
        <v>2677</v>
      </c>
      <c r="N222" s="3" t="s">
        <v>282</v>
      </c>
      <c r="U222" s="3"/>
    </row>
    <row r="223" spans="10:21" ht="15.75" customHeight="1" x14ac:dyDescent="0.3">
      <c r="J223" t="s">
        <v>374</v>
      </c>
      <c r="K223">
        <v>6535</v>
      </c>
      <c r="N223" s="3" t="s">
        <v>282</v>
      </c>
      <c r="U223" s="3"/>
    </row>
    <row r="224" spans="10:21" ht="15.75" customHeight="1" x14ac:dyDescent="0.3">
      <c r="J224" t="s">
        <v>375</v>
      </c>
      <c r="K224">
        <v>6535</v>
      </c>
      <c r="N224" s="3" t="s">
        <v>282</v>
      </c>
      <c r="U224" s="3"/>
    </row>
    <row r="225" spans="10:21" ht="15.75" customHeight="1" x14ac:dyDescent="0.3">
      <c r="J225" t="s">
        <v>376</v>
      </c>
      <c r="K225">
        <v>8595</v>
      </c>
      <c r="N225" s="3" t="s">
        <v>282</v>
      </c>
      <c r="U225" s="3"/>
    </row>
    <row r="226" spans="10:21" ht="15.75" customHeight="1" x14ac:dyDescent="0.3">
      <c r="J226" t="s">
        <v>377</v>
      </c>
      <c r="K226">
        <v>1085</v>
      </c>
      <c r="N226" s="3" t="s">
        <v>282</v>
      </c>
      <c r="U226" s="3"/>
    </row>
    <row r="227" spans="10:21" ht="15.75" customHeight="1" x14ac:dyDescent="0.3">
      <c r="J227" t="s">
        <v>378</v>
      </c>
      <c r="K227">
        <v>1120</v>
      </c>
      <c r="N227" s="3" t="s">
        <v>282</v>
      </c>
      <c r="U227" s="3"/>
    </row>
    <row r="228" spans="10:21" ht="15.75" customHeight="1" x14ac:dyDescent="0.3">
      <c r="J228" t="s">
        <v>379</v>
      </c>
      <c r="K228">
        <v>1691</v>
      </c>
      <c r="N228" s="3" t="s">
        <v>282</v>
      </c>
      <c r="U228" s="3"/>
    </row>
    <row r="229" spans="10:21" ht="15.75" customHeight="1" x14ac:dyDescent="0.3">
      <c r="J229" t="s">
        <v>380</v>
      </c>
      <c r="K229">
        <v>1938</v>
      </c>
      <c r="N229" s="3" t="s">
        <v>282</v>
      </c>
      <c r="U229" s="3"/>
    </row>
    <row r="230" spans="10:21" ht="15.75" customHeight="1" x14ac:dyDescent="0.3">
      <c r="J230" t="s">
        <v>381</v>
      </c>
      <c r="K230">
        <v>3399</v>
      </c>
      <c r="N230" s="3" t="s">
        <v>282</v>
      </c>
      <c r="U230" s="3"/>
    </row>
    <row r="231" spans="10:21" ht="15.75" customHeight="1" x14ac:dyDescent="0.3">
      <c r="J231" t="s">
        <v>382</v>
      </c>
      <c r="K231">
        <v>4256</v>
      </c>
      <c r="N231" s="3" t="s">
        <v>282</v>
      </c>
      <c r="U231" s="3"/>
    </row>
    <row r="232" spans="10:21" ht="15.75" customHeight="1" x14ac:dyDescent="0.3">
      <c r="J232" t="s">
        <v>383</v>
      </c>
      <c r="K232">
        <v>1501</v>
      </c>
      <c r="N232" s="3" t="s">
        <v>282</v>
      </c>
      <c r="U232" s="3"/>
    </row>
    <row r="233" spans="10:21" ht="15.75" customHeight="1" x14ac:dyDescent="0.3">
      <c r="J233" t="s">
        <v>384</v>
      </c>
      <c r="K233">
        <v>1530</v>
      </c>
      <c r="N233" s="3" t="s">
        <v>282</v>
      </c>
      <c r="U233" s="3"/>
    </row>
    <row r="234" spans="10:21" ht="15.75" customHeight="1" x14ac:dyDescent="0.3">
      <c r="J234" t="s">
        <v>385</v>
      </c>
      <c r="K234">
        <v>1953</v>
      </c>
      <c r="N234" s="3" t="s">
        <v>282</v>
      </c>
      <c r="U234" s="3"/>
    </row>
    <row r="235" spans="10:21" ht="15.75" customHeight="1" x14ac:dyDescent="0.3">
      <c r="J235" t="s">
        <v>386</v>
      </c>
      <c r="K235">
        <v>4730</v>
      </c>
      <c r="N235" s="3" t="s">
        <v>282</v>
      </c>
      <c r="U235" s="3"/>
    </row>
    <row r="236" spans="10:21" ht="15.75" customHeight="1" x14ac:dyDescent="0.3">
      <c r="J236" t="s">
        <v>387</v>
      </c>
      <c r="K236">
        <v>5479</v>
      </c>
      <c r="N236" s="3" t="s">
        <v>282</v>
      </c>
      <c r="U236" s="3"/>
    </row>
    <row r="237" spans="10:21" ht="15.75" customHeight="1" x14ac:dyDescent="0.3">
      <c r="J237" t="s">
        <v>388</v>
      </c>
      <c r="K237">
        <v>1682</v>
      </c>
      <c r="N237" s="3" t="s">
        <v>282</v>
      </c>
      <c r="U237" s="3"/>
    </row>
    <row r="238" spans="10:21" ht="15.75" customHeight="1" x14ac:dyDescent="0.3">
      <c r="J238" t="s">
        <v>389</v>
      </c>
      <c r="K238">
        <v>1757</v>
      </c>
      <c r="N238" s="3" t="s">
        <v>282</v>
      </c>
      <c r="U238" s="3"/>
    </row>
    <row r="239" spans="10:21" ht="15.75" customHeight="1" x14ac:dyDescent="0.3">
      <c r="J239" t="s">
        <v>390</v>
      </c>
      <c r="K239">
        <v>2639</v>
      </c>
      <c r="N239" s="3" t="s">
        <v>282</v>
      </c>
      <c r="U239" s="3"/>
    </row>
    <row r="240" spans="10:21" ht="15.75" customHeight="1" x14ac:dyDescent="0.3">
      <c r="J240" t="s">
        <v>391</v>
      </c>
      <c r="K240">
        <v>3296</v>
      </c>
      <c r="N240" s="3" t="s">
        <v>282</v>
      </c>
      <c r="U240" s="3"/>
    </row>
    <row r="241" spans="10:21" ht="15.75" customHeight="1" x14ac:dyDescent="0.3">
      <c r="J241" t="s">
        <v>392</v>
      </c>
      <c r="K241">
        <v>5533</v>
      </c>
      <c r="N241" s="3" t="s">
        <v>282</v>
      </c>
      <c r="U241" s="3"/>
    </row>
    <row r="242" spans="10:21" ht="15.75" customHeight="1" x14ac:dyDescent="0.3">
      <c r="J242" t="s">
        <v>393</v>
      </c>
      <c r="K242">
        <v>6544</v>
      </c>
      <c r="N242" s="3" t="s">
        <v>282</v>
      </c>
      <c r="U242" s="3"/>
    </row>
    <row r="243" spans="10:21" ht="15.75" customHeight="1" x14ac:dyDescent="0.3">
      <c r="J243" t="s">
        <v>394</v>
      </c>
      <c r="K243">
        <v>1552</v>
      </c>
      <c r="N243" s="3" t="s">
        <v>282</v>
      </c>
      <c r="U243" s="3"/>
    </row>
    <row r="244" spans="10:21" ht="15.75" customHeight="1" x14ac:dyDescent="0.3">
      <c r="J244" t="s">
        <v>395</v>
      </c>
      <c r="K244">
        <v>1768</v>
      </c>
      <c r="N244" s="3" t="s">
        <v>282</v>
      </c>
      <c r="U244" s="3"/>
    </row>
    <row r="245" spans="10:21" ht="15.75" customHeight="1" x14ac:dyDescent="0.3">
      <c r="J245" t="s">
        <v>396</v>
      </c>
      <c r="K245">
        <v>2399</v>
      </c>
      <c r="N245" s="3" t="s">
        <v>282</v>
      </c>
      <c r="U245" s="3"/>
    </row>
    <row r="246" spans="10:21" ht="15.75" customHeight="1" x14ac:dyDescent="0.3">
      <c r="J246" t="s">
        <v>397</v>
      </c>
      <c r="K246">
        <v>4864</v>
      </c>
      <c r="N246" s="3" t="s">
        <v>282</v>
      </c>
      <c r="U246" s="3"/>
    </row>
    <row r="247" spans="10:21" ht="15.75" customHeight="1" x14ac:dyDescent="0.3">
      <c r="J247" t="s">
        <v>398</v>
      </c>
      <c r="K247">
        <v>5837</v>
      </c>
      <c r="N247" s="3" t="s">
        <v>282</v>
      </c>
      <c r="U247" s="3"/>
    </row>
    <row r="248" spans="10:21" ht="15.75" customHeight="1" x14ac:dyDescent="0.3">
      <c r="J248" t="s">
        <v>399</v>
      </c>
      <c r="K248">
        <v>2614</v>
      </c>
      <c r="N248" s="3" t="s">
        <v>282</v>
      </c>
      <c r="U248" s="3"/>
    </row>
    <row r="249" spans="10:21" ht="15.75" customHeight="1" x14ac:dyDescent="0.3">
      <c r="J249" t="s">
        <v>400</v>
      </c>
      <c r="K249">
        <v>3018</v>
      </c>
      <c r="N249" s="3" t="s">
        <v>282</v>
      </c>
      <c r="U249" s="3"/>
    </row>
    <row r="250" spans="10:21" ht="15.75" customHeight="1" x14ac:dyDescent="0.3">
      <c r="J250" t="s">
        <v>401</v>
      </c>
      <c r="K250">
        <v>4088</v>
      </c>
      <c r="N250" s="3" t="s">
        <v>282</v>
      </c>
      <c r="U250" s="3"/>
    </row>
    <row r="251" spans="10:21" ht="15.75" customHeight="1" x14ac:dyDescent="0.3">
      <c r="J251" t="s">
        <v>402</v>
      </c>
      <c r="K251">
        <v>8248</v>
      </c>
      <c r="N251" s="3" t="s">
        <v>282</v>
      </c>
      <c r="U251" s="3"/>
    </row>
    <row r="252" spans="10:21" ht="15.75" customHeight="1" x14ac:dyDescent="0.3">
      <c r="J252" t="s">
        <v>403</v>
      </c>
      <c r="K252">
        <v>9839</v>
      </c>
      <c r="N252" s="3" t="s">
        <v>282</v>
      </c>
      <c r="U252" s="3"/>
    </row>
    <row r="253" spans="10:21" ht="15.75" customHeight="1" x14ac:dyDescent="0.3">
      <c r="J253" t="s">
        <v>404</v>
      </c>
      <c r="K253">
        <v>1510</v>
      </c>
      <c r="N253" s="3" t="s">
        <v>282</v>
      </c>
      <c r="U253" s="3"/>
    </row>
    <row r="254" spans="10:21" ht="15.75" customHeight="1" x14ac:dyDescent="0.3">
      <c r="J254" t="s">
        <v>405</v>
      </c>
      <c r="K254">
        <v>1951</v>
      </c>
      <c r="N254" s="3" t="s">
        <v>282</v>
      </c>
      <c r="U254" s="3"/>
    </row>
    <row r="255" spans="10:21" ht="15.75" customHeight="1" x14ac:dyDescent="0.3">
      <c r="J255" t="s">
        <v>406</v>
      </c>
      <c r="K255">
        <v>2187</v>
      </c>
      <c r="N255" s="3" t="s">
        <v>282</v>
      </c>
      <c r="U255" s="3"/>
    </row>
    <row r="256" spans="10:21" ht="15.75" customHeight="1" x14ac:dyDescent="0.3">
      <c r="J256" t="s">
        <v>407</v>
      </c>
      <c r="K256">
        <v>5447</v>
      </c>
      <c r="N256" s="3" t="s">
        <v>282</v>
      </c>
      <c r="U256" s="3"/>
    </row>
    <row r="257" spans="10:21" ht="15.75" customHeight="1" x14ac:dyDescent="0.3">
      <c r="J257" t="s">
        <v>408</v>
      </c>
      <c r="K257">
        <v>5447</v>
      </c>
      <c r="N257" s="3" t="s">
        <v>282</v>
      </c>
      <c r="U257" s="3"/>
    </row>
    <row r="258" spans="10:21" ht="15.75" customHeight="1" x14ac:dyDescent="0.3">
      <c r="J258" t="s">
        <v>409</v>
      </c>
      <c r="K258">
        <v>7422</v>
      </c>
      <c r="N258" s="3" t="s">
        <v>282</v>
      </c>
      <c r="U258" s="3"/>
    </row>
    <row r="259" spans="10:21" ht="15.75" customHeight="1" x14ac:dyDescent="0.3">
      <c r="J259" t="s">
        <v>410</v>
      </c>
      <c r="K259">
        <v>1510</v>
      </c>
      <c r="N259" s="3" t="s">
        <v>282</v>
      </c>
      <c r="U259" s="3"/>
    </row>
    <row r="260" spans="10:21" ht="15.75" customHeight="1" x14ac:dyDescent="0.3">
      <c r="J260" t="s">
        <v>411</v>
      </c>
      <c r="K260">
        <v>1544</v>
      </c>
      <c r="N260" s="3" t="s">
        <v>282</v>
      </c>
      <c r="U260" s="3"/>
    </row>
    <row r="261" spans="10:21" ht="15.75" customHeight="1" x14ac:dyDescent="0.3">
      <c r="J261" t="s">
        <v>412</v>
      </c>
      <c r="K261">
        <v>2009</v>
      </c>
      <c r="N261" s="3" t="s">
        <v>282</v>
      </c>
      <c r="U261" s="3"/>
    </row>
    <row r="262" spans="10:21" ht="15.75" customHeight="1" x14ac:dyDescent="0.3">
      <c r="J262" t="s">
        <v>413</v>
      </c>
      <c r="K262">
        <v>4811</v>
      </c>
      <c r="N262" s="3" t="s">
        <v>282</v>
      </c>
      <c r="U262" s="3"/>
    </row>
    <row r="263" spans="10:21" ht="15.75" customHeight="1" x14ac:dyDescent="0.3">
      <c r="J263" t="s">
        <v>414</v>
      </c>
      <c r="K263">
        <v>5631</v>
      </c>
      <c r="N263" s="3" t="s">
        <v>282</v>
      </c>
      <c r="U263" s="3"/>
    </row>
    <row r="264" spans="10:21" ht="15.75" customHeight="1" x14ac:dyDescent="0.3">
      <c r="N264" s="3"/>
      <c r="U264" s="3"/>
    </row>
    <row r="265" spans="10:21" ht="15.75" customHeight="1" x14ac:dyDescent="0.3">
      <c r="J265" t="s">
        <v>415</v>
      </c>
      <c r="N265" s="3" t="s">
        <v>282</v>
      </c>
      <c r="U265" s="3"/>
    </row>
    <row r="266" spans="10:21" ht="15.75" customHeight="1" x14ac:dyDescent="0.3">
      <c r="J266" t="s">
        <v>283</v>
      </c>
      <c r="K266">
        <v>3508</v>
      </c>
      <c r="N266" s="3" t="s">
        <v>282</v>
      </c>
      <c r="U266" s="3"/>
    </row>
    <row r="267" spans="10:21" ht="15.75" customHeight="1" x14ac:dyDescent="0.3">
      <c r="J267" t="s">
        <v>284</v>
      </c>
      <c r="K267">
        <v>3658</v>
      </c>
      <c r="N267" s="3" t="s">
        <v>282</v>
      </c>
      <c r="U267" s="3"/>
    </row>
    <row r="268" spans="10:21" ht="15.75" customHeight="1" x14ac:dyDescent="0.3">
      <c r="J268" t="s">
        <v>285</v>
      </c>
      <c r="K268">
        <v>4307</v>
      </c>
      <c r="N268" s="3" t="s">
        <v>282</v>
      </c>
      <c r="U268" s="3"/>
    </row>
    <row r="269" spans="10:21" ht="15.75" customHeight="1" x14ac:dyDescent="0.3">
      <c r="J269" t="s">
        <v>286</v>
      </c>
      <c r="K269">
        <v>6550</v>
      </c>
      <c r="N269" s="3" t="s">
        <v>282</v>
      </c>
      <c r="U269" s="3"/>
    </row>
    <row r="270" spans="10:21" ht="15.75" customHeight="1" x14ac:dyDescent="0.3">
      <c r="J270" t="s">
        <v>287</v>
      </c>
      <c r="K270">
        <v>10305</v>
      </c>
      <c r="N270" s="3" t="s">
        <v>282</v>
      </c>
      <c r="U270" s="3"/>
    </row>
    <row r="271" spans="10:21" ht="15.75" customHeight="1" x14ac:dyDescent="0.3">
      <c r="J271" t="s">
        <v>288</v>
      </c>
      <c r="K271">
        <v>19100</v>
      </c>
      <c r="N271" s="3" t="s">
        <v>282</v>
      </c>
      <c r="U271" s="3"/>
    </row>
    <row r="272" spans="10:21" ht="15.75" customHeight="1" x14ac:dyDescent="0.3">
      <c r="J272" t="s">
        <v>289</v>
      </c>
      <c r="K272">
        <v>24781</v>
      </c>
      <c r="N272" s="3" t="s">
        <v>282</v>
      </c>
      <c r="U272" s="3"/>
    </row>
    <row r="273" spans="10:21" ht="15.75" customHeight="1" x14ac:dyDescent="0.3">
      <c r="J273" t="s">
        <v>290</v>
      </c>
      <c r="K273">
        <v>38648</v>
      </c>
      <c r="N273" s="3" t="s">
        <v>282</v>
      </c>
      <c r="U273" s="3"/>
    </row>
    <row r="274" spans="10:21" ht="15.75" customHeight="1" x14ac:dyDescent="0.3">
      <c r="J274" t="s">
        <v>291</v>
      </c>
      <c r="K274">
        <v>57301</v>
      </c>
      <c r="N274" s="3" t="s">
        <v>282</v>
      </c>
      <c r="U274" s="3"/>
    </row>
    <row r="275" spans="10:21" ht="15.75" customHeight="1" x14ac:dyDescent="0.3">
      <c r="J275" t="s">
        <v>292</v>
      </c>
      <c r="K275">
        <v>5317</v>
      </c>
      <c r="N275" s="3" t="s">
        <v>282</v>
      </c>
      <c r="U275" s="3"/>
    </row>
    <row r="276" spans="10:21" ht="15.75" customHeight="1" x14ac:dyDescent="0.3">
      <c r="J276" t="s">
        <v>293</v>
      </c>
      <c r="K276">
        <v>5589</v>
      </c>
      <c r="N276" s="3" t="s">
        <v>282</v>
      </c>
      <c r="U276" s="3"/>
    </row>
    <row r="277" spans="10:21" ht="15.75" customHeight="1" x14ac:dyDescent="0.3">
      <c r="J277" t="s">
        <v>294</v>
      </c>
      <c r="K277">
        <v>7328</v>
      </c>
      <c r="N277" s="3" t="s">
        <v>282</v>
      </c>
      <c r="U277" s="3"/>
    </row>
    <row r="278" spans="10:21" ht="15.75" customHeight="1" x14ac:dyDescent="0.3">
      <c r="J278" t="s">
        <v>295</v>
      </c>
      <c r="K278">
        <v>11009</v>
      </c>
      <c r="N278" s="3" t="s">
        <v>282</v>
      </c>
      <c r="U278" s="3"/>
    </row>
    <row r="279" spans="10:21" ht="15.75" customHeight="1" x14ac:dyDescent="0.3">
      <c r="J279" t="s">
        <v>296</v>
      </c>
      <c r="K279">
        <v>16715</v>
      </c>
      <c r="N279" s="3" t="s">
        <v>282</v>
      </c>
      <c r="U279" s="3"/>
    </row>
    <row r="280" spans="10:21" ht="15.75" customHeight="1" x14ac:dyDescent="0.3">
      <c r="J280" t="s">
        <v>297</v>
      </c>
      <c r="K280">
        <v>31741</v>
      </c>
      <c r="N280" s="3" t="s">
        <v>282</v>
      </c>
      <c r="U280" s="3"/>
    </row>
    <row r="281" spans="10:21" ht="15.75" customHeight="1" x14ac:dyDescent="0.3">
      <c r="J281" t="s">
        <v>298</v>
      </c>
      <c r="K281">
        <v>37908</v>
      </c>
      <c r="N281" s="3" t="s">
        <v>282</v>
      </c>
      <c r="U281" s="3"/>
    </row>
    <row r="282" spans="10:21" ht="15.75" customHeight="1" x14ac:dyDescent="0.3">
      <c r="J282" t="s">
        <v>299</v>
      </c>
      <c r="K282">
        <v>59132</v>
      </c>
      <c r="N282" s="3" t="s">
        <v>282</v>
      </c>
      <c r="U282" s="3"/>
    </row>
    <row r="283" spans="10:21" ht="15.75" customHeight="1" x14ac:dyDescent="0.3">
      <c r="J283" t="s">
        <v>300</v>
      </c>
      <c r="K283">
        <v>93940</v>
      </c>
      <c r="N283" s="3" t="s">
        <v>282</v>
      </c>
      <c r="U283" s="3"/>
    </row>
    <row r="284" spans="10:21" ht="15.75" customHeight="1" x14ac:dyDescent="0.3">
      <c r="J284" t="s">
        <v>301</v>
      </c>
      <c r="K284">
        <v>3908</v>
      </c>
      <c r="N284" s="3" t="s">
        <v>282</v>
      </c>
      <c r="U284" s="3"/>
    </row>
    <row r="285" spans="10:21" ht="15.75" customHeight="1" x14ac:dyDescent="0.3">
      <c r="J285" t="s">
        <v>302</v>
      </c>
      <c r="K285">
        <v>4649</v>
      </c>
      <c r="N285" s="3" t="s">
        <v>282</v>
      </c>
      <c r="U285" s="3"/>
    </row>
    <row r="286" spans="10:21" ht="15.75" customHeight="1" x14ac:dyDescent="0.3">
      <c r="J286" t="s">
        <v>303</v>
      </c>
      <c r="K286">
        <v>6070</v>
      </c>
      <c r="N286" s="3" t="s">
        <v>282</v>
      </c>
      <c r="U286" s="3"/>
    </row>
    <row r="287" spans="10:21" ht="15.75" customHeight="1" x14ac:dyDescent="0.3">
      <c r="J287" t="s">
        <v>304</v>
      </c>
      <c r="K287">
        <v>9644</v>
      </c>
      <c r="N287" s="3" t="s">
        <v>282</v>
      </c>
      <c r="U287" s="3"/>
    </row>
    <row r="288" spans="10:21" ht="15.75" customHeight="1" x14ac:dyDescent="0.3">
      <c r="J288" t="s">
        <v>305</v>
      </c>
      <c r="K288">
        <v>13032</v>
      </c>
      <c r="N288" s="3" t="s">
        <v>282</v>
      </c>
      <c r="U288" s="3"/>
    </row>
    <row r="289" spans="10:21" ht="15.75" customHeight="1" x14ac:dyDescent="0.3">
      <c r="J289" t="s">
        <v>306</v>
      </c>
      <c r="K289">
        <v>22248</v>
      </c>
      <c r="N289" s="3" t="s">
        <v>282</v>
      </c>
      <c r="U289" s="3"/>
    </row>
    <row r="290" spans="10:21" ht="15.75" customHeight="1" x14ac:dyDescent="0.3">
      <c r="J290" t="s">
        <v>307</v>
      </c>
      <c r="K290">
        <v>31597</v>
      </c>
      <c r="N290" s="3" t="s">
        <v>282</v>
      </c>
      <c r="U290" s="3"/>
    </row>
    <row r="291" spans="10:21" ht="15.75" customHeight="1" x14ac:dyDescent="0.3">
      <c r="J291" t="s">
        <v>308</v>
      </c>
      <c r="K291">
        <v>45099</v>
      </c>
      <c r="N291" s="3" t="s">
        <v>282</v>
      </c>
      <c r="U291" s="3"/>
    </row>
    <row r="292" spans="10:21" ht="15.75" customHeight="1" x14ac:dyDescent="0.3">
      <c r="J292" t="s">
        <v>309</v>
      </c>
      <c r="K292">
        <v>74423</v>
      </c>
      <c r="N292" s="3" t="s">
        <v>282</v>
      </c>
      <c r="U292" s="3"/>
    </row>
    <row r="293" spans="10:21" ht="15.75" customHeight="1" x14ac:dyDescent="0.3">
      <c r="J293" t="s">
        <v>310</v>
      </c>
      <c r="K293">
        <v>6048</v>
      </c>
      <c r="N293" s="3" t="s">
        <v>282</v>
      </c>
      <c r="U293" s="3"/>
    </row>
    <row r="294" spans="10:21" ht="15.75" customHeight="1" x14ac:dyDescent="0.3">
      <c r="J294" t="s">
        <v>311</v>
      </c>
      <c r="K294">
        <v>7630</v>
      </c>
      <c r="N294" s="3" t="s">
        <v>282</v>
      </c>
      <c r="U294" s="3"/>
    </row>
    <row r="295" spans="10:21" ht="15.75" customHeight="1" x14ac:dyDescent="0.3">
      <c r="J295" t="s">
        <v>312</v>
      </c>
      <c r="K295">
        <v>10523</v>
      </c>
      <c r="N295" s="3" t="s">
        <v>282</v>
      </c>
      <c r="U295" s="3"/>
    </row>
    <row r="296" spans="10:21" ht="15.75" customHeight="1" x14ac:dyDescent="0.3">
      <c r="J296" t="s">
        <v>313</v>
      </c>
      <c r="K296">
        <v>16717</v>
      </c>
      <c r="N296" s="3" t="s">
        <v>282</v>
      </c>
      <c r="U296" s="3"/>
    </row>
    <row r="297" spans="10:21" ht="15.75" customHeight="1" x14ac:dyDescent="0.3">
      <c r="J297" t="s">
        <v>314</v>
      </c>
      <c r="K297">
        <v>21951</v>
      </c>
      <c r="N297" s="3" t="s">
        <v>282</v>
      </c>
      <c r="U297" s="3"/>
    </row>
    <row r="298" spans="10:21" ht="15.75" customHeight="1" x14ac:dyDescent="0.3">
      <c r="J298" t="s">
        <v>315</v>
      </c>
      <c r="K298">
        <v>47288</v>
      </c>
      <c r="N298" s="3" t="s">
        <v>282</v>
      </c>
      <c r="U298" s="3"/>
    </row>
    <row r="299" spans="10:21" ht="15.75" customHeight="1" x14ac:dyDescent="0.3">
      <c r="J299" t="s">
        <v>316</v>
      </c>
      <c r="K299">
        <v>67178</v>
      </c>
      <c r="N299" s="3" t="s">
        <v>282</v>
      </c>
      <c r="U299" s="3"/>
    </row>
    <row r="300" spans="10:21" ht="15.75" customHeight="1" x14ac:dyDescent="0.3">
      <c r="J300" t="s">
        <v>317</v>
      </c>
      <c r="K300">
        <v>95530</v>
      </c>
      <c r="N300" s="3" t="s">
        <v>282</v>
      </c>
      <c r="U300" s="3"/>
    </row>
    <row r="301" spans="10:21" ht="15.75" customHeight="1" x14ac:dyDescent="0.3">
      <c r="J301" t="s">
        <v>318</v>
      </c>
      <c r="K301">
        <v>160875</v>
      </c>
      <c r="N301" s="3" t="s">
        <v>282</v>
      </c>
      <c r="U301" s="3"/>
    </row>
    <row r="302" spans="10:21" ht="15.75" customHeight="1" x14ac:dyDescent="0.3">
      <c r="J302" t="s">
        <v>319</v>
      </c>
      <c r="K302">
        <v>3445</v>
      </c>
      <c r="N302" s="3" t="s">
        <v>282</v>
      </c>
      <c r="U302" s="3"/>
    </row>
    <row r="303" spans="10:21" ht="15.75" customHeight="1" x14ac:dyDescent="0.3">
      <c r="J303" t="s">
        <v>320</v>
      </c>
      <c r="K303">
        <v>3947</v>
      </c>
      <c r="N303" s="3" t="s">
        <v>282</v>
      </c>
      <c r="U303" s="3"/>
    </row>
    <row r="304" spans="10:21" ht="15.75" customHeight="1" x14ac:dyDescent="0.3">
      <c r="J304" t="s">
        <v>321</v>
      </c>
      <c r="K304">
        <v>5441</v>
      </c>
      <c r="N304" s="3" t="s">
        <v>282</v>
      </c>
      <c r="U304" s="3"/>
    </row>
    <row r="305" spans="10:21" ht="15.75" customHeight="1" x14ac:dyDescent="0.3">
      <c r="J305" t="s">
        <v>322</v>
      </c>
      <c r="K305">
        <v>9025</v>
      </c>
      <c r="N305" s="3" t="s">
        <v>282</v>
      </c>
      <c r="U305" s="3"/>
    </row>
    <row r="306" spans="10:21" ht="15.75" customHeight="1" x14ac:dyDescent="0.3">
      <c r="J306" t="s">
        <v>323</v>
      </c>
      <c r="K306">
        <v>14774</v>
      </c>
      <c r="N306" s="3" t="s">
        <v>282</v>
      </c>
      <c r="U306" s="3"/>
    </row>
    <row r="307" spans="10:21" ht="15.75" customHeight="1" x14ac:dyDescent="0.3">
      <c r="J307" t="s">
        <v>324</v>
      </c>
      <c r="K307">
        <v>23584</v>
      </c>
      <c r="N307" s="3" t="s">
        <v>282</v>
      </c>
      <c r="U307" s="3"/>
    </row>
    <row r="308" spans="10:21" ht="15.75" customHeight="1" x14ac:dyDescent="0.3">
      <c r="J308" t="s">
        <v>325</v>
      </c>
      <c r="K308">
        <v>31736</v>
      </c>
      <c r="N308" s="3" t="s">
        <v>282</v>
      </c>
      <c r="U308" s="3"/>
    </row>
    <row r="309" spans="10:21" ht="15.75" customHeight="1" x14ac:dyDescent="0.3">
      <c r="J309" t="s">
        <v>326</v>
      </c>
      <c r="K309">
        <v>51633</v>
      </c>
      <c r="N309" s="3" t="s">
        <v>282</v>
      </c>
      <c r="U309" s="3"/>
    </row>
    <row r="310" spans="10:21" ht="15.75" customHeight="1" x14ac:dyDescent="0.3">
      <c r="J310" t="s">
        <v>327</v>
      </c>
      <c r="K310">
        <v>125455</v>
      </c>
      <c r="N310" s="3" t="s">
        <v>282</v>
      </c>
      <c r="U310" s="3"/>
    </row>
    <row r="311" spans="10:21" ht="15.75" customHeight="1" x14ac:dyDescent="0.3">
      <c r="J311" t="s">
        <v>328</v>
      </c>
      <c r="K311">
        <v>280408</v>
      </c>
      <c r="N311" s="3" t="s">
        <v>282</v>
      </c>
      <c r="U311" s="3"/>
    </row>
    <row r="312" spans="10:21" ht="15.75" customHeight="1" x14ac:dyDescent="0.3">
      <c r="J312" t="s">
        <v>329</v>
      </c>
      <c r="K312">
        <v>5076</v>
      </c>
      <c r="N312" s="3" t="s">
        <v>282</v>
      </c>
      <c r="U312" s="3"/>
    </row>
    <row r="313" spans="10:21" ht="15.75" customHeight="1" x14ac:dyDescent="0.3">
      <c r="J313" t="s">
        <v>330</v>
      </c>
      <c r="K313">
        <v>5843</v>
      </c>
      <c r="N313" s="3" t="s">
        <v>282</v>
      </c>
      <c r="U313" s="3"/>
    </row>
    <row r="314" spans="10:21" ht="15.75" customHeight="1" x14ac:dyDescent="0.3">
      <c r="J314" t="s">
        <v>331</v>
      </c>
      <c r="K314">
        <v>8856</v>
      </c>
      <c r="N314" s="3" t="s">
        <v>282</v>
      </c>
      <c r="U314" s="3"/>
    </row>
    <row r="315" spans="10:21" ht="15.75" customHeight="1" x14ac:dyDescent="0.3">
      <c r="J315" t="s">
        <v>332</v>
      </c>
      <c r="K315">
        <v>13993</v>
      </c>
      <c r="N315" s="3" t="s">
        <v>282</v>
      </c>
      <c r="U315" s="3"/>
    </row>
    <row r="316" spans="10:21" ht="15.75" customHeight="1" x14ac:dyDescent="0.3">
      <c r="J316" t="s">
        <v>333</v>
      </c>
      <c r="K316">
        <v>22432</v>
      </c>
      <c r="N316" s="3" t="s">
        <v>282</v>
      </c>
      <c r="U316" s="3"/>
    </row>
    <row r="317" spans="10:21" ht="15.75" customHeight="1" x14ac:dyDescent="0.3">
      <c r="J317" t="s">
        <v>334</v>
      </c>
      <c r="K317">
        <v>35284</v>
      </c>
      <c r="N317" s="3" t="s">
        <v>282</v>
      </c>
      <c r="U317" s="3"/>
    </row>
    <row r="318" spans="10:21" ht="15.75" customHeight="1" x14ac:dyDescent="0.3">
      <c r="J318" t="s">
        <v>335</v>
      </c>
      <c r="K318">
        <v>47250</v>
      </c>
      <c r="N318" s="3" t="s">
        <v>282</v>
      </c>
      <c r="U318" s="3"/>
    </row>
    <row r="319" spans="10:21" ht="15.75" customHeight="1" x14ac:dyDescent="0.3">
      <c r="J319" t="s">
        <v>336</v>
      </c>
      <c r="K319">
        <v>75974</v>
      </c>
      <c r="N319" s="3" t="s">
        <v>282</v>
      </c>
      <c r="U319" s="3"/>
    </row>
    <row r="320" spans="10:21" ht="15.75" customHeight="1" x14ac:dyDescent="0.3">
      <c r="J320" t="s">
        <v>337</v>
      </c>
      <c r="K320">
        <v>175055</v>
      </c>
      <c r="N320" s="3" t="s">
        <v>282</v>
      </c>
      <c r="U320" s="3"/>
    </row>
    <row r="321" spans="10:21" ht="15.75" customHeight="1" x14ac:dyDescent="0.3">
      <c r="J321" t="s">
        <v>338</v>
      </c>
      <c r="K321">
        <v>372832</v>
      </c>
      <c r="N321" s="3" t="s">
        <v>282</v>
      </c>
      <c r="U321" s="3"/>
    </row>
    <row r="322" spans="10:21" ht="15.75" customHeight="1" x14ac:dyDescent="0.3">
      <c r="J322" t="s">
        <v>339</v>
      </c>
      <c r="K322">
        <v>3983</v>
      </c>
      <c r="N322" s="3" t="s">
        <v>282</v>
      </c>
      <c r="U322" s="3"/>
    </row>
    <row r="323" spans="10:21" ht="15.75" customHeight="1" x14ac:dyDescent="0.3">
      <c r="J323" t="s">
        <v>340</v>
      </c>
      <c r="K323">
        <v>5112</v>
      </c>
      <c r="N323" s="3" t="s">
        <v>282</v>
      </c>
      <c r="U323" s="3"/>
    </row>
    <row r="324" spans="10:21" ht="15.75" customHeight="1" x14ac:dyDescent="0.3">
      <c r="J324" t="s">
        <v>341</v>
      </c>
      <c r="K324">
        <v>7105</v>
      </c>
      <c r="N324" s="3" t="s">
        <v>282</v>
      </c>
      <c r="U324" s="3"/>
    </row>
    <row r="325" spans="10:21" ht="15.75" customHeight="1" x14ac:dyDescent="0.3">
      <c r="J325" t="s">
        <v>342</v>
      </c>
      <c r="K325">
        <v>11959</v>
      </c>
      <c r="N325" s="3" t="s">
        <v>282</v>
      </c>
      <c r="U325" s="3"/>
    </row>
    <row r="326" spans="10:21" ht="15.75" customHeight="1" x14ac:dyDescent="0.3">
      <c r="J326" t="s">
        <v>343</v>
      </c>
      <c r="K326">
        <v>17996</v>
      </c>
      <c r="N326" s="3" t="s">
        <v>282</v>
      </c>
      <c r="U326" s="3"/>
    </row>
    <row r="327" spans="10:21" ht="15.75" customHeight="1" x14ac:dyDescent="0.3">
      <c r="J327" t="s">
        <v>344</v>
      </c>
      <c r="K327">
        <v>27338</v>
      </c>
      <c r="N327" s="3" t="s">
        <v>282</v>
      </c>
      <c r="U327" s="3"/>
    </row>
    <row r="328" spans="10:21" ht="15.75" customHeight="1" x14ac:dyDescent="0.3">
      <c r="J328" t="s">
        <v>345</v>
      </c>
      <c r="K328">
        <v>37442</v>
      </c>
      <c r="N328" s="3" t="s">
        <v>282</v>
      </c>
      <c r="U328" s="3"/>
    </row>
    <row r="329" spans="10:21" ht="15.75" customHeight="1" x14ac:dyDescent="0.3">
      <c r="J329" t="s">
        <v>346</v>
      </c>
      <c r="K329">
        <v>62370</v>
      </c>
      <c r="N329" s="3" t="s">
        <v>282</v>
      </c>
      <c r="U329" s="3"/>
    </row>
    <row r="330" spans="10:21" ht="15.75" customHeight="1" x14ac:dyDescent="0.3">
      <c r="J330" t="s">
        <v>347</v>
      </c>
      <c r="K330">
        <v>167798</v>
      </c>
      <c r="N330" s="3" t="s">
        <v>282</v>
      </c>
      <c r="U330" s="3"/>
    </row>
    <row r="331" spans="10:21" ht="15.75" customHeight="1" x14ac:dyDescent="0.3">
      <c r="J331" t="s">
        <v>348</v>
      </c>
      <c r="K331">
        <v>311378</v>
      </c>
      <c r="N331" s="3" t="s">
        <v>282</v>
      </c>
      <c r="U331" s="3"/>
    </row>
    <row r="332" spans="10:21" ht="15.75" customHeight="1" x14ac:dyDescent="0.3">
      <c r="J332" t="s">
        <v>349</v>
      </c>
      <c r="K332">
        <v>6203</v>
      </c>
      <c r="N332" s="3" t="s">
        <v>282</v>
      </c>
      <c r="U332" s="3"/>
    </row>
    <row r="333" spans="10:21" ht="15.75" customHeight="1" x14ac:dyDescent="0.3">
      <c r="J333" t="s">
        <v>350</v>
      </c>
      <c r="K333">
        <v>8080</v>
      </c>
      <c r="N333" s="3" t="s">
        <v>282</v>
      </c>
      <c r="U333" s="3"/>
    </row>
    <row r="334" spans="10:21" ht="15.75" customHeight="1" x14ac:dyDescent="0.3">
      <c r="J334" t="s">
        <v>351</v>
      </c>
      <c r="K334">
        <v>11851</v>
      </c>
      <c r="N334" s="3" t="s">
        <v>282</v>
      </c>
      <c r="U334" s="3"/>
    </row>
    <row r="335" spans="10:21" ht="15.75" customHeight="1" x14ac:dyDescent="0.3">
      <c r="J335" t="s">
        <v>352</v>
      </c>
      <c r="K335">
        <v>19663</v>
      </c>
      <c r="N335" s="3" t="s">
        <v>282</v>
      </c>
      <c r="U335" s="3"/>
    </row>
    <row r="336" spans="10:21" ht="15.75" customHeight="1" x14ac:dyDescent="0.3">
      <c r="J336" t="s">
        <v>353</v>
      </c>
      <c r="K336">
        <v>28937</v>
      </c>
      <c r="N336" s="3" t="s">
        <v>282</v>
      </c>
      <c r="U336" s="3"/>
    </row>
    <row r="337" spans="10:21" ht="15.75" customHeight="1" x14ac:dyDescent="0.3">
      <c r="J337" t="s">
        <v>354</v>
      </c>
      <c r="K337">
        <v>54936</v>
      </c>
      <c r="N337" s="3" t="s">
        <v>282</v>
      </c>
      <c r="U337" s="3"/>
    </row>
    <row r="338" spans="10:21" ht="15.75" customHeight="1" x14ac:dyDescent="0.3">
      <c r="J338" t="s">
        <v>355</v>
      </c>
      <c r="K338">
        <v>70520</v>
      </c>
      <c r="N338" s="3" t="s">
        <v>282</v>
      </c>
      <c r="U338" s="3"/>
    </row>
    <row r="339" spans="10:21" ht="15.75" customHeight="1" x14ac:dyDescent="0.3">
      <c r="J339" t="s">
        <v>356</v>
      </c>
      <c r="K339">
        <v>117421</v>
      </c>
      <c r="N339" s="3" t="s">
        <v>282</v>
      </c>
      <c r="U339" s="3"/>
    </row>
    <row r="340" spans="10:21" ht="15.75" customHeight="1" x14ac:dyDescent="0.3">
      <c r="J340" t="s">
        <v>357</v>
      </c>
      <c r="K340">
        <v>324828</v>
      </c>
      <c r="N340" s="3" t="s">
        <v>282</v>
      </c>
      <c r="U340" s="3"/>
    </row>
    <row r="341" spans="10:21" ht="15.75" customHeight="1" x14ac:dyDescent="0.3">
      <c r="J341" t="s">
        <v>358</v>
      </c>
      <c r="K341">
        <v>566771</v>
      </c>
      <c r="N341" s="3" t="s">
        <v>282</v>
      </c>
      <c r="U341" s="3"/>
    </row>
    <row r="342" spans="10:21" ht="15.75" customHeight="1" x14ac:dyDescent="0.3">
      <c r="J342" t="s">
        <v>359</v>
      </c>
      <c r="K342">
        <v>1953</v>
      </c>
      <c r="N342" s="3" t="s">
        <v>282</v>
      </c>
      <c r="U342" s="3"/>
    </row>
    <row r="343" spans="10:21" ht="15.75" customHeight="1" x14ac:dyDescent="0.3">
      <c r="J343" t="s">
        <v>360</v>
      </c>
      <c r="K343">
        <v>2887</v>
      </c>
      <c r="N343" s="3" t="s">
        <v>282</v>
      </c>
      <c r="U343" s="3"/>
    </row>
    <row r="344" spans="10:21" ht="15.75" customHeight="1" x14ac:dyDescent="0.3">
      <c r="J344" t="s">
        <v>361</v>
      </c>
      <c r="K344">
        <v>3188</v>
      </c>
      <c r="N344" s="3" t="s">
        <v>282</v>
      </c>
      <c r="U344" s="3"/>
    </row>
    <row r="345" spans="10:21" ht="15.75" customHeight="1" x14ac:dyDescent="0.3">
      <c r="J345" t="s">
        <v>362</v>
      </c>
      <c r="K345">
        <v>6948</v>
      </c>
      <c r="N345" s="3" t="s">
        <v>282</v>
      </c>
      <c r="U345" s="3"/>
    </row>
    <row r="346" spans="10:21" ht="15.75" customHeight="1" x14ac:dyDescent="0.3">
      <c r="J346" t="s">
        <v>363</v>
      </c>
      <c r="K346">
        <v>7283</v>
      </c>
      <c r="N346" s="3" t="s">
        <v>282</v>
      </c>
      <c r="U346" s="3"/>
    </row>
    <row r="347" spans="10:21" ht="15.75" customHeight="1" x14ac:dyDescent="0.3">
      <c r="J347" t="s">
        <v>364</v>
      </c>
      <c r="K347">
        <v>10742</v>
      </c>
      <c r="N347" s="3" t="s">
        <v>282</v>
      </c>
      <c r="U347" s="3"/>
    </row>
    <row r="348" spans="10:21" ht="15.75" customHeight="1" x14ac:dyDescent="0.3">
      <c r="J348" t="s">
        <v>365</v>
      </c>
      <c r="K348">
        <v>2702</v>
      </c>
      <c r="N348" s="3" t="s">
        <v>282</v>
      </c>
      <c r="U348" s="3"/>
    </row>
    <row r="349" spans="10:21" ht="15.75" customHeight="1" x14ac:dyDescent="0.3">
      <c r="J349" t="s">
        <v>366</v>
      </c>
      <c r="K349">
        <v>3512</v>
      </c>
      <c r="N349" s="3" t="s">
        <v>282</v>
      </c>
      <c r="U349" s="3"/>
    </row>
    <row r="350" spans="10:21" ht="15.75" customHeight="1" x14ac:dyDescent="0.3">
      <c r="J350" t="s">
        <v>367</v>
      </c>
      <c r="K350">
        <v>3937</v>
      </c>
      <c r="N350" s="3" t="s">
        <v>282</v>
      </c>
      <c r="U350" s="3"/>
    </row>
    <row r="351" spans="10:21" ht="15.75" customHeight="1" x14ac:dyDescent="0.3">
      <c r="J351" t="s">
        <v>368</v>
      </c>
      <c r="K351">
        <v>9626</v>
      </c>
      <c r="N351" s="3" t="s">
        <v>282</v>
      </c>
      <c r="U351" s="3"/>
    </row>
    <row r="352" spans="10:21" ht="15.75" customHeight="1" x14ac:dyDescent="0.3">
      <c r="J352" t="s">
        <v>369</v>
      </c>
      <c r="K352">
        <v>9626</v>
      </c>
      <c r="N352" s="3" t="s">
        <v>282</v>
      </c>
      <c r="U352" s="3"/>
    </row>
    <row r="353" spans="10:21" ht="15.75" customHeight="1" x14ac:dyDescent="0.3">
      <c r="J353" t="s">
        <v>370</v>
      </c>
      <c r="K353">
        <v>12838</v>
      </c>
      <c r="N353" s="3" t="s">
        <v>282</v>
      </c>
      <c r="U353" s="3"/>
    </row>
    <row r="354" spans="10:21" ht="15.75" customHeight="1" x14ac:dyDescent="0.3">
      <c r="J354" t="s">
        <v>371</v>
      </c>
      <c r="K354">
        <v>3028</v>
      </c>
      <c r="N354" s="3" t="s">
        <v>282</v>
      </c>
      <c r="U354" s="3"/>
    </row>
    <row r="355" spans="10:21" ht="15.75" customHeight="1" x14ac:dyDescent="0.3">
      <c r="J355" t="s">
        <v>372</v>
      </c>
      <c r="K355">
        <v>4577</v>
      </c>
      <c r="N355" s="3" t="s">
        <v>282</v>
      </c>
      <c r="U355" s="3"/>
    </row>
    <row r="356" spans="10:21" ht="15.75" customHeight="1" x14ac:dyDescent="0.3">
      <c r="J356" t="s">
        <v>373</v>
      </c>
      <c r="K356">
        <v>4819</v>
      </c>
      <c r="N356" s="3" t="s">
        <v>282</v>
      </c>
      <c r="U356" s="3"/>
    </row>
    <row r="357" spans="10:21" ht="15.75" customHeight="1" x14ac:dyDescent="0.3">
      <c r="J357" t="s">
        <v>374</v>
      </c>
      <c r="K357">
        <v>11763</v>
      </c>
      <c r="N357" s="3" t="s">
        <v>282</v>
      </c>
      <c r="U357" s="3"/>
    </row>
    <row r="358" spans="10:21" ht="15.75" customHeight="1" x14ac:dyDescent="0.3">
      <c r="J358" t="s">
        <v>375</v>
      </c>
      <c r="K358">
        <v>11763</v>
      </c>
      <c r="N358" s="3" t="s">
        <v>282</v>
      </c>
      <c r="U358" s="3"/>
    </row>
    <row r="359" spans="10:21" ht="15.75" customHeight="1" x14ac:dyDescent="0.3">
      <c r="J359" t="s">
        <v>376</v>
      </c>
      <c r="K359">
        <v>15471</v>
      </c>
      <c r="N359" s="3" t="s">
        <v>282</v>
      </c>
      <c r="U359" s="3"/>
    </row>
    <row r="360" spans="10:21" ht="15.75" customHeight="1" x14ac:dyDescent="0.3">
      <c r="J360" t="s">
        <v>377</v>
      </c>
      <c r="K360">
        <v>1953</v>
      </c>
      <c r="N360" s="3" t="s">
        <v>282</v>
      </c>
      <c r="U360" s="3"/>
    </row>
    <row r="361" spans="10:21" ht="15.75" customHeight="1" x14ac:dyDescent="0.3">
      <c r="J361" t="s">
        <v>378</v>
      </c>
      <c r="K361">
        <v>2016</v>
      </c>
      <c r="N361" s="3" t="s">
        <v>282</v>
      </c>
      <c r="U361" s="3"/>
    </row>
    <row r="362" spans="10:21" ht="15.75" customHeight="1" x14ac:dyDescent="0.3">
      <c r="J362" t="s">
        <v>379</v>
      </c>
      <c r="K362">
        <v>3044</v>
      </c>
      <c r="N362" s="3" t="s">
        <v>282</v>
      </c>
      <c r="U362" s="3"/>
    </row>
    <row r="363" spans="10:21" ht="15.75" customHeight="1" x14ac:dyDescent="0.3">
      <c r="J363" t="s">
        <v>380</v>
      </c>
      <c r="K363">
        <v>3488</v>
      </c>
      <c r="N363" s="3" t="s">
        <v>282</v>
      </c>
      <c r="U363" s="3"/>
    </row>
    <row r="364" spans="10:21" ht="15.75" customHeight="1" x14ac:dyDescent="0.3">
      <c r="J364" t="s">
        <v>381</v>
      </c>
      <c r="K364">
        <v>6118</v>
      </c>
      <c r="N364" s="3" t="s">
        <v>282</v>
      </c>
      <c r="U364" s="3"/>
    </row>
    <row r="365" spans="10:21" ht="15.75" customHeight="1" x14ac:dyDescent="0.3">
      <c r="J365" t="s">
        <v>382</v>
      </c>
      <c r="K365">
        <v>7661</v>
      </c>
      <c r="N365" s="3" t="s">
        <v>282</v>
      </c>
      <c r="U365" s="3"/>
    </row>
    <row r="366" spans="10:21" ht="15.75" customHeight="1" x14ac:dyDescent="0.3">
      <c r="J366" t="s">
        <v>383</v>
      </c>
      <c r="K366">
        <v>2702</v>
      </c>
      <c r="N366" s="3" t="s">
        <v>282</v>
      </c>
      <c r="U366" s="3"/>
    </row>
    <row r="367" spans="10:21" ht="15.75" customHeight="1" x14ac:dyDescent="0.3">
      <c r="J367" t="s">
        <v>384</v>
      </c>
      <c r="K367">
        <v>2754</v>
      </c>
      <c r="N367" s="3" t="s">
        <v>282</v>
      </c>
      <c r="U367" s="3"/>
    </row>
    <row r="368" spans="10:21" ht="15.75" customHeight="1" x14ac:dyDescent="0.3">
      <c r="J368" t="s">
        <v>385</v>
      </c>
      <c r="K368">
        <v>3515</v>
      </c>
      <c r="N368" s="3" t="s">
        <v>282</v>
      </c>
      <c r="U368" s="3"/>
    </row>
    <row r="369" spans="10:21" ht="15.75" customHeight="1" x14ac:dyDescent="0.3">
      <c r="J369" t="s">
        <v>386</v>
      </c>
      <c r="K369">
        <v>8514</v>
      </c>
      <c r="N369" s="3" t="s">
        <v>282</v>
      </c>
      <c r="U369" s="3"/>
    </row>
    <row r="370" spans="10:21" ht="15.75" customHeight="1" x14ac:dyDescent="0.3">
      <c r="J370" t="s">
        <v>387</v>
      </c>
      <c r="K370">
        <v>9862</v>
      </c>
      <c r="N370" s="3" t="s">
        <v>282</v>
      </c>
      <c r="U370" s="3"/>
    </row>
    <row r="371" spans="10:21" ht="15.75" customHeight="1" x14ac:dyDescent="0.3">
      <c r="J371" t="s">
        <v>388</v>
      </c>
      <c r="K371">
        <v>3028</v>
      </c>
      <c r="N371" s="3" t="s">
        <v>282</v>
      </c>
      <c r="U371" s="3"/>
    </row>
    <row r="372" spans="10:21" ht="15.75" customHeight="1" x14ac:dyDescent="0.3">
      <c r="J372" t="s">
        <v>389</v>
      </c>
      <c r="K372">
        <v>3163</v>
      </c>
      <c r="N372" s="3" t="s">
        <v>282</v>
      </c>
      <c r="U372" s="3"/>
    </row>
    <row r="373" spans="10:21" ht="15.75" customHeight="1" x14ac:dyDescent="0.3">
      <c r="J373" t="s">
        <v>390</v>
      </c>
      <c r="K373">
        <v>4750</v>
      </c>
      <c r="N373" s="3" t="s">
        <v>282</v>
      </c>
      <c r="U373" s="3"/>
    </row>
    <row r="374" spans="10:21" ht="15.75" customHeight="1" x14ac:dyDescent="0.3">
      <c r="J374" t="s">
        <v>391</v>
      </c>
      <c r="K374">
        <v>5933</v>
      </c>
      <c r="N374" s="3" t="s">
        <v>282</v>
      </c>
      <c r="U374" s="3"/>
    </row>
    <row r="375" spans="10:21" ht="15.75" customHeight="1" x14ac:dyDescent="0.3">
      <c r="J375" t="s">
        <v>392</v>
      </c>
      <c r="K375">
        <v>9959</v>
      </c>
      <c r="N375" s="3" t="s">
        <v>282</v>
      </c>
      <c r="U375" s="3"/>
    </row>
    <row r="376" spans="10:21" ht="15.75" customHeight="1" x14ac:dyDescent="0.3">
      <c r="J376" t="s">
        <v>393</v>
      </c>
      <c r="K376">
        <v>11779</v>
      </c>
      <c r="N376" s="3" t="s">
        <v>282</v>
      </c>
      <c r="U376" s="3"/>
    </row>
    <row r="377" spans="10:21" ht="15.75" customHeight="1" x14ac:dyDescent="0.3">
      <c r="J377" t="s">
        <v>394</v>
      </c>
      <c r="K377">
        <v>2794</v>
      </c>
      <c r="N377" s="3" t="s">
        <v>282</v>
      </c>
      <c r="U377" s="3"/>
    </row>
    <row r="378" spans="10:21" ht="15.75" customHeight="1" x14ac:dyDescent="0.3">
      <c r="J378" t="s">
        <v>395</v>
      </c>
      <c r="K378">
        <v>3182</v>
      </c>
      <c r="N378" s="3" t="s">
        <v>282</v>
      </c>
      <c r="U378" s="3"/>
    </row>
    <row r="379" spans="10:21" ht="15.75" customHeight="1" x14ac:dyDescent="0.3">
      <c r="J379" t="s">
        <v>396</v>
      </c>
      <c r="K379">
        <v>4318</v>
      </c>
      <c r="N379" s="3" t="s">
        <v>282</v>
      </c>
      <c r="U379" s="3"/>
    </row>
    <row r="380" spans="10:21" ht="15.75" customHeight="1" x14ac:dyDescent="0.3">
      <c r="J380" t="s">
        <v>397</v>
      </c>
      <c r="K380">
        <v>8755</v>
      </c>
      <c r="N380" s="3" t="s">
        <v>282</v>
      </c>
      <c r="U380" s="3"/>
    </row>
    <row r="381" spans="10:21" ht="15.75" customHeight="1" x14ac:dyDescent="0.3">
      <c r="J381" t="s">
        <v>398</v>
      </c>
      <c r="K381">
        <v>10507</v>
      </c>
      <c r="N381" s="3" t="s">
        <v>282</v>
      </c>
      <c r="U381" s="3"/>
    </row>
    <row r="382" spans="10:21" ht="15.75" customHeight="1" x14ac:dyDescent="0.3">
      <c r="J382" t="s">
        <v>399</v>
      </c>
      <c r="K382">
        <v>4705</v>
      </c>
      <c r="N382" s="3" t="s">
        <v>282</v>
      </c>
      <c r="U382" s="3"/>
    </row>
    <row r="383" spans="10:21" ht="15.75" customHeight="1" x14ac:dyDescent="0.3">
      <c r="J383" t="s">
        <v>400</v>
      </c>
      <c r="K383">
        <v>5432</v>
      </c>
      <c r="N383" s="3" t="s">
        <v>282</v>
      </c>
      <c r="U383" s="3"/>
    </row>
    <row r="384" spans="10:21" ht="15.75" customHeight="1" x14ac:dyDescent="0.3">
      <c r="J384" t="s">
        <v>401</v>
      </c>
      <c r="K384">
        <v>7358</v>
      </c>
      <c r="N384" s="3" t="s">
        <v>282</v>
      </c>
      <c r="U384" s="3"/>
    </row>
    <row r="385" spans="10:29" ht="15.75" customHeight="1" x14ac:dyDescent="0.3">
      <c r="J385" t="s">
        <v>402</v>
      </c>
      <c r="K385">
        <v>14846</v>
      </c>
      <c r="N385" s="3" t="s">
        <v>282</v>
      </c>
      <c r="U385" s="3"/>
    </row>
    <row r="386" spans="10:29" ht="15.75" customHeight="1" x14ac:dyDescent="0.3">
      <c r="J386" t="s">
        <v>403</v>
      </c>
      <c r="K386">
        <v>17710</v>
      </c>
      <c r="N386" s="3" t="s">
        <v>282</v>
      </c>
      <c r="U386" s="3"/>
    </row>
    <row r="387" spans="10:29" ht="15.75" customHeight="1" x14ac:dyDescent="0.3">
      <c r="J387" t="s">
        <v>404</v>
      </c>
      <c r="K387">
        <v>2718</v>
      </c>
      <c r="N387" s="3" t="s">
        <v>282</v>
      </c>
      <c r="U387" s="3"/>
    </row>
    <row r="388" spans="10:29" ht="15.75" customHeight="1" x14ac:dyDescent="0.3">
      <c r="J388" t="s">
        <v>405</v>
      </c>
      <c r="K388">
        <v>3512</v>
      </c>
      <c r="N388" s="3" t="s">
        <v>282</v>
      </c>
      <c r="U388" s="3"/>
    </row>
    <row r="389" spans="10:29" ht="15.75" customHeight="1" x14ac:dyDescent="0.3">
      <c r="J389" t="s">
        <v>406</v>
      </c>
      <c r="K389">
        <v>3937</v>
      </c>
      <c r="N389" s="3" t="s">
        <v>282</v>
      </c>
      <c r="U389" s="3"/>
    </row>
    <row r="390" spans="10:29" ht="15.75" customHeight="1" x14ac:dyDescent="0.3">
      <c r="J390" t="s">
        <v>407</v>
      </c>
      <c r="K390">
        <v>9805</v>
      </c>
      <c r="N390" s="3" t="s">
        <v>282</v>
      </c>
      <c r="U390" s="3"/>
    </row>
    <row r="391" spans="10:29" ht="15.75" customHeight="1" x14ac:dyDescent="0.3">
      <c r="J391" t="s">
        <v>408</v>
      </c>
      <c r="K391">
        <v>9805</v>
      </c>
      <c r="N391" s="3" t="s">
        <v>282</v>
      </c>
      <c r="U391" s="3"/>
    </row>
    <row r="392" spans="10:29" ht="15.75" customHeight="1" x14ac:dyDescent="0.3">
      <c r="J392" t="s">
        <v>409</v>
      </c>
      <c r="K392">
        <v>13360</v>
      </c>
      <c r="N392" s="3" t="s">
        <v>282</v>
      </c>
      <c r="U392" s="3"/>
    </row>
    <row r="393" spans="10:29" ht="15.75" customHeight="1" x14ac:dyDescent="0.3">
      <c r="J393" t="s">
        <v>410</v>
      </c>
      <c r="K393">
        <v>2718</v>
      </c>
      <c r="N393" s="3" t="s">
        <v>282</v>
      </c>
      <c r="U393" s="3"/>
    </row>
    <row r="394" spans="10:29" ht="15.75" customHeight="1" x14ac:dyDescent="0.3">
      <c r="J394" t="s">
        <v>411</v>
      </c>
      <c r="K394">
        <v>2779</v>
      </c>
      <c r="N394" s="3" t="s">
        <v>282</v>
      </c>
      <c r="U394" s="3"/>
    </row>
    <row r="395" spans="10:29" ht="15.75" customHeight="1" x14ac:dyDescent="0.3">
      <c r="J395" t="s">
        <v>412</v>
      </c>
      <c r="K395">
        <v>3616</v>
      </c>
      <c r="N395" s="3" t="s">
        <v>282</v>
      </c>
      <c r="U395" s="3"/>
    </row>
    <row r="396" spans="10:29" ht="15.75" customHeight="1" x14ac:dyDescent="0.3">
      <c r="J396" t="s">
        <v>413</v>
      </c>
      <c r="K396">
        <v>8660</v>
      </c>
      <c r="N396" s="3" t="s">
        <v>282</v>
      </c>
      <c r="U396" s="3"/>
    </row>
    <row r="397" spans="10:29" ht="15.75" customHeight="1" x14ac:dyDescent="0.3">
      <c r="J397" t="s">
        <v>414</v>
      </c>
      <c r="K397">
        <v>10136</v>
      </c>
      <c r="N397" s="3" t="s">
        <v>282</v>
      </c>
      <c r="U397" s="3"/>
    </row>
    <row r="398" spans="10:29" ht="15.75" customHeight="1" x14ac:dyDescent="0.3">
      <c r="N398" s="3"/>
      <c r="U398" s="3"/>
    </row>
    <row r="399" spans="10:29" ht="15.75" customHeight="1" x14ac:dyDescent="0.3">
      <c r="J399" t="s">
        <v>416</v>
      </c>
      <c r="N399" s="3"/>
      <c r="U399" s="3"/>
      <c r="AC399" t="s">
        <v>282</v>
      </c>
    </row>
    <row r="400" spans="10:29" ht="15.75" customHeight="1" x14ac:dyDescent="0.3">
      <c r="J400" t="s">
        <v>417</v>
      </c>
      <c r="K400" t="s">
        <v>418</v>
      </c>
      <c r="L400" t="s">
        <v>419</v>
      </c>
      <c r="M400" t="s">
        <v>420</v>
      </c>
      <c r="N400" s="3" t="s">
        <v>421</v>
      </c>
      <c r="O400" t="s">
        <v>422</v>
      </c>
      <c r="P400" t="s">
        <v>423</v>
      </c>
      <c r="Q400" t="s">
        <v>424</v>
      </c>
      <c r="R400" t="s">
        <v>425</v>
      </c>
      <c r="S400" t="s">
        <v>426</v>
      </c>
      <c r="T400" t="s">
        <v>427</v>
      </c>
      <c r="U400" s="3" t="s">
        <v>428</v>
      </c>
      <c r="V400" t="s">
        <v>429</v>
      </c>
      <c r="W400" t="s">
        <v>430</v>
      </c>
      <c r="X400" t="s">
        <v>431</v>
      </c>
      <c r="Y400" t="s">
        <v>432</v>
      </c>
      <c r="Z400" t="s">
        <v>433</v>
      </c>
      <c r="AA400" t="s">
        <v>434</v>
      </c>
      <c r="AB400" t="s">
        <v>435</v>
      </c>
      <c r="AC400" t="s">
        <v>436</v>
      </c>
    </row>
    <row r="401" spans="10:30" ht="15.75" customHeight="1" x14ac:dyDescent="0.3">
      <c r="J401" t="s">
        <v>437</v>
      </c>
      <c r="K401">
        <v>3508</v>
      </c>
      <c r="L401">
        <v>3658</v>
      </c>
      <c r="M401">
        <v>4307</v>
      </c>
      <c r="N401" s="3"/>
      <c r="O401">
        <v>6550</v>
      </c>
      <c r="P401">
        <v>10305</v>
      </c>
      <c r="Q401">
        <v>19100</v>
      </c>
      <c r="R401">
        <v>24781</v>
      </c>
      <c r="S401">
        <v>38648</v>
      </c>
      <c r="U401" s="3">
        <v>57301</v>
      </c>
      <c r="AD401" t="s">
        <v>282</v>
      </c>
    </row>
    <row r="402" spans="10:30" ht="15.75" customHeight="1" x14ac:dyDescent="0.3">
      <c r="J402" t="s">
        <v>438</v>
      </c>
      <c r="K402">
        <v>5317</v>
      </c>
      <c r="L402">
        <v>5589</v>
      </c>
      <c r="M402">
        <v>7328</v>
      </c>
      <c r="N402" s="3"/>
      <c r="O402">
        <v>11009</v>
      </c>
      <c r="P402">
        <v>16715</v>
      </c>
      <c r="Q402">
        <v>31741</v>
      </c>
      <c r="R402">
        <v>37908</v>
      </c>
      <c r="S402">
        <v>59132</v>
      </c>
      <c r="U402" s="3">
        <v>93940</v>
      </c>
      <c r="AD402" t="s">
        <v>282</v>
      </c>
    </row>
    <row r="403" spans="10:30" ht="15.75" customHeight="1" x14ac:dyDescent="0.3">
      <c r="J403" t="s">
        <v>439</v>
      </c>
      <c r="K403">
        <v>3908</v>
      </c>
      <c r="L403">
        <v>4649</v>
      </c>
      <c r="M403">
        <v>6070</v>
      </c>
      <c r="N403" s="3"/>
      <c r="O403">
        <v>9644</v>
      </c>
      <c r="P403">
        <v>13032</v>
      </c>
      <c r="Q403">
        <v>22248</v>
      </c>
      <c r="R403">
        <v>31597</v>
      </c>
      <c r="S403">
        <v>45099</v>
      </c>
      <c r="U403" s="3">
        <v>74423</v>
      </c>
      <c r="AD403" t="s">
        <v>282</v>
      </c>
    </row>
    <row r="404" spans="10:30" ht="15.75" customHeight="1" x14ac:dyDescent="0.3">
      <c r="J404" t="s">
        <v>440</v>
      </c>
      <c r="K404">
        <v>6048</v>
      </c>
      <c r="L404">
        <v>7630</v>
      </c>
      <c r="M404">
        <v>10523</v>
      </c>
      <c r="N404" s="3"/>
      <c r="O404">
        <v>16717</v>
      </c>
      <c r="P404">
        <v>21951</v>
      </c>
      <c r="Q404">
        <v>47288</v>
      </c>
      <c r="R404">
        <v>67178</v>
      </c>
      <c r="S404">
        <v>95530</v>
      </c>
      <c r="U404" s="3">
        <v>160875</v>
      </c>
      <c r="AD404" t="s">
        <v>282</v>
      </c>
    </row>
    <row r="405" spans="10:30" ht="15.75" customHeight="1" x14ac:dyDescent="0.3">
      <c r="J405" t="s">
        <v>441</v>
      </c>
      <c r="K405">
        <v>3445</v>
      </c>
      <c r="L405">
        <v>3947</v>
      </c>
      <c r="M405">
        <v>5441</v>
      </c>
      <c r="N405" s="3"/>
      <c r="O405">
        <v>9025</v>
      </c>
      <c r="P405">
        <v>14774</v>
      </c>
      <c r="Q405">
        <v>23584</v>
      </c>
      <c r="R405">
        <v>31736</v>
      </c>
      <c r="S405">
        <v>51633</v>
      </c>
      <c r="U405" s="3">
        <v>125455</v>
      </c>
      <c r="V405">
        <v>280408</v>
      </c>
      <c r="AD405" t="s">
        <v>282</v>
      </c>
    </row>
    <row r="406" spans="10:30" ht="15.75" customHeight="1" x14ac:dyDescent="0.3">
      <c r="J406" t="s">
        <v>442</v>
      </c>
      <c r="K406">
        <v>5076</v>
      </c>
      <c r="L406">
        <v>5843</v>
      </c>
      <c r="M406">
        <v>8856</v>
      </c>
      <c r="N406" s="3"/>
      <c r="O406">
        <v>13993</v>
      </c>
      <c r="P406">
        <v>22432</v>
      </c>
      <c r="Q406">
        <v>35284</v>
      </c>
      <c r="R406">
        <v>47250</v>
      </c>
      <c r="S406">
        <v>75974</v>
      </c>
      <c r="U406" s="3">
        <v>175055</v>
      </c>
      <c r="V406">
        <v>372832</v>
      </c>
      <c r="AD406" t="s">
        <v>282</v>
      </c>
    </row>
    <row r="407" spans="10:30" ht="15.75" customHeight="1" x14ac:dyDescent="0.3">
      <c r="J407" t="s">
        <v>443</v>
      </c>
      <c r="K407">
        <v>3983</v>
      </c>
      <c r="L407">
        <v>5112</v>
      </c>
      <c r="M407">
        <v>7105</v>
      </c>
      <c r="N407" s="3"/>
      <c r="O407">
        <v>11959</v>
      </c>
      <c r="P407">
        <v>17996</v>
      </c>
      <c r="Q407">
        <v>27338</v>
      </c>
      <c r="R407">
        <v>37442</v>
      </c>
      <c r="S407">
        <v>62370</v>
      </c>
      <c r="U407" s="3">
        <v>167798</v>
      </c>
      <c r="V407">
        <v>311378</v>
      </c>
      <c r="AD407" t="s">
        <v>282</v>
      </c>
    </row>
    <row r="408" spans="10:30" ht="15.75" customHeight="1" x14ac:dyDescent="0.3">
      <c r="J408" t="s">
        <v>444</v>
      </c>
      <c r="K408">
        <v>6203</v>
      </c>
      <c r="L408">
        <v>8080</v>
      </c>
      <c r="M408">
        <v>11851</v>
      </c>
      <c r="N408" s="3"/>
      <c r="O408">
        <v>19663</v>
      </c>
      <c r="P408">
        <v>28937</v>
      </c>
      <c r="Q408">
        <v>54936</v>
      </c>
      <c r="R408">
        <v>70520</v>
      </c>
      <c r="S408">
        <v>117421</v>
      </c>
      <c r="U408" s="3">
        <v>324828</v>
      </c>
      <c r="V408">
        <v>566771</v>
      </c>
      <c r="AD408" t="s">
        <v>282</v>
      </c>
    </row>
    <row r="409" spans="10:30" ht="15.75" customHeight="1" x14ac:dyDescent="0.3">
      <c r="J409" t="s">
        <v>445</v>
      </c>
      <c r="K409">
        <v>1953</v>
      </c>
      <c r="L409">
        <v>2887</v>
      </c>
      <c r="M409">
        <v>3188</v>
      </c>
      <c r="N409" s="3">
        <v>6948</v>
      </c>
      <c r="O409">
        <v>7283</v>
      </c>
      <c r="P409">
        <v>10742</v>
      </c>
      <c r="U409" s="3"/>
      <c r="AD409" t="s">
        <v>282</v>
      </c>
    </row>
    <row r="410" spans="10:30" ht="15.75" customHeight="1" x14ac:dyDescent="0.3">
      <c r="J410" t="s">
        <v>446</v>
      </c>
      <c r="K410">
        <v>2702</v>
      </c>
      <c r="L410">
        <v>3512</v>
      </c>
      <c r="M410">
        <v>3937</v>
      </c>
      <c r="N410" s="3">
        <v>9626</v>
      </c>
      <c r="O410">
        <v>9626</v>
      </c>
      <c r="P410">
        <v>12838</v>
      </c>
      <c r="U410" s="3"/>
      <c r="AD410" t="s">
        <v>282</v>
      </c>
    </row>
    <row r="411" spans="10:30" ht="15.75" customHeight="1" x14ac:dyDescent="0.3">
      <c r="J411" t="s">
        <v>447</v>
      </c>
      <c r="K411">
        <v>3028</v>
      </c>
      <c r="L411">
        <v>4577</v>
      </c>
      <c r="M411">
        <v>4819</v>
      </c>
      <c r="N411" s="3">
        <v>11763</v>
      </c>
      <c r="O411">
        <v>11763</v>
      </c>
      <c r="P411">
        <v>15471</v>
      </c>
      <c r="U411" s="3"/>
      <c r="AD411" t="s">
        <v>282</v>
      </c>
    </row>
    <row r="412" spans="10:30" ht="15.75" customHeight="1" x14ac:dyDescent="0.3">
      <c r="J412" t="s">
        <v>448</v>
      </c>
      <c r="K412">
        <v>1953</v>
      </c>
      <c r="L412">
        <v>2016</v>
      </c>
      <c r="M412">
        <v>3044</v>
      </c>
      <c r="N412" s="3">
        <v>3488</v>
      </c>
      <c r="O412">
        <v>6118</v>
      </c>
      <c r="P412">
        <v>7661</v>
      </c>
      <c r="U412" s="3"/>
      <c r="AD412" t="s">
        <v>282</v>
      </c>
    </row>
    <row r="413" spans="10:30" ht="15.75" customHeight="1" x14ac:dyDescent="0.3">
      <c r="J413" t="s">
        <v>449</v>
      </c>
      <c r="K413">
        <v>2702</v>
      </c>
      <c r="L413">
        <v>2754</v>
      </c>
      <c r="M413">
        <v>3515</v>
      </c>
      <c r="N413" s="3"/>
      <c r="O413">
        <v>8514</v>
      </c>
      <c r="P413">
        <v>9862</v>
      </c>
      <c r="U413" s="3"/>
      <c r="AD413" t="s">
        <v>282</v>
      </c>
    </row>
    <row r="414" spans="10:30" ht="15.75" customHeight="1" x14ac:dyDescent="0.3">
      <c r="J414" t="s">
        <v>450</v>
      </c>
      <c r="K414">
        <v>3028</v>
      </c>
      <c r="L414">
        <v>3163</v>
      </c>
      <c r="M414">
        <v>4750</v>
      </c>
      <c r="N414" s="3">
        <v>5933</v>
      </c>
      <c r="O414">
        <v>9959</v>
      </c>
      <c r="P414">
        <v>11779</v>
      </c>
      <c r="U414" s="3"/>
      <c r="AD414" t="s">
        <v>282</v>
      </c>
    </row>
    <row r="415" spans="10:30" ht="15.75" customHeight="1" x14ac:dyDescent="0.3">
      <c r="J415" t="s">
        <v>451</v>
      </c>
      <c r="K415">
        <v>2794</v>
      </c>
      <c r="L415">
        <v>3182</v>
      </c>
      <c r="M415">
        <v>4318</v>
      </c>
      <c r="N415" s="3"/>
      <c r="O415">
        <v>8755</v>
      </c>
      <c r="P415">
        <v>10507</v>
      </c>
      <c r="U415" s="3"/>
      <c r="AD415" t="s">
        <v>282</v>
      </c>
    </row>
    <row r="416" spans="10:30" ht="15.75" customHeight="1" x14ac:dyDescent="0.3">
      <c r="J416" t="s">
        <v>452</v>
      </c>
      <c r="K416">
        <v>4705</v>
      </c>
      <c r="L416">
        <v>5432</v>
      </c>
      <c r="M416">
        <v>7358</v>
      </c>
      <c r="N416" s="3"/>
      <c r="O416">
        <v>14846</v>
      </c>
      <c r="P416">
        <v>17710</v>
      </c>
      <c r="U416" s="3"/>
      <c r="AD416" t="s">
        <v>282</v>
      </c>
    </row>
    <row r="417" spans="10:30" ht="15.75" customHeight="1" x14ac:dyDescent="0.3">
      <c r="J417" t="s">
        <v>453</v>
      </c>
      <c r="K417">
        <v>2718</v>
      </c>
      <c r="L417">
        <v>3512</v>
      </c>
      <c r="M417">
        <v>3937</v>
      </c>
      <c r="N417" s="3">
        <v>9805</v>
      </c>
      <c r="O417">
        <v>9805</v>
      </c>
      <c r="P417">
        <v>13360</v>
      </c>
      <c r="U417" s="3"/>
      <c r="AD417" t="s">
        <v>282</v>
      </c>
    </row>
    <row r="418" spans="10:30" ht="15.75" customHeight="1" x14ac:dyDescent="0.3">
      <c r="J418" t="s">
        <v>454</v>
      </c>
      <c r="K418">
        <v>2718</v>
      </c>
      <c r="L418">
        <v>2779</v>
      </c>
      <c r="M418">
        <v>3616</v>
      </c>
      <c r="N418" s="3"/>
      <c r="O418">
        <v>8660</v>
      </c>
      <c r="P418">
        <v>10136</v>
      </c>
      <c r="U418" s="3"/>
      <c r="AD418" t="s">
        <v>282</v>
      </c>
    </row>
    <row r="419" spans="10:30" ht="15.75" customHeight="1" x14ac:dyDescent="0.3">
      <c r="N419" s="3"/>
      <c r="U419" s="3"/>
    </row>
    <row r="420" spans="10:30" ht="15.75" customHeight="1" x14ac:dyDescent="0.3">
      <c r="J420" t="s">
        <v>455</v>
      </c>
      <c r="N420" s="3"/>
      <c r="U420" s="3"/>
    </row>
    <row r="421" spans="10:30" ht="15.75" customHeight="1" x14ac:dyDescent="0.3">
      <c r="J421" t="s">
        <v>417</v>
      </c>
      <c r="K421" t="s">
        <v>418</v>
      </c>
      <c r="L421" t="s">
        <v>419</v>
      </c>
      <c r="M421" t="s">
        <v>420</v>
      </c>
      <c r="N421" s="3" t="s">
        <v>421</v>
      </c>
      <c r="O421" t="s">
        <v>422</v>
      </c>
      <c r="P421" t="s">
        <v>423</v>
      </c>
      <c r="Q421" t="s">
        <v>424</v>
      </c>
      <c r="R421" t="s">
        <v>425</v>
      </c>
      <c r="S421" t="s">
        <v>426</v>
      </c>
      <c r="T421" t="s">
        <v>427</v>
      </c>
      <c r="U421" s="3" t="s">
        <v>428</v>
      </c>
      <c r="V421" t="s">
        <v>429</v>
      </c>
      <c r="W421" t="s">
        <v>430</v>
      </c>
      <c r="X421" t="s">
        <v>431</v>
      </c>
      <c r="Y421" t="s">
        <v>432</v>
      </c>
      <c r="Z421" t="s">
        <v>433</v>
      </c>
      <c r="AA421" t="s">
        <v>434</v>
      </c>
      <c r="AB421" t="s">
        <v>435</v>
      </c>
      <c r="AC421" t="s">
        <v>436</v>
      </c>
    </row>
    <row r="422" spans="10:30" ht="15.75" customHeight="1" x14ac:dyDescent="0.3">
      <c r="J422" t="s">
        <v>448</v>
      </c>
      <c r="K422">
        <v>1953</v>
      </c>
      <c r="L422">
        <v>2016</v>
      </c>
      <c r="M422">
        <v>3044</v>
      </c>
      <c r="N422" s="3">
        <v>3488</v>
      </c>
      <c r="O422">
        <v>6118</v>
      </c>
      <c r="P422">
        <v>7661</v>
      </c>
      <c r="U422" s="3"/>
    </row>
    <row r="423" spans="10:30" ht="15.75" customHeight="1" x14ac:dyDescent="0.3">
      <c r="J423" t="s">
        <v>445</v>
      </c>
      <c r="K423">
        <v>1953</v>
      </c>
      <c r="L423">
        <v>2887</v>
      </c>
      <c r="M423">
        <v>3188</v>
      </c>
      <c r="N423" s="3">
        <v>6948</v>
      </c>
      <c r="O423">
        <v>7283</v>
      </c>
      <c r="P423">
        <v>10742</v>
      </c>
      <c r="U423" s="3"/>
    </row>
    <row r="424" spans="10:30" ht="15.75" customHeight="1" x14ac:dyDescent="0.3">
      <c r="J424" t="s">
        <v>449</v>
      </c>
      <c r="K424">
        <v>2702</v>
      </c>
      <c r="L424">
        <v>2754</v>
      </c>
      <c r="M424">
        <v>3515</v>
      </c>
      <c r="N424" s="3"/>
      <c r="O424">
        <v>8514</v>
      </c>
      <c r="P424">
        <v>9862</v>
      </c>
      <c r="U424" s="3"/>
    </row>
    <row r="425" spans="10:30" ht="15.75" customHeight="1" x14ac:dyDescent="0.3">
      <c r="J425" t="s">
        <v>446</v>
      </c>
      <c r="K425">
        <v>2702</v>
      </c>
      <c r="L425">
        <v>3512</v>
      </c>
      <c r="M425">
        <v>3937</v>
      </c>
      <c r="N425" s="3">
        <v>9626</v>
      </c>
      <c r="O425">
        <v>9626</v>
      </c>
      <c r="P425">
        <v>12838</v>
      </c>
      <c r="U425" s="3"/>
    </row>
    <row r="426" spans="10:30" ht="15.75" customHeight="1" x14ac:dyDescent="0.3">
      <c r="J426" t="s">
        <v>454</v>
      </c>
      <c r="K426">
        <v>2718</v>
      </c>
      <c r="L426">
        <v>2779</v>
      </c>
      <c r="M426">
        <v>3616</v>
      </c>
      <c r="N426" s="3"/>
      <c r="O426">
        <v>8660</v>
      </c>
      <c r="P426">
        <v>10136</v>
      </c>
      <c r="U426" s="3"/>
    </row>
    <row r="427" spans="10:30" ht="15.75" customHeight="1" x14ac:dyDescent="0.3">
      <c r="J427" t="s">
        <v>453</v>
      </c>
      <c r="K427">
        <v>2718</v>
      </c>
      <c r="L427">
        <v>3512</v>
      </c>
      <c r="M427">
        <v>3937</v>
      </c>
      <c r="N427" s="3">
        <v>9805</v>
      </c>
      <c r="O427">
        <v>9805</v>
      </c>
      <c r="P427">
        <v>13360</v>
      </c>
      <c r="U427" s="3"/>
    </row>
    <row r="428" spans="10:30" ht="15.75" customHeight="1" x14ac:dyDescent="0.3">
      <c r="J428" t="s">
        <v>451</v>
      </c>
      <c r="K428">
        <v>2794</v>
      </c>
      <c r="L428">
        <v>3182</v>
      </c>
      <c r="M428">
        <v>4318</v>
      </c>
      <c r="N428" s="3"/>
      <c r="O428">
        <v>8755</v>
      </c>
      <c r="P428">
        <v>10507</v>
      </c>
      <c r="U428" s="3"/>
    </row>
    <row r="429" spans="10:30" ht="15.75" customHeight="1" x14ac:dyDescent="0.3">
      <c r="J429" t="s">
        <v>450</v>
      </c>
      <c r="K429">
        <v>3028</v>
      </c>
      <c r="L429">
        <v>3163</v>
      </c>
      <c r="M429">
        <v>4750</v>
      </c>
      <c r="N429" s="3">
        <v>5933</v>
      </c>
      <c r="O429">
        <v>9959</v>
      </c>
      <c r="P429">
        <v>11779</v>
      </c>
      <c r="U429" s="3"/>
    </row>
    <row r="430" spans="10:30" ht="15.75" customHeight="1" x14ac:dyDescent="0.3">
      <c r="J430" t="s">
        <v>447</v>
      </c>
      <c r="K430">
        <v>3028</v>
      </c>
      <c r="L430">
        <v>4577</v>
      </c>
      <c r="M430">
        <v>4819</v>
      </c>
      <c r="N430" s="3">
        <v>11763</v>
      </c>
      <c r="O430">
        <v>11763</v>
      </c>
      <c r="P430">
        <v>15471</v>
      </c>
      <c r="U430" s="3"/>
    </row>
    <row r="431" spans="10:30" ht="15.75" customHeight="1" x14ac:dyDescent="0.3">
      <c r="J431" t="s">
        <v>441</v>
      </c>
      <c r="K431">
        <v>3445</v>
      </c>
      <c r="L431">
        <v>3947</v>
      </c>
      <c r="M431">
        <v>5441</v>
      </c>
      <c r="N431" s="3"/>
      <c r="O431">
        <v>9025</v>
      </c>
      <c r="P431">
        <v>14774</v>
      </c>
      <c r="Q431">
        <v>23584</v>
      </c>
      <c r="R431">
        <v>31736</v>
      </c>
      <c r="S431">
        <v>51633</v>
      </c>
      <c r="U431" s="3">
        <v>125455</v>
      </c>
      <c r="V431">
        <v>280408</v>
      </c>
    </row>
    <row r="432" spans="10:30" ht="15.75" customHeight="1" x14ac:dyDescent="0.3">
      <c r="J432" t="s">
        <v>437</v>
      </c>
      <c r="K432">
        <v>3508</v>
      </c>
      <c r="L432">
        <v>3658</v>
      </c>
      <c r="M432">
        <v>4307</v>
      </c>
      <c r="N432" s="3"/>
      <c r="O432">
        <v>6550</v>
      </c>
      <c r="P432">
        <v>10305</v>
      </c>
      <c r="Q432">
        <v>19100</v>
      </c>
      <c r="R432">
        <v>24781</v>
      </c>
      <c r="S432">
        <v>38648</v>
      </c>
      <c r="U432" s="3">
        <v>57301</v>
      </c>
    </row>
    <row r="433" spans="10:22" ht="15.75" customHeight="1" x14ac:dyDescent="0.3">
      <c r="J433" t="s">
        <v>439</v>
      </c>
      <c r="K433">
        <v>3908</v>
      </c>
      <c r="L433">
        <v>4649</v>
      </c>
      <c r="M433">
        <v>6070</v>
      </c>
      <c r="N433" s="3"/>
      <c r="O433">
        <v>9644</v>
      </c>
      <c r="P433">
        <v>13032</v>
      </c>
      <c r="Q433">
        <v>22248</v>
      </c>
      <c r="R433">
        <v>31597</v>
      </c>
      <c r="S433">
        <v>45099</v>
      </c>
      <c r="U433" s="3">
        <v>74423</v>
      </c>
    </row>
    <row r="434" spans="10:22" ht="15.75" customHeight="1" x14ac:dyDescent="0.3">
      <c r="J434" t="s">
        <v>443</v>
      </c>
      <c r="K434">
        <v>3983</v>
      </c>
      <c r="L434">
        <v>5112</v>
      </c>
      <c r="M434">
        <v>7105</v>
      </c>
      <c r="N434" s="3"/>
      <c r="O434">
        <v>11959</v>
      </c>
      <c r="P434">
        <v>17996</v>
      </c>
      <c r="Q434">
        <v>27338</v>
      </c>
      <c r="R434">
        <v>37442</v>
      </c>
      <c r="S434">
        <v>62370</v>
      </c>
      <c r="U434" s="3">
        <v>167798</v>
      </c>
      <c r="V434">
        <v>311378</v>
      </c>
    </row>
    <row r="435" spans="10:22" ht="15.75" customHeight="1" x14ac:dyDescent="0.3">
      <c r="J435" t="s">
        <v>452</v>
      </c>
      <c r="K435">
        <v>4705</v>
      </c>
      <c r="L435">
        <v>5432</v>
      </c>
      <c r="M435">
        <v>7358</v>
      </c>
      <c r="N435" s="3"/>
      <c r="O435">
        <v>14846</v>
      </c>
      <c r="P435">
        <v>17710</v>
      </c>
      <c r="U435" s="3"/>
    </row>
    <row r="436" spans="10:22" ht="15.75" customHeight="1" x14ac:dyDescent="0.3">
      <c r="J436" t="s">
        <v>442</v>
      </c>
      <c r="K436">
        <v>5076</v>
      </c>
      <c r="L436">
        <v>5843</v>
      </c>
      <c r="M436">
        <v>8856</v>
      </c>
      <c r="N436" s="3"/>
      <c r="O436">
        <v>13993</v>
      </c>
      <c r="P436">
        <v>22432</v>
      </c>
      <c r="Q436">
        <v>35284</v>
      </c>
      <c r="R436">
        <v>47250</v>
      </c>
      <c r="S436">
        <v>75974</v>
      </c>
      <c r="U436" s="3">
        <v>175055</v>
      </c>
      <c r="V436">
        <v>372832</v>
      </c>
    </row>
    <row r="437" spans="10:22" ht="15.75" customHeight="1" x14ac:dyDescent="0.3">
      <c r="J437" t="s">
        <v>438</v>
      </c>
      <c r="K437">
        <v>5317</v>
      </c>
      <c r="L437">
        <v>5589</v>
      </c>
      <c r="M437">
        <v>7328</v>
      </c>
      <c r="N437" s="3"/>
      <c r="O437">
        <v>11009</v>
      </c>
      <c r="P437">
        <v>16715</v>
      </c>
      <c r="Q437">
        <v>31741</v>
      </c>
      <c r="R437">
        <v>37908</v>
      </c>
      <c r="S437">
        <v>59132</v>
      </c>
      <c r="U437" s="3">
        <v>93940</v>
      </c>
    </row>
    <row r="438" spans="10:22" ht="15.75" customHeight="1" x14ac:dyDescent="0.3">
      <c r="J438" t="s">
        <v>440</v>
      </c>
      <c r="K438">
        <v>6048</v>
      </c>
      <c r="L438">
        <v>7630</v>
      </c>
      <c r="M438">
        <v>10523</v>
      </c>
      <c r="N438" s="3"/>
      <c r="O438">
        <v>16717</v>
      </c>
      <c r="P438">
        <v>21951</v>
      </c>
      <c r="Q438">
        <v>47288</v>
      </c>
      <c r="R438">
        <v>67178</v>
      </c>
      <c r="S438">
        <v>95530</v>
      </c>
      <c r="U438" s="3">
        <v>160875</v>
      </c>
    </row>
    <row r="439" spans="10:22" ht="15.75" customHeight="1" x14ac:dyDescent="0.3">
      <c r="J439" t="s">
        <v>444</v>
      </c>
      <c r="K439">
        <v>6203</v>
      </c>
      <c r="L439">
        <v>8080</v>
      </c>
      <c r="M439">
        <v>11851</v>
      </c>
      <c r="N439" s="3"/>
      <c r="O439">
        <v>19663</v>
      </c>
      <c r="P439">
        <v>28937</v>
      </c>
      <c r="Q439">
        <v>54936</v>
      </c>
      <c r="R439">
        <v>70520</v>
      </c>
      <c r="S439">
        <v>117421</v>
      </c>
      <c r="U439" s="3">
        <v>324828</v>
      </c>
      <c r="V439">
        <v>566771</v>
      </c>
    </row>
    <row r="440" spans="10:22" ht="15.75" customHeight="1" x14ac:dyDescent="0.3">
      <c r="N440" s="3"/>
      <c r="U440" s="3"/>
    </row>
    <row r="441" spans="10:22" ht="15.75" customHeight="1" x14ac:dyDescent="0.3">
      <c r="J441" t="s">
        <v>456</v>
      </c>
      <c r="N441" s="3" t="s">
        <v>250</v>
      </c>
      <c r="U441" s="3"/>
    </row>
    <row r="442" spans="10:22" ht="15.75" customHeight="1" x14ac:dyDescent="0.3">
      <c r="J442" t="s">
        <v>457</v>
      </c>
      <c r="N442" s="3"/>
      <c r="U442" s="3"/>
    </row>
    <row r="443" spans="10:22" ht="15.75" customHeight="1" x14ac:dyDescent="0.3">
      <c r="J443" t="s">
        <v>458</v>
      </c>
      <c r="K443">
        <v>13756.08</v>
      </c>
      <c r="N443" s="3" t="s">
        <v>250</v>
      </c>
      <c r="U443" s="3"/>
    </row>
    <row r="444" spans="10:22" ht="15.75" customHeight="1" x14ac:dyDescent="0.3">
      <c r="J444" t="s">
        <v>459</v>
      </c>
      <c r="K444">
        <v>18905.12</v>
      </c>
      <c r="N444" s="3" t="s">
        <v>250</v>
      </c>
      <c r="U444" s="3"/>
    </row>
    <row r="445" spans="10:22" ht="15.75" customHeight="1" x14ac:dyDescent="0.3">
      <c r="J445" t="s">
        <v>460</v>
      </c>
      <c r="K445">
        <v>26019</v>
      </c>
      <c r="N445" s="3" t="s">
        <v>250</v>
      </c>
      <c r="U445" s="3"/>
    </row>
    <row r="446" spans="10:22" ht="15.75" customHeight="1" x14ac:dyDescent="0.3">
      <c r="J446" t="s">
        <v>461</v>
      </c>
      <c r="K446">
        <v>21339.759999999998</v>
      </c>
      <c r="N446" s="3" t="s">
        <v>250</v>
      </c>
      <c r="U446" s="3"/>
    </row>
    <row r="447" spans="10:22" ht="15.75" customHeight="1" x14ac:dyDescent="0.3">
      <c r="J447" t="s">
        <v>462</v>
      </c>
      <c r="K447">
        <v>29750</v>
      </c>
      <c r="N447" s="3" t="s">
        <v>250</v>
      </c>
      <c r="U447" s="3"/>
    </row>
    <row r="448" spans="10:22" ht="15.75" customHeight="1" x14ac:dyDescent="0.3">
      <c r="J448" t="s">
        <v>463</v>
      </c>
      <c r="K448">
        <v>62576.800000000003</v>
      </c>
      <c r="N448" s="3" t="s">
        <v>250</v>
      </c>
      <c r="U448" s="3"/>
    </row>
    <row r="449" spans="10:21" ht="15.75" customHeight="1" x14ac:dyDescent="0.3">
      <c r="J449" t="s">
        <v>464</v>
      </c>
      <c r="K449">
        <v>63164.4</v>
      </c>
      <c r="N449" s="3" t="s">
        <v>250</v>
      </c>
      <c r="U449" s="3"/>
    </row>
    <row r="450" spans="10:21" ht="15.75" customHeight="1" x14ac:dyDescent="0.3">
      <c r="J450" t="s">
        <v>465</v>
      </c>
      <c r="K450">
        <v>104703.03999999999</v>
      </c>
      <c r="N450" s="3" t="s">
        <v>250</v>
      </c>
      <c r="U450" s="3"/>
    </row>
    <row r="451" spans="10:21" ht="15.75" customHeight="1" x14ac:dyDescent="0.3">
      <c r="N451" s="3"/>
      <c r="U451" s="3"/>
    </row>
    <row r="452" spans="10:21" ht="15.75" customHeight="1" x14ac:dyDescent="0.3">
      <c r="J452" t="s">
        <v>466</v>
      </c>
      <c r="N452" s="3"/>
      <c r="U452" s="3"/>
    </row>
    <row r="453" spans="10:21" ht="15.75" customHeight="1" x14ac:dyDescent="0.3">
      <c r="J453" t="s">
        <v>467</v>
      </c>
      <c r="K453">
        <v>6278.48</v>
      </c>
      <c r="N453" s="3" t="s">
        <v>250</v>
      </c>
      <c r="U453" s="3"/>
    </row>
    <row r="454" spans="10:21" ht="15.75" customHeight="1" x14ac:dyDescent="0.3">
      <c r="J454" t="s">
        <v>468</v>
      </c>
      <c r="K454">
        <v>7794.8</v>
      </c>
      <c r="N454" s="3" t="s">
        <v>250</v>
      </c>
      <c r="U454" s="3"/>
    </row>
    <row r="455" spans="10:21" ht="15.75" customHeight="1" x14ac:dyDescent="0.3">
      <c r="J455" t="s">
        <v>469</v>
      </c>
      <c r="K455">
        <v>6278.48</v>
      </c>
      <c r="N455" s="3" t="s">
        <v>250</v>
      </c>
      <c r="U455" s="3"/>
    </row>
    <row r="456" spans="10:21" ht="15.75" customHeight="1" x14ac:dyDescent="0.3">
      <c r="J456" t="s">
        <v>470</v>
      </c>
      <c r="K456">
        <v>7794.8</v>
      </c>
      <c r="N456" s="3" t="s">
        <v>250</v>
      </c>
      <c r="U456" s="3"/>
    </row>
    <row r="457" spans="10:21" ht="15.75" customHeight="1" x14ac:dyDescent="0.3">
      <c r="J457" t="s">
        <v>471</v>
      </c>
      <c r="K457">
        <v>7959.12</v>
      </c>
      <c r="N457" s="3" t="s">
        <v>250</v>
      </c>
      <c r="U457" s="3"/>
    </row>
    <row r="458" spans="10:21" ht="15.75" customHeight="1" x14ac:dyDescent="0.3">
      <c r="J458" t="s">
        <v>472</v>
      </c>
      <c r="K458">
        <v>9629.36</v>
      </c>
      <c r="N458" s="3" t="s">
        <v>250</v>
      </c>
      <c r="U458" s="3"/>
    </row>
    <row r="459" spans="10:21" ht="15.75" customHeight="1" x14ac:dyDescent="0.3">
      <c r="N459" s="3"/>
      <c r="U459" s="3"/>
    </row>
    <row r="460" spans="10:21" ht="15.75" customHeight="1" x14ac:dyDescent="0.3">
      <c r="J460" t="s">
        <v>473</v>
      </c>
      <c r="N460" s="3"/>
      <c r="U460" s="3"/>
    </row>
    <row r="461" spans="10:21" ht="15.75" customHeight="1" x14ac:dyDescent="0.3">
      <c r="J461" t="s">
        <v>474</v>
      </c>
      <c r="K461">
        <v>5349.76</v>
      </c>
      <c r="N461" s="3" t="s">
        <v>250</v>
      </c>
      <c r="U461" s="3"/>
    </row>
    <row r="462" spans="10:21" ht="15.75" customHeight="1" x14ac:dyDescent="0.3">
      <c r="J462" t="s">
        <v>475</v>
      </c>
      <c r="K462">
        <v>7030.6</v>
      </c>
      <c r="N462" s="3" t="s">
        <v>250</v>
      </c>
      <c r="U462" s="3"/>
    </row>
    <row r="463" spans="10:21" ht="15.75" customHeight="1" x14ac:dyDescent="0.3">
      <c r="J463" t="s">
        <v>476</v>
      </c>
      <c r="K463">
        <v>5349.76</v>
      </c>
      <c r="N463" s="3" t="s">
        <v>250</v>
      </c>
      <c r="U463" s="3"/>
    </row>
    <row r="464" spans="10:21" ht="15.75" customHeight="1" x14ac:dyDescent="0.3">
      <c r="J464" t="s">
        <v>477</v>
      </c>
      <c r="K464">
        <v>7030.6</v>
      </c>
      <c r="N464" s="3" t="s">
        <v>250</v>
      </c>
      <c r="U464" s="3"/>
    </row>
    <row r="465" spans="10:21" ht="15.75" customHeight="1" x14ac:dyDescent="0.3">
      <c r="J465" t="s">
        <v>478</v>
      </c>
      <c r="K465">
        <v>7641.92</v>
      </c>
      <c r="N465" s="3" t="s">
        <v>250</v>
      </c>
      <c r="U465" s="3"/>
    </row>
    <row r="466" spans="10:21" ht="15.75" customHeight="1" x14ac:dyDescent="0.3">
      <c r="J466" t="s">
        <v>479</v>
      </c>
      <c r="K466">
        <v>9182.16</v>
      </c>
      <c r="N466" s="3" t="s">
        <v>250</v>
      </c>
      <c r="U466" s="3"/>
    </row>
    <row r="467" spans="10:21" ht="15.75" customHeight="1" x14ac:dyDescent="0.3">
      <c r="J467" t="s">
        <v>480</v>
      </c>
      <c r="K467">
        <v>9182.16</v>
      </c>
      <c r="N467" s="3" t="s">
        <v>250</v>
      </c>
      <c r="U467" s="3"/>
    </row>
    <row r="468" spans="10:21" ht="15.75" customHeight="1" x14ac:dyDescent="0.3">
      <c r="J468" t="s">
        <v>481</v>
      </c>
      <c r="K468">
        <v>13156</v>
      </c>
      <c r="N468" s="3" t="s">
        <v>250</v>
      </c>
      <c r="U468" s="3"/>
    </row>
    <row r="469" spans="10:21" ht="15.75" customHeight="1" x14ac:dyDescent="0.3">
      <c r="J469" t="s">
        <v>482</v>
      </c>
      <c r="K469">
        <v>11968.32</v>
      </c>
      <c r="N469" s="3" t="s">
        <v>250</v>
      </c>
      <c r="U469" s="3"/>
    </row>
    <row r="470" spans="10:21" ht="15.75" customHeight="1" x14ac:dyDescent="0.3">
      <c r="J470" t="s">
        <v>483</v>
      </c>
      <c r="K470">
        <v>15154.88</v>
      </c>
      <c r="N470" s="3" t="s">
        <v>250</v>
      </c>
      <c r="U470" s="3"/>
    </row>
    <row r="471" spans="10:21" ht="15.75" customHeight="1" x14ac:dyDescent="0.3">
      <c r="J471" t="s">
        <v>484</v>
      </c>
      <c r="K471">
        <v>14073.28</v>
      </c>
      <c r="N471" s="3" t="s">
        <v>250</v>
      </c>
      <c r="U471" s="3"/>
    </row>
    <row r="472" spans="10:21" ht="15.75" customHeight="1" x14ac:dyDescent="0.3">
      <c r="J472" t="s">
        <v>485</v>
      </c>
      <c r="K472">
        <v>17718.48</v>
      </c>
      <c r="N472" s="3" t="s">
        <v>250</v>
      </c>
      <c r="U472" s="3"/>
    </row>
    <row r="473" spans="10:21" ht="15.75" customHeight="1" x14ac:dyDescent="0.3">
      <c r="J473" t="s">
        <v>486</v>
      </c>
      <c r="K473">
        <v>46974.720000000001</v>
      </c>
      <c r="N473" s="3" t="s">
        <v>250</v>
      </c>
      <c r="U473" s="3"/>
    </row>
    <row r="474" spans="10:21" ht="15.75" customHeight="1" x14ac:dyDescent="0.3">
      <c r="N474" s="3"/>
      <c r="U474" s="3"/>
    </row>
    <row r="475" spans="10:21" ht="15.75" customHeight="1" x14ac:dyDescent="0.3">
      <c r="J475" t="s">
        <v>487</v>
      </c>
      <c r="N475" s="3"/>
      <c r="U475" s="3"/>
    </row>
    <row r="476" spans="10:21" ht="15.75" customHeight="1" x14ac:dyDescent="0.3">
      <c r="J476" t="s">
        <v>488</v>
      </c>
      <c r="K476">
        <v>1322.6849999999999</v>
      </c>
      <c r="N476" s="3" t="s">
        <v>250</v>
      </c>
      <c r="U476" s="3"/>
    </row>
    <row r="477" spans="10:21" ht="15.75" customHeight="1" x14ac:dyDescent="0.3">
      <c r="J477" t="s">
        <v>489</v>
      </c>
      <c r="K477">
        <v>3515.855</v>
      </c>
      <c r="N477" s="3" t="s">
        <v>250</v>
      </c>
      <c r="U477" s="3"/>
    </row>
    <row r="478" spans="10:21" ht="15.75" customHeight="1" x14ac:dyDescent="0.3">
      <c r="J478" t="s">
        <v>490</v>
      </c>
      <c r="K478">
        <v>5381.1799999999994</v>
      </c>
      <c r="N478" s="3" t="s">
        <v>250</v>
      </c>
      <c r="U478" s="3"/>
    </row>
    <row r="479" spans="10:21" ht="15.75" customHeight="1" x14ac:dyDescent="0.3">
      <c r="J479" t="s">
        <v>491</v>
      </c>
      <c r="K479">
        <v>13385</v>
      </c>
      <c r="N479" s="3" t="s">
        <v>250</v>
      </c>
      <c r="U479" s="3"/>
    </row>
    <row r="480" spans="10:21" ht="15.75" customHeight="1" x14ac:dyDescent="0.3">
      <c r="J480" t="s">
        <v>492</v>
      </c>
      <c r="K480">
        <v>6556.9</v>
      </c>
      <c r="N480" s="3" t="s">
        <v>250</v>
      </c>
      <c r="U480" s="3"/>
    </row>
    <row r="481" spans="10:21" ht="15.75" customHeight="1" x14ac:dyDescent="0.3">
      <c r="J481" t="s">
        <v>493</v>
      </c>
      <c r="K481">
        <v>14793</v>
      </c>
      <c r="N481" s="3" t="s">
        <v>250</v>
      </c>
      <c r="U481" s="3"/>
    </row>
    <row r="482" spans="10:21" ht="15.75" customHeight="1" x14ac:dyDescent="0.3">
      <c r="J482" t="s">
        <v>494</v>
      </c>
      <c r="K482">
        <v>25524.429</v>
      </c>
      <c r="N482" s="3" t="s">
        <v>250</v>
      </c>
      <c r="U482" s="3"/>
    </row>
    <row r="483" spans="10:21" ht="15.75" customHeight="1" x14ac:dyDescent="0.3">
      <c r="J483" t="s">
        <v>495</v>
      </c>
      <c r="K483">
        <v>26089.679</v>
      </c>
      <c r="N483" s="3" t="s">
        <v>250</v>
      </c>
      <c r="U483" s="3"/>
    </row>
    <row r="484" spans="10:21" ht="15.75" customHeight="1" x14ac:dyDescent="0.3">
      <c r="J484" t="s">
        <v>496</v>
      </c>
      <c r="K484">
        <v>45217.738999999987</v>
      </c>
      <c r="N484" s="3" t="s">
        <v>250</v>
      </c>
      <c r="U484" s="3"/>
    </row>
    <row r="485" spans="10:21" ht="15.75" customHeight="1" x14ac:dyDescent="0.3">
      <c r="N485" s="3"/>
      <c r="U485" s="3"/>
    </row>
    <row r="486" spans="10:21" ht="15.75" customHeight="1" x14ac:dyDescent="0.3">
      <c r="J486" t="s">
        <v>497</v>
      </c>
      <c r="N486" s="3"/>
      <c r="U486" s="3"/>
    </row>
    <row r="487" spans="10:21" ht="15.75" customHeight="1" x14ac:dyDescent="0.3">
      <c r="J487" t="s">
        <v>498</v>
      </c>
      <c r="K487">
        <v>12685.92</v>
      </c>
      <c r="N487" s="3" t="s">
        <v>250</v>
      </c>
      <c r="U487" s="3"/>
    </row>
    <row r="488" spans="10:21" ht="15.75" customHeight="1" x14ac:dyDescent="0.3">
      <c r="J488" t="s">
        <v>499</v>
      </c>
      <c r="K488">
        <v>16213.6</v>
      </c>
      <c r="N488" s="3" t="s">
        <v>250</v>
      </c>
      <c r="U488" s="3"/>
    </row>
    <row r="489" spans="10:21" ht="15.75" customHeight="1" x14ac:dyDescent="0.3">
      <c r="J489" t="s">
        <v>500</v>
      </c>
      <c r="K489">
        <v>61901.84</v>
      </c>
      <c r="N489" s="3" t="s">
        <v>250</v>
      </c>
      <c r="U489" s="3"/>
    </row>
    <row r="490" spans="10:21" ht="15.75" customHeight="1" x14ac:dyDescent="0.3">
      <c r="J490" t="s">
        <v>501</v>
      </c>
      <c r="K490">
        <v>61901.84</v>
      </c>
      <c r="N490" s="3" t="s">
        <v>250</v>
      </c>
      <c r="U490" s="3"/>
    </row>
    <row r="491" spans="10:21" ht="15.75" customHeight="1" x14ac:dyDescent="0.3">
      <c r="N491" s="3"/>
      <c r="U491" s="3"/>
    </row>
    <row r="492" spans="10:21" ht="15.75" customHeight="1" x14ac:dyDescent="0.3">
      <c r="J492" t="s">
        <v>502</v>
      </c>
      <c r="N492" s="3"/>
      <c r="U492" s="3"/>
    </row>
    <row r="493" spans="10:21" ht="15.75" customHeight="1" x14ac:dyDescent="0.3">
      <c r="J493" t="s">
        <v>503</v>
      </c>
      <c r="K493">
        <v>13297.44</v>
      </c>
      <c r="N493" s="3" t="s">
        <v>250</v>
      </c>
      <c r="U493" s="3"/>
    </row>
    <row r="494" spans="10:21" ht="15.75" customHeight="1" x14ac:dyDescent="0.3">
      <c r="J494" t="s">
        <v>504</v>
      </c>
      <c r="K494">
        <v>48557.599999999999</v>
      </c>
      <c r="N494" s="3" t="s">
        <v>250</v>
      </c>
      <c r="U494" s="3"/>
    </row>
    <row r="495" spans="10:21" ht="15.75" customHeight="1" x14ac:dyDescent="0.3">
      <c r="J495" t="s">
        <v>505</v>
      </c>
      <c r="K495">
        <v>55623</v>
      </c>
      <c r="N495" s="3" t="s">
        <v>250</v>
      </c>
      <c r="U495" s="3"/>
    </row>
    <row r="496" spans="10:21" ht="15.75" customHeight="1" x14ac:dyDescent="0.3">
      <c r="J496" t="s">
        <v>506</v>
      </c>
      <c r="K496">
        <v>48557.599999999999</v>
      </c>
      <c r="N496" s="3" t="s">
        <v>250</v>
      </c>
      <c r="U496" s="3"/>
    </row>
    <row r="497" spans="10:21" ht="15.75" customHeight="1" x14ac:dyDescent="0.3">
      <c r="J497" t="s">
        <v>507</v>
      </c>
      <c r="K497">
        <v>56898</v>
      </c>
      <c r="N497" s="3" t="s">
        <v>250</v>
      </c>
      <c r="U497" s="3"/>
    </row>
    <row r="498" spans="10:21" ht="15.75" customHeight="1" x14ac:dyDescent="0.3">
      <c r="J498" t="s">
        <v>508</v>
      </c>
      <c r="K498">
        <v>125289.84</v>
      </c>
      <c r="N498" s="3" t="s">
        <v>250</v>
      </c>
      <c r="U498" s="3"/>
    </row>
    <row r="499" spans="10:21" ht="15.75" customHeight="1" x14ac:dyDescent="0.3">
      <c r="J499" t="s">
        <v>509</v>
      </c>
      <c r="K499">
        <v>125888.88</v>
      </c>
      <c r="N499" s="3" t="s">
        <v>250</v>
      </c>
      <c r="U499" s="3"/>
    </row>
    <row r="500" spans="10:21" ht="15.75" customHeight="1" x14ac:dyDescent="0.3">
      <c r="J500" t="s">
        <v>510</v>
      </c>
      <c r="K500">
        <v>211116.88</v>
      </c>
      <c r="N500" s="3" t="s">
        <v>250</v>
      </c>
      <c r="U500" s="3"/>
    </row>
    <row r="501" spans="10:21" ht="15.75" customHeight="1" x14ac:dyDescent="0.3">
      <c r="N501" s="3"/>
      <c r="U501" s="3"/>
    </row>
    <row r="502" spans="10:21" ht="15.75" customHeight="1" x14ac:dyDescent="0.3">
      <c r="J502" t="s">
        <v>511</v>
      </c>
      <c r="N502" s="3"/>
      <c r="U502" s="3"/>
    </row>
    <row r="503" spans="10:21" ht="15.75" customHeight="1" x14ac:dyDescent="0.3">
      <c r="J503" t="s">
        <v>512</v>
      </c>
      <c r="K503">
        <v>17600.96</v>
      </c>
      <c r="N503" s="3" t="s">
        <v>250</v>
      </c>
      <c r="U503" s="3"/>
    </row>
    <row r="504" spans="10:21" ht="15.75" customHeight="1" x14ac:dyDescent="0.3">
      <c r="J504" t="s">
        <v>513</v>
      </c>
      <c r="K504">
        <v>58303.44</v>
      </c>
      <c r="N504" s="3" t="s">
        <v>250</v>
      </c>
      <c r="U504" s="3"/>
    </row>
    <row r="505" spans="10:21" ht="15.75" customHeight="1" x14ac:dyDescent="0.3">
      <c r="J505" t="s">
        <v>514</v>
      </c>
      <c r="K505">
        <v>65346.32</v>
      </c>
      <c r="N505" s="3" t="s">
        <v>250</v>
      </c>
      <c r="U505" s="3"/>
    </row>
    <row r="506" spans="10:21" ht="15.75" customHeight="1" x14ac:dyDescent="0.3">
      <c r="J506" t="s">
        <v>515</v>
      </c>
      <c r="K506">
        <v>58303.44</v>
      </c>
      <c r="N506" s="3" t="s">
        <v>250</v>
      </c>
      <c r="U506" s="3"/>
    </row>
    <row r="507" spans="10:21" ht="15.75" customHeight="1" x14ac:dyDescent="0.3">
      <c r="J507" t="s">
        <v>516</v>
      </c>
      <c r="K507">
        <v>66632.800000000003</v>
      </c>
      <c r="N507" s="3" t="s">
        <v>250</v>
      </c>
      <c r="U507" s="3"/>
    </row>
    <row r="508" spans="10:21" ht="15.75" customHeight="1" x14ac:dyDescent="0.3">
      <c r="J508" t="s">
        <v>517</v>
      </c>
      <c r="K508">
        <v>139997.51999999999</v>
      </c>
      <c r="N508" s="3" t="s">
        <v>250</v>
      </c>
      <c r="U508" s="3"/>
    </row>
    <row r="509" spans="10:21" ht="15.75" customHeight="1" x14ac:dyDescent="0.3">
      <c r="J509" t="s">
        <v>518</v>
      </c>
      <c r="K509">
        <v>140585.12</v>
      </c>
      <c r="N509" s="3" t="s">
        <v>250</v>
      </c>
      <c r="U509" s="3"/>
    </row>
    <row r="510" spans="10:21" ht="15.75" customHeight="1" x14ac:dyDescent="0.3">
      <c r="J510" t="s">
        <v>519</v>
      </c>
      <c r="K510">
        <v>225801.68</v>
      </c>
      <c r="N510" s="3" t="s">
        <v>250</v>
      </c>
      <c r="U510" s="3"/>
    </row>
    <row r="511" spans="10:21" ht="15.75" customHeight="1" x14ac:dyDescent="0.3">
      <c r="N511" s="3"/>
      <c r="U511" s="3"/>
    </row>
    <row r="512" spans="10:21" ht="15.75" customHeight="1" x14ac:dyDescent="0.3">
      <c r="J512" t="s">
        <v>520</v>
      </c>
      <c r="N512" s="3"/>
      <c r="U512" s="3"/>
    </row>
    <row r="513" spans="10:21" ht="15.75" customHeight="1" x14ac:dyDescent="0.3">
      <c r="J513" t="s">
        <v>521</v>
      </c>
      <c r="K513">
        <v>39892.32</v>
      </c>
      <c r="N513" s="3" t="s">
        <v>250</v>
      </c>
      <c r="U513" s="3"/>
    </row>
    <row r="514" spans="10:21" ht="15.75" customHeight="1" x14ac:dyDescent="0.3">
      <c r="J514" t="s">
        <v>522</v>
      </c>
      <c r="K514">
        <v>89190.399999999994</v>
      </c>
      <c r="N514" s="3" t="s">
        <v>250</v>
      </c>
      <c r="U514" s="3"/>
    </row>
    <row r="515" spans="10:21" ht="15.75" customHeight="1" x14ac:dyDescent="0.3">
      <c r="J515" t="s">
        <v>523</v>
      </c>
      <c r="K515">
        <v>96209.36</v>
      </c>
      <c r="N515" s="3" t="s">
        <v>250</v>
      </c>
      <c r="U515" s="3"/>
    </row>
    <row r="516" spans="10:21" ht="15.75" customHeight="1" x14ac:dyDescent="0.3">
      <c r="J516" t="s">
        <v>524</v>
      </c>
      <c r="K516">
        <v>89190.399999999994</v>
      </c>
      <c r="N516" s="3" t="s">
        <v>250</v>
      </c>
      <c r="U516" s="3"/>
    </row>
    <row r="517" spans="10:21" ht="15.75" customHeight="1" x14ac:dyDescent="0.3">
      <c r="J517" t="s">
        <v>525</v>
      </c>
      <c r="K517">
        <v>97507.28</v>
      </c>
      <c r="N517" s="3" t="s">
        <v>250</v>
      </c>
      <c r="U517" s="3"/>
    </row>
    <row r="518" spans="10:21" ht="15.75" customHeight="1" x14ac:dyDescent="0.3">
      <c r="J518" t="s">
        <v>526</v>
      </c>
      <c r="K518">
        <v>179619.44</v>
      </c>
      <c r="N518" s="3" t="s">
        <v>250</v>
      </c>
      <c r="U518" s="3"/>
    </row>
    <row r="519" spans="10:21" ht="15.75" customHeight="1" x14ac:dyDescent="0.3">
      <c r="J519" t="s">
        <v>527</v>
      </c>
      <c r="K519">
        <v>200817.76</v>
      </c>
      <c r="N519" s="3" t="s">
        <v>250</v>
      </c>
      <c r="U519" s="3"/>
    </row>
    <row r="520" spans="10:21" ht="15.75" customHeight="1" x14ac:dyDescent="0.3">
      <c r="J520" t="s">
        <v>528</v>
      </c>
      <c r="K520">
        <v>294440.64</v>
      </c>
      <c r="N520" s="3" t="s">
        <v>250</v>
      </c>
      <c r="U520" s="3"/>
    </row>
    <row r="521" spans="10:21" ht="15.75" customHeight="1" x14ac:dyDescent="0.3">
      <c r="N521" s="3"/>
      <c r="U521" s="3"/>
    </row>
    <row r="522" spans="10:21" ht="15.75" customHeight="1" x14ac:dyDescent="0.3">
      <c r="J522" t="s">
        <v>529</v>
      </c>
      <c r="N522" s="3"/>
      <c r="U522" s="3"/>
    </row>
    <row r="523" spans="10:21" ht="15.75" customHeight="1" x14ac:dyDescent="0.3">
      <c r="J523" t="s">
        <v>530</v>
      </c>
      <c r="K523">
        <v>9182.16</v>
      </c>
      <c r="N523" s="3" t="s">
        <v>250</v>
      </c>
      <c r="U523" s="3"/>
    </row>
    <row r="524" spans="10:21" ht="15.75" customHeight="1" x14ac:dyDescent="0.3">
      <c r="J524" t="s">
        <v>531</v>
      </c>
      <c r="K524">
        <v>19682</v>
      </c>
      <c r="N524" s="3" t="s">
        <v>250</v>
      </c>
      <c r="U524" s="3"/>
    </row>
    <row r="525" spans="10:21" ht="15.75" customHeight="1" x14ac:dyDescent="0.3">
      <c r="J525" t="s">
        <v>532</v>
      </c>
      <c r="K525">
        <v>26783</v>
      </c>
      <c r="N525" s="3" t="s">
        <v>250</v>
      </c>
      <c r="U525" s="3"/>
    </row>
    <row r="526" spans="10:21" ht="15.75" customHeight="1" x14ac:dyDescent="0.3">
      <c r="J526" t="s">
        <v>533</v>
      </c>
      <c r="K526">
        <v>28476.240000000002</v>
      </c>
      <c r="N526" s="3" t="s">
        <v>250</v>
      </c>
      <c r="U526" s="3"/>
    </row>
    <row r="527" spans="10:21" ht="15.75" customHeight="1" x14ac:dyDescent="0.3">
      <c r="J527" t="s">
        <v>534</v>
      </c>
      <c r="K527">
        <v>36595</v>
      </c>
      <c r="N527" s="3" t="s">
        <v>250</v>
      </c>
      <c r="U527" s="3"/>
    </row>
    <row r="528" spans="10:21" ht="15.75" customHeight="1" x14ac:dyDescent="0.3">
      <c r="J528" t="s">
        <v>535</v>
      </c>
      <c r="K528">
        <v>90043.199999999997</v>
      </c>
      <c r="N528" s="3" t="s">
        <v>250</v>
      </c>
      <c r="U528" s="3"/>
    </row>
    <row r="529" spans="10:21" ht="15.75" customHeight="1" x14ac:dyDescent="0.3">
      <c r="J529" t="s">
        <v>536</v>
      </c>
      <c r="K529">
        <v>90631.84</v>
      </c>
      <c r="N529" s="3" t="s">
        <v>250</v>
      </c>
      <c r="U529" s="3"/>
    </row>
    <row r="530" spans="10:21" ht="15.75" customHeight="1" x14ac:dyDescent="0.3">
      <c r="J530" t="s">
        <v>537</v>
      </c>
      <c r="K530">
        <v>156224.64000000001</v>
      </c>
      <c r="N530" s="3" t="s">
        <v>250</v>
      </c>
      <c r="U530" s="3"/>
    </row>
    <row r="531" spans="10:21" ht="15.75" customHeight="1" x14ac:dyDescent="0.3">
      <c r="N531" s="3"/>
      <c r="U531" s="3"/>
    </row>
    <row r="532" spans="10:21" ht="15.75" customHeight="1" x14ac:dyDescent="0.3">
      <c r="J532" t="s">
        <v>538</v>
      </c>
      <c r="N532" s="3"/>
      <c r="U532" s="3"/>
    </row>
    <row r="533" spans="10:21" ht="15.75" customHeight="1" x14ac:dyDescent="0.3">
      <c r="J533" t="s">
        <v>539</v>
      </c>
      <c r="K533">
        <v>305</v>
      </c>
      <c r="N533" s="3" t="s">
        <v>250</v>
      </c>
      <c r="U533" s="3"/>
    </row>
    <row r="534" spans="10:21" ht="15.75" customHeight="1" x14ac:dyDescent="0.3">
      <c r="J534" t="s">
        <v>540</v>
      </c>
      <c r="K534">
        <v>4861</v>
      </c>
      <c r="N534" s="3" t="s">
        <v>250</v>
      </c>
      <c r="U534" s="3"/>
    </row>
    <row r="535" spans="10:21" ht="15.75" customHeight="1" x14ac:dyDescent="0.3">
      <c r="J535" t="s">
        <v>541</v>
      </c>
      <c r="K535">
        <v>5506</v>
      </c>
      <c r="N535" s="3" t="s">
        <v>250</v>
      </c>
      <c r="U535" s="3"/>
    </row>
    <row r="536" spans="10:21" ht="15.75" customHeight="1" x14ac:dyDescent="0.3">
      <c r="N536" s="3"/>
      <c r="U536" s="3"/>
    </row>
    <row r="537" spans="10:21" ht="15.75" customHeight="1" x14ac:dyDescent="0.3">
      <c r="J537" t="s">
        <v>542</v>
      </c>
      <c r="N537" s="3"/>
      <c r="U537" s="3"/>
    </row>
    <row r="538" spans="10:21" ht="15.75" customHeight="1" x14ac:dyDescent="0.3">
      <c r="J538" t="s">
        <v>543</v>
      </c>
      <c r="K538">
        <v>9429</v>
      </c>
      <c r="N538" s="3" t="s">
        <v>250</v>
      </c>
      <c r="U538" s="3"/>
    </row>
    <row r="539" spans="10:21" ht="15.75" customHeight="1" x14ac:dyDescent="0.3">
      <c r="J539" t="s">
        <v>544</v>
      </c>
      <c r="K539">
        <v>11510</v>
      </c>
      <c r="N539" s="3" t="s">
        <v>250</v>
      </c>
      <c r="U539" s="3"/>
    </row>
    <row r="540" spans="10:21" ht="15.75" customHeight="1" x14ac:dyDescent="0.3">
      <c r="J540" t="s">
        <v>545</v>
      </c>
      <c r="K540">
        <v>9429</v>
      </c>
      <c r="N540" s="3" t="s">
        <v>250</v>
      </c>
      <c r="U540" s="3"/>
    </row>
    <row r="541" spans="10:21" ht="15.75" customHeight="1" x14ac:dyDescent="0.3">
      <c r="J541" t="s">
        <v>546</v>
      </c>
      <c r="K541">
        <v>11427.52</v>
      </c>
      <c r="N541" s="3" t="s">
        <v>250</v>
      </c>
      <c r="U541" s="3"/>
    </row>
    <row r="542" spans="10:21" ht="15.75" customHeight="1" x14ac:dyDescent="0.3">
      <c r="J542" t="s">
        <v>547</v>
      </c>
      <c r="K542">
        <v>11427.52</v>
      </c>
      <c r="N542" s="3" t="s">
        <v>250</v>
      </c>
      <c r="U542" s="3"/>
    </row>
    <row r="543" spans="10:21" ht="15.75" customHeight="1" x14ac:dyDescent="0.3">
      <c r="J543" t="s">
        <v>548</v>
      </c>
      <c r="K543">
        <v>11675.04</v>
      </c>
      <c r="N543" s="3" t="s">
        <v>250</v>
      </c>
      <c r="U543" s="3"/>
    </row>
    <row r="544" spans="10:21" ht="15.75" customHeight="1" x14ac:dyDescent="0.3">
      <c r="J544" t="s">
        <v>549</v>
      </c>
      <c r="K544">
        <v>22315.279999999999</v>
      </c>
      <c r="N544" s="3" t="s">
        <v>250</v>
      </c>
      <c r="U544" s="3"/>
    </row>
    <row r="545" spans="10:21" ht="15.75" customHeight="1" x14ac:dyDescent="0.3">
      <c r="J545" t="s">
        <v>550</v>
      </c>
      <c r="K545">
        <v>27829.360000000001</v>
      </c>
      <c r="N545" s="3" t="s">
        <v>250</v>
      </c>
      <c r="U545" s="3"/>
    </row>
    <row r="546" spans="10:21" ht="15.75" customHeight="1" x14ac:dyDescent="0.3">
      <c r="J546" t="s">
        <v>551</v>
      </c>
      <c r="K546">
        <v>34978</v>
      </c>
      <c r="N546" s="3" t="s">
        <v>250</v>
      </c>
      <c r="U546" s="3"/>
    </row>
    <row r="547" spans="10:21" ht="15.75" customHeight="1" x14ac:dyDescent="0.3">
      <c r="J547" t="s">
        <v>552</v>
      </c>
      <c r="K547">
        <v>26442</v>
      </c>
      <c r="N547" s="3" t="s">
        <v>250</v>
      </c>
      <c r="U547" s="3"/>
    </row>
    <row r="548" spans="10:21" ht="15.75" customHeight="1" x14ac:dyDescent="0.3">
      <c r="J548" t="s">
        <v>553</v>
      </c>
      <c r="K548">
        <v>28746.639999999999</v>
      </c>
      <c r="N548" s="3" t="s">
        <v>250</v>
      </c>
      <c r="U548" s="3"/>
    </row>
    <row r="549" spans="10:21" ht="15.75" customHeight="1" x14ac:dyDescent="0.3">
      <c r="J549" t="s">
        <v>554</v>
      </c>
      <c r="K549">
        <v>36936</v>
      </c>
      <c r="N549" s="3" t="s">
        <v>250</v>
      </c>
      <c r="U549" s="3"/>
    </row>
    <row r="550" spans="10:21" ht="15.75" customHeight="1" x14ac:dyDescent="0.3">
      <c r="J550" t="s">
        <v>555</v>
      </c>
      <c r="K550">
        <v>85563.92</v>
      </c>
      <c r="N550" s="3" t="s">
        <v>250</v>
      </c>
      <c r="U550" s="3"/>
    </row>
    <row r="551" spans="10:21" ht="15.75" customHeight="1" x14ac:dyDescent="0.3">
      <c r="J551" t="s">
        <v>556</v>
      </c>
      <c r="K551">
        <v>86328.320000000007</v>
      </c>
      <c r="N551" s="3" t="s">
        <v>250</v>
      </c>
      <c r="U551" s="3"/>
    </row>
    <row r="552" spans="10:21" ht="15.75" customHeight="1" x14ac:dyDescent="0.3">
      <c r="J552" t="s">
        <v>557</v>
      </c>
      <c r="K552">
        <v>149852.56</v>
      </c>
      <c r="N552" s="3" t="s">
        <v>250</v>
      </c>
      <c r="U552" s="3"/>
    </row>
    <row r="553" spans="10:21" ht="15.75" customHeight="1" x14ac:dyDescent="0.3">
      <c r="N553" s="3"/>
      <c r="U553" s="3"/>
    </row>
    <row r="554" spans="10:21" ht="15.75" customHeight="1" x14ac:dyDescent="0.3">
      <c r="J554" t="s">
        <v>542</v>
      </c>
      <c r="N554" s="3"/>
      <c r="U554" s="3"/>
    </row>
    <row r="555" spans="10:21" ht="15.75" customHeight="1" x14ac:dyDescent="0.3">
      <c r="J555" t="s">
        <v>558</v>
      </c>
      <c r="K555">
        <v>6030.96</v>
      </c>
      <c r="N555" s="3" t="s">
        <v>250</v>
      </c>
      <c r="U555" s="3"/>
    </row>
    <row r="556" spans="10:21" ht="15.75" customHeight="1" x14ac:dyDescent="0.3">
      <c r="J556" t="s">
        <v>559</v>
      </c>
      <c r="K556">
        <v>6030.96</v>
      </c>
      <c r="N556" s="3" t="s">
        <v>250</v>
      </c>
      <c r="U556" s="3"/>
    </row>
    <row r="557" spans="10:21" ht="15.75" customHeight="1" x14ac:dyDescent="0.3">
      <c r="J557" t="s">
        <v>560</v>
      </c>
      <c r="K557">
        <v>8642</v>
      </c>
      <c r="N557" s="3" t="s">
        <v>250</v>
      </c>
      <c r="U557" s="3"/>
    </row>
    <row r="558" spans="10:21" ht="15.75" customHeight="1" x14ac:dyDescent="0.3">
      <c r="J558" t="s">
        <v>561</v>
      </c>
      <c r="K558">
        <v>10723</v>
      </c>
      <c r="N558" s="3" t="s">
        <v>250</v>
      </c>
      <c r="U558" s="3"/>
    </row>
    <row r="559" spans="10:21" ht="15.75" customHeight="1" x14ac:dyDescent="0.3">
      <c r="J559" t="s">
        <v>562</v>
      </c>
      <c r="K559">
        <v>6030.96</v>
      </c>
      <c r="N559" s="3" t="s">
        <v>250</v>
      </c>
      <c r="U559" s="3"/>
    </row>
    <row r="560" spans="10:21" ht="15.75" customHeight="1" x14ac:dyDescent="0.3">
      <c r="J560" t="s">
        <v>563</v>
      </c>
      <c r="K560">
        <v>8642</v>
      </c>
      <c r="N560" s="3" t="s">
        <v>250</v>
      </c>
      <c r="U560" s="3"/>
    </row>
    <row r="561" spans="10:21" ht="15.75" customHeight="1" x14ac:dyDescent="0.3">
      <c r="J561" t="s">
        <v>564</v>
      </c>
      <c r="K561">
        <v>10640.24</v>
      </c>
      <c r="N561" s="3" t="s">
        <v>250</v>
      </c>
      <c r="U561" s="3"/>
    </row>
    <row r="562" spans="10:21" ht="15.75" customHeight="1" x14ac:dyDescent="0.3">
      <c r="J562" t="s">
        <v>565</v>
      </c>
      <c r="K562">
        <v>10640.24</v>
      </c>
      <c r="N562" s="3" t="s">
        <v>250</v>
      </c>
      <c r="U562" s="3"/>
    </row>
    <row r="563" spans="10:21" ht="15.75" customHeight="1" x14ac:dyDescent="0.3">
      <c r="J563" t="s">
        <v>566</v>
      </c>
      <c r="K563">
        <v>10886.72</v>
      </c>
      <c r="N563" s="3" t="s">
        <v>250</v>
      </c>
      <c r="U563" s="3"/>
    </row>
    <row r="564" spans="10:21" ht="15.75" customHeight="1" x14ac:dyDescent="0.3">
      <c r="J564" t="s">
        <v>567</v>
      </c>
      <c r="K564">
        <v>20939.36</v>
      </c>
      <c r="N564" s="3" t="s">
        <v>250</v>
      </c>
      <c r="U564" s="3"/>
    </row>
    <row r="565" spans="10:21" ht="15.75" customHeight="1" x14ac:dyDescent="0.3">
      <c r="J565" t="s">
        <v>568</v>
      </c>
      <c r="K565">
        <v>26453.439999999999</v>
      </c>
      <c r="N565" s="3" t="s">
        <v>250</v>
      </c>
      <c r="U565" s="3"/>
    </row>
    <row r="566" spans="10:21" ht="15.75" customHeight="1" x14ac:dyDescent="0.3">
      <c r="J566" t="s">
        <v>569</v>
      </c>
      <c r="K566">
        <v>33602</v>
      </c>
      <c r="N566" s="3" t="s">
        <v>250</v>
      </c>
      <c r="U566" s="3"/>
    </row>
    <row r="567" spans="10:21" ht="15.75" customHeight="1" x14ac:dyDescent="0.3">
      <c r="J567" t="s">
        <v>570</v>
      </c>
      <c r="K567">
        <v>25066.080000000002</v>
      </c>
      <c r="N567" s="3" t="s">
        <v>250</v>
      </c>
      <c r="U567" s="3"/>
    </row>
    <row r="568" spans="10:21" ht="15.75" customHeight="1" x14ac:dyDescent="0.3">
      <c r="J568" t="s">
        <v>571</v>
      </c>
      <c r="K568">
        <v>27370.720000000001</v>
      </c>
      <c r="N568" s="3" t="s">
        <v>250</v>
      </c>
      <c r="U568" s="3"/>
    </row>
    <row r="569" spans="10:21" ht="15.75" customHeight="1" x14ac:dyDescent="0.3">
      <c r="J569" t="s">
        <v>572</v>
      </c>
      <c r="K569">
        <v>35561</v>
      </c>
      <c r="N569" s="3" t="s">
        <v>250</v>
      </c>
      <c r="U569" s="3"/>
    </row>
    <row r="570" spans="10:21" ht="15.75" customHeight="1" x14ac:dyDescent="0.3">
      <c r="J570" t="s">
        <v>573</v>
      </c>
      <c r="K570">
        <v>82413.759999999995</v>
      </c>
      <c r="N570" s="3" t="s">
        <v>250</v>
      </c>
      <c r="U570" s="3"/>
    </row>
    <row r="571" spans="10:21" ht="15.75" customHeight="1" x14ac:dyDescent="0.3">
      <c r="J571" t="s">
        <v>574</v>
      </c>
      <c r="K571">
        <v>83177.119999999995</v>
      </c>
      <c r="N571" s="3" t="s">
        <v>250</v>
      </c>
      <c r="U571" s="3"/>
    </row>
    <row r="572" spans="10:21" ht="15.75" customHeight="1" x14ac:dyDescent="0.3">
      <c r="J572" t="s">
        <v>575</v>
      </c>
      <c r="K572">
        <v>146701.35999999999</v>
      </c>
      <c r="N572" s="3" t="s">
        <v>250</v>
      </c>
      <c r="U572" s="3"/>
    </row>
    <row r="573" spans="10:21" ht="15.75" customHeight="1" x14ac:dyDescent="0.3">
      <c r="N573" s="3"/>
      <c r="U573" s="3"/>
    </row>
    <row r="574" spans="10:21" ht="15.75" customHeight="1" x14ac:dyDescent="0.3">
      <c r="J574" t="s">
        <v>576</v>
      </c>
      <c r="N574" s="3"/>
      <c r="U574" s="3"/>
    </row>
    <row r="575" spans="10:21" ht="15.75" customHeight="1" x14ac:dyDescent="0.3">
      <c r="J575" t="s">
        <v>577</v>
      </c>
      <c r="K575">
        <v>19893.12</v>
      </c>
      <c r="N575" s="3" t="s">
        <v>250</v>
      </c>
      <c r="U575" s="3"/>
    </row>
    <row r="576" spans="10:21" ht="15.75" customHeight="1" x14ac:dyDescent="0.3">
      <c r="J576" t="s">
        <v>578</v>
      </c>
      <c r="K576">
        <v>19810.96</v>
      </c>
      <c r="N576" s="3" t="s">
        <v>250</v>
      </c>
      <c r="U576" s="3"/>
    </row>
    <row r="577" spans="10:21" ht="15.75" customHeight="1" x14ac:dyDescent="0.3">
      <c r="J577" t="s">
        <v>579</v>
      </c>
      <c r="K577">
        <v>20058</v>
      </c>
      <c r="N577" s="3" t="s">
        <v>250</v>
      </c>
      <c r="U577" s="3"/>
    </row>
    <row r="578" spans="10:21" ht="15.75" customHeight="1" x14ac:dyDescent="0.3">
      <c r="J578" t="s">
        <v>580</v>
      </c>
      <c r="K578">
        <v>35694.879999999997</v>
      </c>
      <c r="N578" s="3" t="s">
        <v>250</v>
      </c>
      <c r="U578" s="3"/>
    </row>
    <row r="579" spans="10:21" ht="15.75" customHeight="1" x14ac:dyDescent="0.3">
      <c r="J579" t="s">
        <v>581</v>
      </c>
      <c r="K579">
        <v>42843</v>
      </c>
      <c r="N579" s="3" t="s">
        <v>250</v>
      </c>
      <c r="U579" s="3"/>
    </row>
    <row r="580" spans="10:21" ht="15.75" customHeight="1" x14ac:dyDescent="0.3">
      <c r="J580" t="s">
        <v>582</v>
      </c>
      <c r="K580">
        <v>36612.160000000003</v>
      </c>
      <c r="N580" s="3" t="s">
        <v>250</v>
      </c>
      <c r="U580" s="3"/>
    </row>
    <row r="581" spans="10:21" ht="15.75" customHeight="1" x14ac:dyDescent="0.3">
      <c r="J581" t="s">
        <v>583</v>
      </c>
      <c r="K581">
        <v>44802</v>
      </c>
      <c r="N581" s="3" t="s">
        <v>250</v>
      </c>
      <c r="U581" s="3"/>
    </row>
    <row r="582" spans="10:21" ht="15.75" customHeight="1" x14ac:dyDescent="0.3">
      <c r="J582" t="s">
        <v>584</v>
      </c>
      <c r="K582">
        <v>102259.04</v>
      </c>
      <c r="N582" s="3" t="s">
        <v>250</v>
      </c>
      <c r="U582" s="3"/>
    </row>
    <row r="583" spans="10:21" ht="15.75" customHeight="1" x14ac:dyDescent="0.3">
      <c r="J583" t="s">
        <v>585</v>
      </c>
      <c r="K583">
        <v>103023.44</v>
      </c>
      <c r="N583" s="3" t="s">
        <v>250</v>
      </c>
      <c r="U583" s="3"/>
    </row>
    <row r="584" spans="10:21" ht="15.75" customHeight="1" x14ac:dyDescent="0.3">
      <c r="J584" t="s">
        <v>586</v>
      </c>
      <c r="K584">
        <v>166547.68</v>
      </c>
      <c r="N584" s="3" t="s">
        <v>250</v>
      </c>
      <c r="U584" s="3"/>
    </row>
    <row r="585" spans="10:21" ht="15.75" customHeight="1" x14ac:dyDescent="0.3">
      <c r="N585" s="3"/>
      <c r="U585" s="3"/>
    </row>
    <row r="586" spans="10:21" ht="15.75" customHeight="1" x14ac:dyDescent="0.3">
      <c r="J586" t="s">
        <v>587</v>
      </c>
      <c r="N586" s="3"/>
      <c r="U586" s="3"/>
    </row>
    <row r="587" spans="10:21" ht="15.75" customHeight="1" x14ac:dyDescent="0.3">
      <c r="J587" t="s">
        <v>588</v>
      </c>
      <c r="K587">
        <v>15754.96</v>
      </c>
      <c r="N587" s="3" t="s">
        <v>250</v>
      </c>
      <c r="U587" s="3"/>
    </row>
    <row r="588" spans="10:21" ht="15.75" customHeight="1" x14ac:dyDescent="0.3">
      <c r="N588" s="3"/>
      <c r="U588" s="3"/>
    </row>
    <row r="589" spans="10:21" ht="15.75" customHeight="1" x14ac:dyDescent="0.3">
      <c r="J589" t="s">
        <v>589</v>
      </c>
      <c r="N589" s="3"/>
      <c r="U589" s="3"/>
    </row>
    <row r="590" spans="10:21" ht="15.75" customHeight="1" x14ac:dyDescent="0.3">
      <c r="J590" t="s">
        <v>590</v>
      </c>
      <c r="K590">
        <v>7641.92</v>
      </c>
      <c r="N590" s="3" t="s">
        <v>250</v>
      </c>
      <c r="U590" s="3"/>
    </row>
    <row r="591" spans="10:21" ht="15.75" customHeight="1" x14ac:dyDescent="0.3">
      <c r="J591" t="s">
        <v>591</v>
      </c>
      <c r="K591">
        <v>9476.48</v>
      </c>
      <c r="N591" s="3" t="s">
        <v>250</v>
      </c>
      <c r="U591" s="3"/>
    </row>
    <row r="592" spans="10:21" ht="15.75" customHeight="1" x14ac:dyDescent="0.3">
      <c r="J592" t="s">
        <v>592</v>
      </c>
      <c r="K592">
        <v>10088</v>
      </c>
      <c r="N592" s="3" t="s">
        <v>250</v>
      </c>
      <c r="U592" s="3"/>
    </row>
    <row r="593" spans="10:21" ht="15.75" customHeight="1" x14ac:dyDescent="0.3">
      <c r="N593" s="3"/>
      <c r="U593" s="3"/>
    </row>
    <row r="594" spans="10:21" ht="15.75" customHeight="1" x14ac:dyDescent="0.3">
      <c r="J594" t="s">
        <v>593</v>
      </c>
      <c r="N594" s="3"/>
      <c r="U594" s="3"/>
    </row>
    <row r="595" spans="10:21" ht="15.75" customHeight="1" x14ac:dyDescent="0.3">
      <c r="J595" t="s">
        <v>594</v>
      </c>
      <c r="K595">
        <v>19270.16</v>
      </c>
      <c r="N595" s="3" t="s">
        <v>250</v>
      </c>
      <c r="U595" s="3"/>
    </row>
    <row r="596" spans="10:21" ht="15.75" customHeight="1" x14ac:dyDescent="0.3">
      <c r="J596" t="s">
        <v>595</v>
      </c>
      <c r="K596">
        <v>21339.759999999998</v>
      </c>
      <c r="N596" s="3" t="s">
        <v>250</v>
      </c>
      <c r="U596" s="3"/>
    </row>
    <row r="597" spans="10:21" ht="15.75" customHeight="1" x14ac:dyDescent="0.3">
      <c r="J597" t="s">
        <v>596</v>
      </c>
      <c r="K597">
        <v>28476</v>
      </c>
      <c r="N597" s="3" t="s">
        <v>250</v>
      </c>
      <c r="U597" s="3"/>
    </row>
    <row r="598" spans="10:21" ht="15.75" customHeight="1" x14ac:dyDescent="0.3">
      <c r="J598" t="s">
        <v>597</v>
      </c>
      <c r="K598">
        <v>26195.52</v>
      </c>
      <c r="N598" s="3" t="s">
        <v>250</v>
      </c>
      <c r="U598" s="3"/>
    </row>
    <row r="599" spans="10:21" ht="15.75" customHeight="1" x14ac:dyDescent="0.3">
      <c r="J599" t="s">
        <v>598</v>
      </c>
      <c r="K599">
        <v>34594</v>
      </c>
      <c r="N599" s="3" t="s">
        <v>250</v>
      </c>
      <c r="U599" s="3"/>
    </row>
    <row r="600" spans="10:21" ht="15.75" customHeight="1" x14ac:dyDescent="0.3">
      <c r="J600" t="s">
        <v>599</v>
      </c>
      <c r="K600">
        <v>52770.64</v>
      </c>
      <c r="N600" s="3" t="s">
        <v>250</v>
      </c>
      <c r="U600" s="3"/>
    </row>
    <row r="601" spans="10:21" ht="15.75" customHeight="1" x14ac:dyDescent="0.3">
      <c r="J601" t="s">
        <v>600</v>
      </c>
      <c r="K601">
        <v>53370.720000000001</v>
      </c>
      <c r="N601" s="3" t="s">
        <v>250</v>
      </c>
      <c r="U601" s="3"/>
    </row>
    <row r="602" spans="10:21" ht="15.75" customHeight="1" x14ac:dyDescent="0.3">
      <c r="J602" t="s">
        <v>601</v>
      </c>
      <c r="K602">
        <v>94333.2</v>
      </c>
      <c r="N602" s="3" t="s">
        <v>250</v>
      </c>
      <c r="U602" s="3"/>
    </row>
    <row r="603" spans="10:21" ht="15.75" customHeight="1" x14ac:dyDescent="0.3">
      <c r="N603" s="3"/>
      <c r="U603" s="3"/>
    </row>
    <row r="604" spans="10:21" ht="15.75" customHeight="1" x14ac:dyDescent="0.3">
      <c r="J604" t="s">
        <v>602</v>
      </c>
      <c r="N604" s="3"/>
      <c r="U604" s="3"/>
    </row>
    <row r="605" spans="10:21" ht="15.75" customHeight="1" x14ac:dyDescent="0.3">
      <c r="J605" t="s">
        <v>603</v>
      </c>
      <c r="K605">
        <v>21550.880000000001</v>
      </c>
      <c r="N605" s="3" t="s">
        <v>250</v>
      </c>
      <c r="U605" s="3"/>
    </row>
    <row r="606" spans="10:21" ht="15.75" customHeight="1" x14ac:dyDescent="0.3">
      <c r="J606" t="s">
        <v>604</v>
      </c>
      <c r="K606">
        <v>23913.759999999998</v>
      </c>
      <c r="N606" s="3" t="s">
        <v>250</v>
      </c>
      <c r="U606" s="3"/>
    </row>
    <row r="607" spans="10:21" ht="15.75" customHeight="1" x14ac:dyDescent="0.3">
      <c r="J607" t="s">
        <v>605</v>
      </c>
      <c r="K607">
        <v>31038.799999999999</v>
      </c>
      <c r="N607" s="3" t="s">
        <v>250</v>
      </c>
      <c r="U607" s="3"/>
    </row>
    <row r="608" spans="10:21" ht="15.75" customHeight="1" x14ac:dyDescent="0.3">
      <c r="J608" t="s">
        <v>606</v>
      </c>
      <c r="K608">
        <v>32379.360000000001</v>
      </c>
      <c r="N608" s="3" t="s">
        <v>250</v>
      </c>
      <c r="U608" s="3"/>
    </row>
    <row r="609" spans="10:21" ht="15.75" customHeight="1" x14ac:dyDescent="0.3">
      <c r="J609" t="s">
        <v>607</v>
      </c>
      <c r="K609">
        <v>40802.32</v>
      </c>
      <c r="N609" s="3" t="s">
        <v>250</v>
      </c>
      <c r="U609" s="3"/>
    </row>
    <row r="610" spans="10:21" ht="15.75" customHeight="1" x14ac:dyDescent="0.3">
      <c r="J610" t="s">
        <v>608</v>
      </c>
      <c r="K610">
        <v>63904.88</v>
      </c>
      <c r="N610" s="3" t="s">
        <v>250</v>
      </c>
      <c r="U610" s="3"/>
    </row>
    <row r="611" spans="10:21" ht="15.75" customHeight="1" x14ac:dyDescent="0.3">
      <c r="J611" t="s">
        <v>609</v>
      </c>
      <c r="K611">
        <v>64504.959999999999</v>
      </c>
      <c r="N611" s="3" t="s">
        <v>250</v>
      </c>
      <c r="U611" s="3"/>
    </row>
    <row r="612" spans="10:21" ht="15.75" customHeight="1" x14ac:dyDescent="0.3">
      <c r="J612" t="s">
        <v>610</v>
      </c>
      <c r="K612">
        <v>114661.04</v>
      </c>
      <c r="N612" s="3" t="s">
        <v>250</v>
      </c>
      <c r="U612" s="3"/>
    </row>
    <row r="613" spans="10:21" ht="15.75" customHeight="1" x14ac:dyDescent="0.3">
      <c r="N613" s="3"/>
      <c r="U613" s="3"/>
    </row>
    <row r="614" spans="10:21" ht="15.75" customHeight="1" x14ac:dyDescent="0.3">
      <c r="J614" t="s">
        <v>611</v>
      </c>
      <c r="N614" s="3"/>
      <c r="U614" s="3"/>
    </row>
    <row r="615" spans="10:21" ht="15.75" customHeight="1" x14ac:dyDescent="0.3">
      <c r="J615" t="s">
        <v>612</v>
      </c>
      <c r="K615">
        <v>47687.12</v>
      </c>
      <c r="N615" s="3" t="s">
        <v>250</v>
      </c>
      <c r="U615" s="3"/>
    </row>
    <row r="616" spans="10:21" ht="15.75" customHeight="1" x14ac:dyDescent="0.3">
      <c r="J616" t="s">
        <v>613</v>
      </c>
      <c r="K616">
        <v>48897.68</v>
      </c>
      <c r="N616" s="3" t="s">
        <v>250</v>
      </c>
      <c r="U616" s="3"/>
    </row>
    <row r="617" spans="10:21" ht="15.75" customHeight="1" x14ac:dyDescent="0.3">
      <c r="J617" t="s">
        <v>614</v>
      </c>
      <c r="K617">
        <v>55999.839999999997</v>
      </c>
      <c r="N617" s="3" t="s">
        <v>250</v>
      </c>
      <c r="U617" s="3"/>
    </row>
    <row r="618" spans="10:21" ht="15.75" customHeight="1" x14ac:dyDescent="0.3">
      <c r="J618" t="s">
        <v>615</v>
      </c>
      <c r="K618">
        <v>50262.16</v>
      </c>
      <c r="N618" s="3" t="s">
        <v>250</v>
      </c>
      <c r="U618" s="3"/>
    </row>
    <row r="619" spans="10:21" ht="15.75" customHeight="1" x14ac:dyDescent="0.3">
      <c r="J619" t="s">
        <v>616</v>
      </c>
      <c r="K619">
        <v>58638.32</v>
      </c>
      <c r="N619" s="3" t="s">
        <v>250</v>
      </c>
      <c r="U619" s="3"/>
    </row>
    <row r="620" spans="10:21" ht="15.75" customHeight="1" x14ac:dyDescent="0.3">
      <c r="J620" t="s">
        <v>617</v>
      </c>
      <c r="K620">
        <v>85432.88</v>
      </c>
      <c r="N620" s="3" t="s">
        <v>250</v>
      </c>
      <c r="U620" s="3"/>
    </row>
    <row r="621" spans="10:21" ht="15.75" customHeight="1" x14ac:dyDescent="0.3">
      <c r="J621" t="s">
        <v>618</v>
      </c>
      <c r="K621">
        <v>86009.04</v>
      </c>
      <c r="N621" s="3" t="s">
        <v>250</v>
      </c>
      <c r="U621" s="3"/>
    </row>
    <row r="622" spans="10:21" ht="15.75" customHeight="1" x14ac:dyDescent="0.3">
      <c r="J622" t="s">
        <v>619</v>
      </c>
      <c r="K622">
        <v>135717.92000000001</v>
      </c>
      <c r="N622" s="3" t="s">
        <v>250</v>
      </c>
      <c r="U622" s="3"/>
    </row>
    <row r="623" spans="10:21" ht="15.75" customHeight="1" x14ac:dyDescent="0.3">
      <c r="J623" t="s">
        <v>249</v>
      </c>
      <c r="K623">
        <v>3000</v>
      </c>
      <c r="N623" s="3" t="s">
        <v>250</v>
      </c>
      <c r="U623" s="3"/>
    </row>
    <row r="624" spans="10:21" ht="15.75" customHeight="1" x14ac:dyDescent="0.3">
      <c r="N624" s="3"/>
      <c r="U624" s="3"/>
    </row>
    <row r="625" spans="10:21" ht="15.75" customHeight="1" x14ac:dyDescent="0.3">
      <c r="J625" t="s">
        <v>620</v>
      </c>
      <c r="N625" s="3" t="s">
        <v>621</v>
      </c>
      <c r="U625" s="3"/>
    </row>
    <row r="626" spans="10:21" ht="15.75" customHeight="1" x14ac:dyDescent="0.3">
      <c r="J626" t="s">
        <v>622</v>
      </c>
      <c r="K626">
        <v>940</v>
      </c>
      <c r="N626" s="3" t="s">
        <v>621</v>
      </c>
      <c r="U626" s="3"/>
    </row>
    <row r="627" spans="10:21" ht="15.75" customHeight="1" x14ac:dyDescent="0.3">
      <c r="J627" t="s">
        <v>623</v>
      </c>
      <c r="K627">
        <v>1885</v>
      </c>
      <c r="N627" s="3" t="s">
        <v>621</v>
      </c>
      <c r="U627" s="3"/>
    </row>
    <row r="628" spans="10:21" ht="15.75" customHeight="1" x14ac:dyDescent="0.3">
      <c r="J628" t="s">
        <v>624</v>
      </c>
      <c r="K628">
        <v>3740</v>
      </c>
      <c r="N628" s="3" t="s">
        <v>621</v>
      </c>
      <c r="U628" s="3"/>
    </row>
    <row r="629" spans="10:21" ht="15.75" customHeight="1" x14ac:dyDescent="0.3">
      <c r="N629" s="3"/>
      <c r="U629" s="3"/>
    </row>
    <row r="630" spans="10:21" ht="15.75" customHeight="1" x14ac:dyDescent="0.3">
      <c r="N630" s="3"/>
      <c r="U630" s="3"/>
    </row>
    <row r="631" spans="10:21" ht="15.75" customHeight="1" x14ac:dyDescent="0.3">
      <c r="N631" s="3"/>
      <c r="U631" s="3"/>
    </row>
    <row r="632" spans="10:21" ht="15.75" customHeight="1" x14ac:dyDescent="0.3">
      <c r="N632" s="3"/>
      <c r="U632" s="3"/>
    </row>
    <row r="633" spans="10:21" ht="15.75" customHeight="1" x14ac:dyDescent="0.3">
      <c r="N633" s="3"/>
      <c r="U633" s="3"/>
    </row>
    <row r="634" spans="10:21" ht="15.75" customHeight="1" x14ac:dyDescent="0.3">
      <c r="N634" s="3"/>
      <c r="U634" s="3"/>
    </row>
    <row r="635" spans="10:21" ht="15.75" customHeight="1" x14ac:dyDescent="0.3">
      <c r="N635" s="3"/>
      <c r="U635" s="3"/>
    </row>
    <row r="636" spans="10:21" ht="15.75" customHeight="1" x14ac:dyDescent="0.3">
      <c r="N636" s="3"/>
      <c r="U636" s="3"/>
    </row>
    <row r="637" spans="10:21" ht="15.75" customHeight="1" x14ac:dyDescent="0.3">
      <c r="N637" s="3"/>
      <c r="U637" s="3"/>
    </row>
    <row r="638" spans="10:21" ht="15.75" customHeight="1" x14ac:dyDescent="0.3">
      <c r="N638" s="3"/>
      <c r="U638" s="3"/>
    </row>
    <row r="639" spans="10:21" ht="15.75" customHeight="1" x14ac:dyDescent="0.3">
      <c r="N639" s="3"/>
      <c r="U639" s="3"/>
    </row>
    <row r="640" spans="10:21" ht="15.75" customHeight="1" x14ac:dyDescent="0.3">
      <c r="N640" s="3"/>
      <c r="U640" s="3"/>
    </row>
    <row r="641" spans="14:21" ht="15.75" customHeight="1" x14ac:dyDescent="0.3">
      <c r="N641" s="3"/>
      <c r="U641" s="3"/>
    </row>
    <row r="642" spans="14:21" ht="15.75" customHeight="1" x14ac:dyDescent="0.3">
      <c r="N642" s="3"/>
      <c r="U642" s="3"/>
    </row>
    <row r="643" spans="14:21" ht="15.75" customHeight="1" x14ac:dyDescent="0.3">
      <c r="N643" s="3"/>
      <c r="U643" s="3"/>
    </row>
    <row r="644" spans="14:21" ht="15.75" customHeight="1" x14ac:dyDescent="0.3">
      <c r="N644" s="3"/>
      <c r="U644" s="3"/>
    </row>
    <row r="645" spans="14:21" ht="15.75" customHeight="1" x14ac:dyDescent="0.3">
      <c r="N645" s="3"/>
      <c r="U645" s="3"/>
    </row>
    <row r="646" spans="14:21" ht="15.75" customHeight="1" x14ac:dyDescent="0.3">
      <c r="N646" s="3"/>
      <c r="U646" s="3"/>
    </row>
    <row r="647" spans="14:21" ht="15.75" customHeight="1" x14ac:dyDescent="0.3">
      <c r="N647" s="3"/>
      <c r="U647" s="3"/>
    </row>
    <row r="648" spans="14:21" ht="15.75" customHeight="1" x14ac:dyDescent="0.3">
      <c r="N648" s="3"/>
      <c r="U648" s="3"/>
    </row>
    <row r="649" spans="14:21" ht="15.75" customHeight="1" x14ac:dyDescent="0.3">
      <c r="N649" s="3"/>
      <c r="U649" s="3"/>
    </row>
    <row r="650" spans="14:21" ht="15.75" customHeight="1" x14ac:dyDescent="0.3">
      <c r="N650" s="3"/>
      <c r="U650" s="3"/>
    </row>
    <row r="651" spans="14:21" ht="15.75" customHeight="1" x14ac:dyDescent="0.3">
      <c r="N651" s="3"/>
      <c r="U651" s="3"/>
    </row>
    <row r="652" spans="14:21" ht="15.75" customHeight="1" x14ac:dyDescent="0.3">
      <c r="N652" s="3"/>
      <c r="U652" s="3"/>
    </row>
    <row r="653" spans="14:21" ht="15.75" customHeight="1" x14ac:dyDescent="0.3">
      <c r="N653" s="3"/>
      <c r="U653" s="3"/>
    </row>
    <row r="654" spans="14:21" ht="15.75" customHeight="1" x14ac:dyDescent="0.3">
      <c r="N654" s="3"/>
      <c r="U654" s="3"/>
    </row>
    <row r="655" spans="14:21" ht="15.75" customHeight="1" x14ac:dyDescent="0.3">
      <c r="N655" s="3"/>
      <c r="U655" s="3"/>
    </row>
    <row r="656" spans="14:21" ht="15.75" customHeight="1" x14ac:dyDescent="0.3">
      <c r="N656" s="3"/>
      <c r="U656" s="3"/>
    </row>
    <row r="657" spans="14:21" ht="15.75" customHeight="1" x14ac:dyDescent="0.3">
      <c r="N657" s="3"/>
      <c r="U657" s="3"/>
    </row>
    <row r="658" spans="14:21" ht="15.75" customHeight="1" x14ac:dyDescent="0.3">
      <c r="N658" s="3"/>
      <c r="U658" s="3"/>
    </row>
    <row r="659" spans="14:21" ht="15.75" customHeight="1" x14ac:dyDescent="0.3">
      <c r="N659" s="3"/>
      <c r="U659" s="3"/>
    </row>
    <row r="660" spans="14:21" ht="15.75" customHeight="1" x14ac:dyDescent="0.3">
      <c r="N660" s="3"/>
      <c r="U660" s="3"/>
    </row>
    <row r="661" spans="14:21" ht="15.75" customHeight="1" x14ac:dyDescent="0.3">
      <c r="N661" s="3"/>
      <c r="U661" s="3"/>
    </row>
    <row r="662" spans="14:21" ht="15.75" customHeight="1" x14ac:dyDescent="0.3">
      <c r="N662" s="3"/>
      <c r="U662" s="3"/>
    </row>
    <row r="663" spans="14:21" ht="15.75" customHeight="1" x14ac:dyDescent="0.3">
      <c r="N663" s="3"/>
      <c r="U663" s="3"/>
    </row>
    <row r="664" spans="14:21" ht="15.75" customHeight="1" x14ac:dyDescent="0.3">
      <c r="N664" s="3"/>
      <c r="U664" s="3"/>
    </row>
    <row r="665" spans="14:21" ht="15.75" customHeight="1" x14ac:dyDescent="0.3">
      <c r="N665" s="3"/>
      <c r="U665" s="3"/>
    </row>
    <row r="666" spans="14:21" ht="15.75" customHeight="1" x14ac:dyDescent="0.3">
      <c r="N666" s="3"/>
      <c r="U666" s="3"/>
    </row>
    <row r="667" spans="14:21" ht="15.75" customHeight="1" x14ac:dyDescent="0.3">
      <c r="N667" s="3"/>
      <c r="U667" s="3"/>
    </row>
    <row r="668" spans="14:21" ht="15.75" customHeight="1" x14ac:dyDescent="0.3">
      <c r="N668" s="3"/>
      <c r="U668" s="3"/>
    </row>
    <row r="669" spans="14:21" ht="15.75" customHeight="1" x14ac:dyDescent="0.3">
      <c r="N669" s="3"/>
      <c r="U669" s="3"/>
    </row>
    <row r="670" spans="14:21" ht="15.75" customHeight="1" x14ac:dyDescent="0.3">
      <c r="N670" s="3"/>
      <c r="U670" s="3"/>
    </row>
    <row r="671" spans="14:21" ht="15.75" customHeight="1" x14ac:dyDescent="0.3">
      <c r="N671" s="3"/>
      <c r="U671" s="3"/>
    </row>
    <row r="672" spans="14:21" ht="15.75" customHeight="1" x14ac:dyDescent="0.3">
      <c r="N672" s="3"/>
      <c r="U672" s="3"/>
    </row>
    <row r="673" spans="14:21" ht="15.75" customHeight="1" x14ac:dyDescent="0.3">
      <c r="N673" s="3"/>
      <c r="U673" s="3"/>
    </row>
    <row r="674" spans="14:21" ht="15.75" customHeight="1" x14ac:dyDescent="0.3">
      <c r="N674" s="3"/>
      <c r="U674" s="3"/>
    </row>
    <row r="675" spans="14:21" ht="15.75" customHeight="1" x14ac:dyDescent="0.3">
      <c r="N675" s="3"/>
      <c r="U675" s="3"/>
    </row>
    <row r="676" spans="14:21" ht="15.75" customHeight="1" x14ac:dyDescent="0.3">
      <c r="N676" s="3"/>
      <c r="U676" s="3"/>
    </row>
    <row r="677" spans="14:21" ht="15.75" customHeight="1" x14ac:dyDescent="0.3">
      <c r="N677" s="3"/>
      <c r="U677" s="3"/>
    </row>
    <row r="678" spans="14:21" ht="15.75" customHeight="1" x14ac:dyDescent="0.3">
      <c r="N678" s="3"/>
      <c r="U678" s="3"/>
    </row>
    <row r="679" spans="14:21" ht="15.75" customHeight="1" x14ac:dyDescent="0.3">
      <c r="N679" s="3"/>
      <c r="U679" s="3"/>
    </row>
    <row r="680" spans="14:21" ht="15.75" customHeight="1" x14ac:dyDescent="0.3">
      <c r="N680" s="3"/>
      <c r="U680" s="3"/>
    </row>
    <row r="681" spans="14:21" ht="15.75" customHeight="1" x14ac:dyDescent="0.3">
      <c r="N681" s="3"/>
      <c r="U681" s="3"/>
    </row>
    <row r="682" spans="14:21" ht="15.75" customHeight="1" x14ac:dyDescent="0.3">
      <c r="N682" s="3"/>
      <c r="U682" s="3"/>
    </row>
    <row r="683" spans="14:21" ht="15.75" customHeight="1" x14ac:dyDescent="0.3">
      <c r="N683" s="3"/>
      <c r="U683" s="3"/>
    </row>
    <row r="684" spans="14:21" ht="15.75" customHeight="1" x14ac:dyDescent="0.3">
      <c r="N684" s="3"/>
      <c r="U684" s="3"/>
    </row>
    <row r="685" spans="14:21" ht="15.75" customHeight="1" x14ac:dyDescent="0.3">
      <c r="N685" s="3"/>
      <c r="U685" s="3"/>
    </row>
    <row r="686" spans="14:21" ht="15.75" customHeight="1" x14ac:dyDescent="0.3">
      <c r="N686" s="3"/>
      <c r="U686" s="3"/>
    </row>
    <row r="687" spans="14:21" ht="15.75" customHeight="1" x14ac:dyDescent="0.3">
      <c r="N687" s="3"/>
      <c r="U687" s="3"/>
    </row>
    <row r="688" spans="14:21" ht="15.75" customHeight="1" x14ac:dyDescent="0.3">
      <c r="N688" s="3"/>
      <c r="U688" s="3"/>
    </row>
    <row r="689" spans="14:21" ht="15.75" customHeight="1" x14ac:dyDescent="0.3">
      <c r="N689" s="3"/>
      <c r="U689" s="3"/>
    </row>
    <row r="690" spans="14:21" ht="15.75" customHeight="1" x14ac:dyDescent="0.3">
      <c r="N690" s="3"/>
      <c r="U690" s="3"/>
    </row>
    <row r="691" spans="14:21" ht="15.75" customHeight="1" x14ac:dyDescent="0.3">
      <c r="N691" s="3"/>
      <c r="U691" s="3"/>
    </row>
    <row r="692" spans="14:21" ht="15.75" customHeight="1" x14ac:dyDescent="0.3">
      <c r="N692" s="3"/>
      <c r="U692" s="3"/>
    </row>
    <row r="693" spans="14:21" ht="15.75" customHeight="1" x14ac:dyDescent="0.3">
      <c r="N693" s="3"/>
      <c r="U693" s="3"/>
    </row>
    <row r="694" spans="14:21" ht="15.75" customHeight="1" x14ac:dyDescent="0.3">
      <c r="N694" s="3"/>
      <c r="U694" s="3"/>
    </row>
    <row r="695" spans="14:21" ht="15.75" customHeight="1" x14ac:dyDescent="0.3">
      <c r="N695" s="3"/>
      <c r="U695" s="3"/>
    </row>
    <row r="696" spans="14:21" ht="15.75" customHeight="1" x14ac:dyDescent="0.3">
      <c r="N696" s="3"/>
      <c r="U696" s="3"/>
    </row>
    <row r="697" spans="14:21" ht="15.75" customHeight="1" x14ac:dyDescent="0.3">
      <c r="N697" s="3"/>
      <c r="U697" s="3"/>
    </row>
    <row r="698" spans="14:21" ht="15.75" customHeight="1" x14ac:dyDescent="0.3">
      <c r="N698" s="3"/>
      <c r="U698" s="3"/>
    </row>
    <row r="699" spans="14:21" ht="15.75" customHeight="1" x14ac:dyDescent="0.3">
      <c r="N699" s="3"/>
      <c r="U699" s="3"/>
    </row>
    <row r="700" spans="14:21" ht="15.75" customHeight="1" x14ac:dyDescent="0.3">
      <c r="N700" s="3"/>
      <c r="U700" s="3"/>
    </row>
    <row r="701" spans="14:21" ht="15.75" customHeight="1" x14ac:dyDescent="0.3">
      <c r="N701" s="3"/>
      <c r="U701" s="3"/>
    </row>
    <row r="702" spans="14:21" ht="15.75" customHeight="1" x14ac:dyDescent="0.3">
      <c r="N702" s="3"/>
      <c r="U702" s="3"/>
    </row>
    <row r="703" spans="14:21" ht="15.75" customHeight="1" x14ac:dyDescent="0.3">
      <c r="N703" s="3"/>
      <c r="U703" s="3"/>
    </row>
    <row r="704" spans="14:21" ht="15.75" customHeight="1" x14ac:dyDescent="0.3">
      <c r="N704" s="3"/>
      <c r="U704" s="3"/>
    </row>
    <row r="705" spans="14:21" ht="15.75" customHeight="1" x14ac:dyDescent="0.3">
      <c r="N705" s="3"/>
      <c r="U705" s="3"/>
    </row>
    <row r="706" spans="14:21" ht="15.75" customHeight="1" x14ac:dyDescent="0.3">
      <c r="N706" s="3"/>
      <c r="U706" s="3"/>
    </row>
    <row r="707" spans="14:21" ht="15.75" customHeight="1" x14ac:dyDescent="0.3">
      <c r="N707" s="3"/>
      <c r="U707" s="3"/>
    </row>
    <row r="708" spans="14:21" ht="15.75" customHeight="1" x14ac:dyDescent="0.3">
      <c r="N708" s="3"/>
      <c r="U708" s="3"/>
    </row>
    <row r="709" spans="14:21" ht="15.75" customHeight="1" x14ac:dyDescent="0.3">
      <c r="N709" s="3"/>
      <c r="U709" s="3"/>
    </row>
    <row r="710" spans="14:21" ht="15.75" customHeight="1" x14ac:dyDescent="0.3">
      <c r="N710" s="3"/>
      <c r="U710" s="3"/>
    </row>
    <row r="711" spans="14:21" ht="15.75" customHeight="1" x14ac:dyDescent="0.3">
      <c r="N711" s="3"/>
      <c r="U711" s="3"/>
    </row>
    <row r="712" spans="14:21" ht="15.75" customHeight="1" x14ac:dyDescent="0.3">
      <c r="N712" s="3"/>
      <c r="U712" s="3"/>
    </row>
    <row r="713" spans="14:21" ht="15.75" customHeight="1" x14ac:dyDescent="0.3">
      <c r="N713" s="3"/>
      <c r="U713" s="3"/>
    </row>
    <row r="714" spans="14:21" ht="15.75" customHeight="1" x14ac:dyDescent="0.3">
      <c r="N714" s="3"/>
      <c r="U714" s="3"/>
    </row>
    <row r="715" spans="14:21" ht="15.75" customHeight="1" x14ac:dyDescent="0.3">
      <c r="N715" s="3"/>
      <c r="U715" s="3"/>
    </row>
    <row r="716" spans="14:21" ht="15.75" customHeight="1" x14ac:dyDescent="0.3">
      <c r="N716" s="3"/>
      <c r="U716" s="3"/>
    </row>
    <row r="717" spans="14:21" ht="15.75" customHeight="1" x14ac:dyDescent="0.3">
      <c r="N717" s="3"/>
      <c r="U717" s="3"/>
    </row>
    <row r="718" spans="14:21" ht="15.75" customHeight="1" x14ac:dyDescent="0.3">
      <c r="N718" s="3"/>
      <c r="U718" s="3"/>
    </row>
    <row r="719" spans="14:21" ht="15.75" customHeight="1" x14ac:dyDescent="0.3">
      <c r="N719" s="3"/>
      <c r="U719" s="3"/>
    </row>
    <row r="720" spans="14:21" ht="15.75" customHeight="1" x14ac:dyDescent="0.3">
      <c r="N720" s="3"/>
      <c r="U720" s="3"/>
    </row>
    <row r="721" spans="14:21" ht="15.75" customHeight="1" x14ac:dyDescent="0.3">
      <c r="N721" s="3"/>
      <c r="U721" s="3"/>
    </row>
    <row r="722" spans="14:21" ht="15.75" customHeight="1" x14ac:dyDescent="0.3">
      <c r="N722" s="3"/>
      <c r="U722" s="3"/>
    </row>
    <row r="723" spans="14:21" ht="15.75" customHeight="1" x14ac:dyDescent="0.3">
      <c r="N723" s="3"/>
      <c r="U723" s="3"/>
    </row>
    <row r="724" spans="14:21" ht="15.75" customHeight="1" x14ac:dyDescent="0.3">
      <c r="N724" s="3"/>
      <c r="U724" s="3"/>
    </row>
    <row r="725" spans="14:21" ht="15.75" customHeight="1" x14ac:dyDescent="0.3">
      <c r="N725" s="3"/>
      <c r="U725" s="3"/>
    </row>
    <row r="726" spans="14:21" ht="15.75" customHeight="1" x14ac:dyDescent="0.3">
      <c r="N726" s="3"/>
      <c r="U726" s="3"/>
    </row>
    <row r="727" spans="14:21" ht="15.75" customHeight="1" x14ac:dyDescent="0.3">
      <c r="N727" s="3"/>
      <c r="U727" s="3"/>
    </row>
    <row r="728" spans="14:21" ht="15.75" customHeight="1" x14ac:dyDescent="0.3">
      <c r="N728" s="3"/>
      <c r="U728" s="3"/>
    </row>
    <row r="729" spans="14:21" ht="15.75" customHeight="1" x14ac:dyDescent="0.3">
      <c r="N729" s="3"/>
      <c r="U729" s="3"/>
    </row>
    <row r="730" spans="14:21" ht="15.75" customHeight="1" x14ac:dyDescent="0.3">
      <c r="N730" s="3"/>
      <c r="U730" s="3"/>
    </row>
    <row r="731" spans="14:21" ht="15.75" customHeight="1" x14ac:dyDescent="0.3">
      <c r="N731" s="3"/>
      <c r="U731" s="3"/>
    </row>
    <row r="732" spans="14:21" ht="15.75" customHeight="1" x14ac:dyDescent="0.3">
      <c r="N732" s="3"/>
      <c r="U732" s="3"/>
    </row>
    <row r="733" spans="14:21" ht="15.75" customHeight="1" x14ac:dyDescent="0.3">
      <c r="N733" s="3"/>
      <c r="U733" s="3"/>
    </row>
    <row r="734" spans="14:21" ht="15.75" customHeight="1" x14ac:dyDescent="0.3">
      <c r="N734" s="3"/>
      <c r="U734" s="3"/>
    </row>
    <row r="735" spans="14:21" ht="15.75" customHeight="1" x14ac:dyDescent="0.3">
      <c r="N735" s="3"/>
      <c r="U735" s="3"/>
    </row>
    <row r="736" spans="14:21" ht="15.75" customHeight="1" x14ac:dyDescent="0.3">
      <c r="N736" s="3"/>
      <c r="U736" s="3"/>
    </row>
    <row r="737" spans="14:21" ht="15.75" customHeight="1" x14ac:dyDescent="0.3">
      <c r="N737" s="3"/>
      <c r="U737" s="3"/>
    </row>
    <row r="738" spans="14:21" ht="15.75" customHeight="1" x14ac:dyDescent="0.3">
      <c r="N738" s="3"/>
      <c r="U738" s="3"/>
    </row>
    <row r="739" spans="14:21" ht="15.75" customHeight="1" x14ac:dyDescent="0.3">
      <c r="N739" s="3"/>
      <c r="U739" s="3"/>
    </row>
    <row r="740" spans="14:21" ht="15.75" customHeight="1" x14ac:dyDescent="0.3">
      <c r="N740" s="3"/>
      <c r="U740" s="3"/>
    </row>
    <row r="741" spans="14:21" ht="15.75" customHeight="1" x14ac:dyDescent="0.3">
      <c r="N741" s="3"/>
      <c r="U741" s="3"/>
    </row>
    <row r="742" spans="14:21" ht="15.75" customHeight="1" x14ac:dyDescent="0.3">
      <c r="N742" s="3"/>
      <c r="U742" s="3"/>
    </row>
    <row r="743" spans="14:21" ht="15.75" customHeight="1" x14ac:dyDescent="0.3">
      <c r="N743" s="3"/>
      <c r="U743" s="3"/>
    </row>
    <row r="744" spans="14:21" ht="15.75" customHeight="1" x14ac:dyDescent="0.3">
      <c r="N744" s="3"/>
      <c r="U744" s="3"/>
    </row>
    <row r="745" spans="14:21" ht="15.75" customHeight="1" x14ac:dyDescent="0.3">
      <c r="N745" s="3"/>
      <c r="U745" s="3"/>
    </row>
    <row r="746" spans="14:21" ht="15.75" customHeight="1" x14ac:dyDescent="0.3">
      <c r="N746" s="3"/>
      <c r="U746" s="3"/>
    </row>
    <row r="747" spans="14:21" ht="15.75" customHeight="1" x14ac:dyDescent="0.3">
      <c r="N747" s="3"/>
      <c r="U747" s="3"/>
    </row>
    <row r="748" spans="14:21" ht="15.75" customHeight="1" x14ac:dyDescent="0.3">
      <c r="N748" s="3"/>
      <c r="U748" s="3"/>
    </row>
    <row r="749" spans="14:21" ht="15.75" customHeight="1" x14ac:dyDescent="0.3">
      <c r="N749" s="3"/>
      <c r="U749" s="3"/>
    </row>
    <row r="750" spans="14:21" ht="15.75" customHeight="1" x14ac:dyDescent="0.3">
      <c r="N750" s="3"/>
      <c r="U750" s="3"/>
    </row>
    <row r="751" spans="14:21" ht="15.75" customHeight="1" x14ac:dyDescent="0.3">
      <c r="N751" s="3"/>
      <c r="U751" s="3"/>
    </row>
    <row r="752" spans="14:21" ht="15.75" customHeight="1" x14ac:dyDescent="0.3">
      <c r="N752" s="3"/>
      <c r="U752" s="3"/>
    </row>
    <row r="753" spans="14:21" ht="15.75" customHeight="1" x14ac:dyDescent="0.3">
      <c r="N753" s="3"/>
      <c r="U753" s="3"/>
    </row>
    <row r="754" spans="14:21" ht="15.75" customHeight="1" x14ac:dyDescent="0.3">
      <c r="N754" s="3"/>
      <c r="U754" s="3"/>
    </row>
    <row r="755" spans="14:21" ht="15.75" customHeight="1" x14ac:dyDescent="0.3">
      <c r="N755" s="3"/>
      <c r="U755" s="3"/>
    </row>
    <row r="756" spans="14:21" ht="15.75" customHeight="1" x14ac:dyDescent="0.3">
      <c r="N756" s="3"/>
      <c r="U756" s="3"/>
    </row>
    <row r="757" spans="14:21" ht="15.75" customHeight="1" x14ac:dyDescent="0.3">
      <c r="N757" s="3"/>
      <c r="U757" s="3"/>
    </row>
    <row r="758" spans="14:21" ht="15.75" customHeight="1" x14ac:dyDescent="0.3">
      <c r="N758" s="3"/>
      <c r="U758" s="3"/>
    </row>
    <row r="759" spans="14:21" ht="15.75" customHeight="1" x14ac:dyDescent="0.3">
      <c r="N759" s="3"/>
      <c r="U759" s="3"/>
    </row>
    <row r="760" spans="14:21" ht="15.75" customHeight="1" x14ac:dyDescent="0.3">
      <c r="N760" s="3"/>
      <c r="U760" s="3"/>
    </row>
    <row r="761" spans="14:21" ht="15.75" customHeight="1" x14ac:dyDescent="0.3">
      <c r="N761" s="3"/>
      <c r="U761" s="3"/>
    </row>
    <row r="762" spans="14:21" ht="15.75" customHeight="1" x14ac:dyDescent="0.3">
      <c r="N762" s="3"/>
      <c r="U762" s="3"/>
    </row>
    <row r="763" spans="14:21" ht="15.75" customHeight="1" x14ac:dyDescent="0.3">
      <c r="N763" s="3"/>
      <c r="U763" s="3"/>
    </row>
    <row r="764" spans="14:21" ht="15.75" customHeight="1" x14ac:dyDescent="0.3">
      <c r="N764" s="3"/>
      <c r="U764" s="3"/>
    </row>
    <row r="765" spans="14:21" ht="15.75" customHeight="1" x14ac:dyDescent="0.3">
      <c r="N765" s="3"/>
      <c r="U765" s="3"/>
    </row>
    <row r="766" spans="14:21" ht="15.75" customHeight="1" x14ac:dyDescent="0.3">
      <c r="N766" s="3"/>
      <c r="U766" s="3"/>
    </row>
    <row r="767" spans="14:21" ht="15.75" customHeight="1" x14ac:dyDescent="0.3">
      <c r="N767" s="3"/>
      <c r="U767" s="3"/>
    </row>
    <row r="768" spans="14:21" ht="15.75" customHeight="1" x14ac:dyDescent="0.3">
      <c r="N768" s="3"/>
      <c r="U768" s="3"/>
    </row>
    <row r="769" spans="14:21" ht="15.75" customHeight="1" x14ac:dyDescent="0.3">
      <c r="N769" s="3"/>
      <c r="U769" s="3"/>
    </row>
    <row r="770" spans="14:21" ht="15.75" customHeight="1" x14ac:dyDescent="0.3">
      <c r="N770" s="3"/>
      <c r="U770" s="3"/>
    </row>
    <row r="771" spans="14:21" ht="15.75" customHeight="1" x14ac:dyDescent="0.3">
      <c r="N771" s="3"/>
      <c r="U771" s="3"/>
    </row>
    <row r="772" spans="14:21" ht="15.75" customHeight="1" x14ac:dyDescent="0.3">
      <c r="N772" s="3"/>
      <c r="U772" s="3"/>
    </row>
    <row r="773" spans="14:21" ht="15.75" customHeight="1" x14ac:dyDescent="0.3">
      <c r="N773" s="3"/>
      <c r="U773" s="3"/>
    </row>
    <row r="774" spans="14:21" ht="15.75" customHeight="1" x14ac:dyDescent="0.3">
      <c r="N774" s="3"/>
      <c r="U774" s="3"/>
    </row>
    <row r="775" spans="14:21" ht="15.75" customHeight="1" x14ac:dyDescent="0.3">
      <c r="N775" s="3"/>
      <c r="U775" s="3"/>
    </row>
    <row r="776" spans="14:21" ht="15.75" customHeight="1" x14ac:dyDescent="0.3">
      <c r="N776" s="3"/>
      <c r="U776" s="3"/>
    </row>
    <row r="777" spans="14:21" ht="15.75" customHeight="1" x14ac:dyDescent="0.3">
      <c r="N777" s="3"/>
      <c r="U777" s="3"/>
    </row>
    <row r="778" spans="14:21" ht="15.75" customHeight="1" x14ac:dyDescent="0.3">
      <c r="N778" s="3"/>
      <c r="U778" s="3"/>
    </row>
    <row r="779" spans="14:21" ht="15.75" customHeight="1" x14ac:dyDescent="0.3">
      <c r="N779" s="3"/>
      <c r="U779" s="3"/>
    </row>
    <row r="780" spans="14:21" ht="15.75" customHeight="1" x14ac:dyDescent="0.3">
      <c r="N780" s="3"/>
      <c r="U780" s="3"/>
    </row>
    <row r="781" spans="14:21" ht="15.75" customHeight="1" x14ac:dyDescent="0.3">
      <c r="N781" s="3"/>
      <c r="U781" s="3"/>
    </row>
    <row r="782" spans="14:21" ht="15.75" customHeight="1" x14ac:dyDescent="0.3">
      <c r="N782" s="3"/>
      <c r="U782" s="3"/>
    </row>
    <row r="783" spans="14:21" ht="15.75" customHeight="1" x14ac:dyDescent="0.3">
      <c r="N783" s="3"/>
      <c r="U783" s="3"/>
    </row>
    <row r="784" spans="14:21" ht="15.75" customHeight="1" x14ac:dyDescent="0.3">
      <c r="N784" s="3"/>
      <c r="U784" s="3"/>
    </row>
    <row r="785" spans="14:21" ht="15.75" customHeight="1" x14ac:dyDescent="0.3">
      <c r="N785" s="3"/>
      <c r="U785" s="3"/>
    </row>
    <row r="786" spans="14:21" ht="15.75" customHeight="1" x14ac:dyDescent="0.3">
      <c r="N786" s="3"/>
      <c r="U786" s="3"/>
    </row>
    <row r="787" spans="14:21" ht="15.75" customHeight="1" x14ac:dyDescent="0.3">
      <c r="N787" s="3"/>
      <c r="U787" s="3"/>
    </row>
    <row r="788" spans="14:21" ht="15.75" customHeight="1" x14ac:dyDescent="0.3">
      <c r="N788" s="3"/>
      <c r="U788" s="3"/>
    </row>
    <row r="789" spans="14:21" ht="15.75" customHeight="1" x14ac:dyDescent="0.3">
      <c r="N789" s="3"/>
      <c r="U789" s="3"/>
    </row>
    <row r="790" spans="14:21" ht="15.75" customHeight="1" x14ac:dyDescent="0.3">
      <c r="N790" s="3"/>
      <c r="U790" s="3"/>
    </row>
    <row r="791" spans="14:21" ht="15.75" customHeight="1" x14ac:dyDescent="0.3">
      <c r="N791" s="3"/>
      <c r="U791" s="3"/>
    </row>
    <row r="792" spans="14:21" ht="15.75" customHeight="1" x14ac:dyDescent="0.3">
      <c r="N792" s="3"/>
      <c r="U792" s="3"/>
    </row>
    <row r="793" spans="14:21" ht="15.75" customHeight="1" x14ac:dyDescent="0.3">
      <c r="N793" s="3"/>
      <c r="U793" s="3"/>
    </row>
    <row r="794" spans="14:21" ht="15.75" customHeight="1" x14ac:dyDescent="0.3">
      <c r="N794" s="3"/>
      <c r="U794" s="3"/>
    </row>
    <row r="795" spans="14:21" ht="15.75" customHeight="1" x14ac:dyDescent="0.3">
      <c r="N795" s="3"/>
      <c r="U795" s="3"/>
    </row>
    <row r="796" spans="14:21" ht="15.75" customHeight="1" x14ac:dyDescent="0.3">
      <c r="N796" s="3"/>
      <c r="U796" s="3"/>
    </row>
    <row r="797" spans="14:21" ht="15.75" customHeight="1" x14ac:dyDescent="0.3">
      <c r="N797" s="3"/>
      <c r="U797" s="3"/>
    </row>
    <row r="798" spans="14:21" ht="15.75" customHeight="1" x14ac:dyDescent="0.3">
      <c r="N798" s="3"/>
      <c r="U798" s="3"/>
    </row>
    <row r="799" spans="14:21" ht="15.75" customHeight="1" x14ac:dyDescent="0.3">
      <c r="N799" s="3"/>
      <c r="U799" s="3"/>
    </row>
    <row r="800" spans="14:21" ht="15.75" customHeight="1" x14ac:dyDescent="0.3">
      <c r="N800" s="3"/>
      <c r="U800" s="3"/>
    </row>
    <row r="801" spans="14:21" ht="15.75" customHeight="1" x14ac:dyDescent="0.3">
      <c r="N801" s="3"/>
      <c r="U801" s="3"/>
    </row>
    <row r="802" spans="14:21" ht="15.75" customHeight="1" x14ac:dyDescent="0.3">
      <c r="N802" s="3"/>
      <c r="U802" s="3"/>
    </row>
    <row r="803" spans="14:21" ht="15.75" customHeight="1" x14ac:dyDescent="0.3">
      <c r="N803" s="3"/>
      <c r="U803" s="3"/>
    </row>
    <row r="804" spans="14:21" ht="15.75" customHeight="1" x14ac:dyDescent="0.3">
      <c r="N804" s="3"/>
      <c r="U804" s="3"/>
    </row>
    <row r="805" spans="14:21" ht="15.75" customHeight="1" x14ac:dyDescent="0.3">
      <c r="N805" s="3"/>
      <c r="U805" s="3"/>
    </row>
    <row r="806" spans="14:21" ht="15.75" customHeight="1" x14ac:dyDescent="0.3">
      <c r="N806" s="3"/>
      <c r="U806" s="3"/>
    </row>
    <row r="807" spans="14:21" ht="15.75" customHeight="1" x14ac:dyDescent="0.3">
      <c r="N807" s="3"/>
      <c r="U807" s="3"/>
    </row>
    <row r="808" spans="14:21" ht="15.75" customHeight="1" x14ac:dyDescent="0.3">
      <c r="N808" s="3"/>
      <c r="U808" s="3"/>
    </row>
    <row r="809" spans="14:21" ht="15.75" customHeight="1" x14ac:dyDescent="0.3">
      <c r="N809" s="3"/>
      <c r="U809" s="3"/>
    </row>
    <row r="810" spans="14:21" ht="15.75" customHeight="1" x14ac:dyDescent="0.3">
      <c r="N810" s="3"/>
      <c r="U810" s="3"/>
    </row>
    <row r="811" spans="14:21" ht="15.75" customHeight="1" x14ac:dyDescent="0.3">
      <c r="N811" s="3"/>
      <c r="U811" s="3"/>
    </row>
    <row r="812" spans="14:21" ht="15.75" customHeight="1" x14ac:dyDescent="0.3">
      <c r="N812" s="3"/>
      <c r="U812" s="3"/>
    </row>
    <row r="813" spans="14:21" ht="15.75" customHeight="1" x14ac:dyDescent="0.3">
      <c r="N813" s="3"/>
      <c r="U813" s="3"/>
    </row>
    <row r="814" spans="14:21" ht="15.75" customHeight="1" x14ac:dyDescent="0.3">
      <c r="N814" s="3"/>
      <c r="U814" s="3"/>
    </row>
    <row r="815" spans="14:21" ht="15.75" customHeight="1" x14ac:dyDescent="0.3">
      <c r="N815" s="3"/>
      <c r="U815" s="3"/>
    </row>
    <row r="816" spans="14:21" ht="15.75" customHeight="1" x14ac:dyDescent="0.3">
      <c r="N816" s="3"/>
      <c r="U816" s="3"/>
    </row>
    <row r="817" spans="14:21" ht="15.75" customHeight="1" x14ac:dyDescent="0.3">
      <c r="N817" s="3"/>
      <c r="U817" s="3"/>
    </row>
    <row r="818" spans="14:21" ht="15.75" customHeight="1" x14ac:dyDescent="0.3">
      <c r="N818" s="3"/>
      <c r="U818" s="3"/>
    </row>
    <row r="819" spans="14:21" ht="15.75" customHeight="1" x14ac:dyDescent="0.3">
      <c r="N819" s="3"/>
      <c r="U819" s="3"/>
    </row>
    <row r="820" spans="14:21" ht="15.75" customHeight="1" x14ac:dyDescent="0.3">
      <c r="N820" s="3"/>
      <c r="U820" s="3"/>
    </row>
    <row r="821" spans="14:21" ht="15.75" customHeight="1" x14ac:dyDescent="0.3">
      <c r="N821" s="3"/>
      <c r="U821" s="3"/>
    </row>
    <row r="822" spans="14:21" ht="15.75" customHeight="1" x14ac:dyDescent="0.3">
      <c r="N822" s="3"/>
      <c r="U822" s="3"/>
    </row>
    <row r="823" spans="14:21" ht="15.75" customHeight="1" x14ac:dyDescent="0.3">
      <c r="N823" s="3"/>
      <c r="U823" s="3"/>
    </row>
    <row r="824" spans="14:21" ht="15.75" customHeight="1" x14ac:dyDescent="0.3">
      <c r="N824" s="3"/>
      <c r="U824" s="3"/>
    </row>
    <row r="825" spans="14:21" ht="15.75" customHeight="1" x14ac:dyDescent="0.3">
      <c r="N825" s="3"/>
      <c r="U825" s="3"/>
    </row>
    <row r="826" spans="14:21" ht="15.75" customHeight="1" x14ac:dyDescent="0.3">
      <c r="N826" s="3"/>
      <c r="U826" s="3"/>
    </row>
    <row r="827" spans="14:21" ht="15.75" customHeight="1" x14ac:dyDescent="0.3">
      <c r="N827" s="3"/>
      <c r="U827" s="3"/>
    </row>
    <row r="828" spans="14:21" ht="15.75" customHeight="1" x14ac:dyDescent="0.3">
      <c r="N828" s="3"/>
      <c r="U828" s="3"/>
    </row>
    <row r="829" spans="14:21" ht="15.75" customHeight="1" x14ac:dyDescent="0.3">
      <c r="N829" s="3"/>
      <c r="U829" s="3"/>
    </row>
    <row r="830" spans="14:21" ht="15.75" customHeight="1" x14ac:dyDescent="0.3">
      <c r="N830" s="3"/>
      <c r="U830" s="3"/>
    </row>
    <row r="831" spans="14:21" ht="15.75" customHeight="1" x14ac:dyDescent="0.3">
      <c r="N831" s="3"/>
      <c r="U831" s="3"/>
    </row>
    <row r="832" spans="14:21" ht="15.75" customHeight="1" x14ac:dyDescent="0.3">
      <c r="N832" s="3"/>
      <c r="U832" s="3"/>
    </row>
    <row r="833" spans="14:21" ht="15.75" customHeight="1" x14ac:dyDescent="0.3">
      <c r="N833" s="3"/>
      <c r="U833" s="3"/>
    </row>
    <row r="834" spans="14:21" ht="15.75" customHeight="1" x14ac:dyDescent="0.3">
      <c r="N834" s="3"/>
      <c r="U834" s="3"/>
    </row>
    <row r="835" spans="14:21" ht="15.75" customHeight="1" x14ac:dyDescent="0.3">
      <c r="N835" s="3"/>
      <c r="U835" s="3"/>
    </row>
    <row r="836" spans="14:21" ht="15.75" customHeight="1" x14ac:dyDescent="0.3">
      <c r="N836" s="3"/>
      <c r="U836" s="3"/>
    </row>
    <row r="837" spans="14:21" ht="15.75" customHeight="1" x14ac:dyDescent="0.3">
      <c r="N837" s="3"/>
      <c r="U837" s="3"/>
    </row>
    <row r="838" spans="14:21" ht="15.75" customHeight="1" x14ac:dyDescent="0.3">
      <c r="N838" s="3"/>
      <c r="U838" s="3"/>
    </row>
    <row r="839" spans="14:21" ht="15.75" customHeight="1" x14ac:dyDescent="0.3">
      <c r="N839" s="3"/>
      <c r="U839" s="3"/>
    </row>
    <row r="840" spans="14:21" ht="15.75" customHeight="1" x14ac:dyDescent="0.3">
      <c r="N840" s="3"/>
      <c r="U840" s="3"/>
    </row>
    <row r="841" spans="14:21" ht="15.75" customHeight="1" x14ac:dyDescent="0.3">
      <c r="N841" s="3"/>
      <c r="U841" s="3"/>
    </row>
    <row r="842" spans="14:21" ht="15.75" customHeight="1" x14ac:dyDescent="0.3">
      <c r="N842" s="3"/>
      <c r="U842" s="3"/>
    </row>
    <row r="843" spans="14:21" ht="15.75" customHeight="1" x14ac:dyDescent="0.3">
      <c r="N843" s="3"/>
      <c r="U843" s="3"/>
    </row>
    <row r="844" spans="14:21" ht="15.75" customHeight="1" x14ac:dyDescent="0.3">
      <c r="N844" s="3"/>
      <c r="U844" s="3"/>
    </row>
    <row r="845" spans="14:21" ht="15.75" customHeight="1" x14ac:dyDescent="0.3">
      <c r="N845" s="3"/>
      <c r="U845" s="3"/>
    </row>
    <row r="846" spans="14:21" ht="15.75" customHeight="1" x14ac:dyDescent="0.3">
      <c r="N846" s="3"/>
      <c r="U846" s="3"/>
    </row>
    <row r="847" spans="14:21" ht="15.75" customHeight="1" x14ac:dyDescent="0.3">
      <c r="N847" s="3"/>
      <c r="U847" s="3"/>
    </row>
    <row r="848" spans="14:21" ht="15.75" customHeight="1" x14ac:dyDescent="0.3">
      <c r="N848" s="3"/>
      <c r="U848" s="3"/>
    </row>
    <row r="849" spans="14:21" ht="15.75" customHeight="1" x14ac:dyDescent="0.3">
      <c r="N849" s="3"/>
      <c r="U849" s="3"/>
    </row>
    <row r="850" spans="14:21" ht="15.75" customHeight="1" x14ac:dyDescent="0.3">
      <c r="N850" s="3"/>
      <c r="U850" s="3"/>
    </row>
    <row r="851" spans="14:21" ht="15.75" customHeight="1" x14ac:dyDescent="0.3">
      <c r="N851" s="3"/>
      <c r="U851" s="3"/>
    </row>
    <row r="852" spans="14:21" ht="15.75" customHeight="1" x14ac:dyDescent="0.3">
      <c r="N852" s="3"/>
      <c r="U852" s="3"/>
    </row>
    <row r="853" spans="14:21" ht="15.75" customHeight="1" x14ac:dyDescent="0.3">
      <c r="N853" s="3"/>
      <c r="U853" s="3"/>
    </row>
    <row r="854" spans="14:21" ht="15.75" customHeight="1" x14ac:dyDescent="0.3">
      <c r="N854" s="3"/>
      <c r="U854" s="3"/>
    </row>
    <row r="855" spans="14:21" ht="15.75" customHeight="1" x14ac:dyDescent="0.3">
      <c r="N855" s="3"/>
      <c r="U855" s="3"/>
    </row>
    <row r="856" spans="14:21" ht="15.75" customHeight="1" x14ac:dyDescent="0.3">
      <c r="N856" s="3"/>
      <c r="U856" s="3"/>
    </row>
    <row r="857" spans="14:21" ht="15.75" customHeight="1" x14ac:dyDescent="0.3">
      <c r="N857" s="3"/>
      <c r="U857" s="3"/>
    </row>
    <row r="858" spans="14:21" ht="15.75" customHeight="1" x14ac:dyDescent="0.3">
      <c r="N858" s="3"/>
      <c r="U858" s="3"/>
    </row>
    <row r="859" spans="14:21" ht="15.75" customHeight="1" x14ac:dyDescent="0.3">
      <c r="N859" s="3"/>
      <c r="U859" s="3"/>
    </row>
    <row r="860" spans="14:21" ht="15.75" customHeight="1" x14ac:dyDescent="0.3">
      <c r="N860" s="3"/>
      <c r="U860" s="3"/>
    </row>
    <row r="861" spans="14:21" ht="15.75" customHeight="1" x14ac:dyDescent="0.3">
      <c r="N861" s="3"/>
      <c r="U861" s="3"/>
    </row>
    <row r="862" spans="14:21" ht="15.75" customHeight="1" x14ac:dyDescent="0.3">
      <c r="N862" s="3"/>
      <c r="U862" s="3"/>
    </row>
    <row r="863" spans="14:21" ht="15.75" customHeight="1" x14ac:dyDescent="0.3">
      <c r="N863" s="3"/>
      <c r="U863" s="3"/>
    </row>
    <row r="864" spans="14:21" ht="15.75" customHeight="1" x14ac:dyDescent="0.3">
      <c r="N864" s="3"/>
      <c r="U864" s="3"/>
    </row>
    <row r="865" spans="14:21" ht="15.75" customHeight="1" x14ac:dyDescent="0.3">
      <c r="N865" s="3"/>
      <c r="U865" s="3"/>
    </row>
    <row r="866" spans="14:21" ht="15.75" customHeight="1" x14ac:dyDescent="0.3">
      <c r="N866" s="3"/>
      <c r="U866" s="3"/>
    </row>
    <row r="867" spans="14:21" ht="15.75" customHeight="1" x14ac:dyDescent="0.3">
      <c r="N867" s="3"/>
      <c r="U867" s="3"/>
    </row>
    <row r="868" spans="14:21" ht="15.75" customHeight="1" x14ac:dyDescent="0.3">
      <c r="N868" s="3"/>
      <c r="U868" s="3"/>
    </row>
    <row r="869" spans="14:21" ht="15.75" customHeight="1" x14ac:dyDescent="0.3">
      <c r="N869" s="3"/>
      <c r="U869" s="3"/>
    </row>
    <row r="870" spans="14:21" ht="15.75" customHeight="1" x14ac:dyDescent="0.3">
      <c r="N870" s="3"/>
      <c r="U870" s="3"/>
    </row>
    <row r="871" spans="14:21" ht="15.75" customHeight="1" x14ac:dyDescent="0.3">
      <c r="N871" s="3"/>
      <c r="U871" s="3"/>
    </row>
    <row r="872" spans="14:21" ht="15.75" customHeight="1" x14ac:dyDescent="0.3">
      <c r="N872" s="3"/>
      <c r="U872" s="3"/>
    </row>
    <row r="873" spans="14:21" ht="15.75" customHeight="1" x14ac:dyDescent="0.3">
      <c r="N873" s="3"/>
      <c r="U873" s="3"/>
    </row>
    <row r="874" spans="14:21" ht="15.75" customHeight="1" x14ac:dyDescent="0.3">
      <c r="N874" s="3"/>
      <c r="U874" s="3"/>
    </row>
    <row r="875" spans="14:21" ht="15.75" customHeight="1" x14ac:dyDescent="0.3">
      <c r="N875" s="3"/>
      <c r="U875" s="3"/>
    </row>
    <row r="876" spans="14:21" ht="15.75" customHeight="1" x14ac:dyDescent="0.3">
      <c r="N876" s="3"/>
      <c r="U876" s="3"/>
    </row>
    <row r="877" spans="14:21" ht="15.75" customHeight="1" x14ac:dyDescent="0.3">
      <c r="N877" s="3"/>
      <c r="U877" s="3"/>
    </row>
    <row r="878" spans="14:21" ht="15.75" customHeight="1" x14ac:dyDescent="0.3">
      <c r="N878" s="3"/>
      <c r="U878" s="3"/>
    </row>
    <row r="879" spans="14:21" ht="15.75" customHeight="1" x14ac:dyDescent="0.3">
      <c r="N879" s="3"/>
      <c r="U879" s="3"/>
    </row>
    <row r="880" spans="14:21" ht="15.75" customHeight="1" x14ac:dyDescent="0.3">
      <c r="N880" s="3"/>
      <c r="U880" s="3"/>
    </row>
    <row r="881" spans="14:21" ht="15.75" customHeight="1" x14ac:dyDescent="0.3">
      <c r="N881" s="3"/>
      <c r="U881" s="3"/>
    </row>
    <row r="882" spans="14:21" ht="15.75" customHeight="1" x14ac:dyDescent="0.3">
      <c r="N882" s="3"/>
      <c r="U882" s="3"/>
    </row>
    <row r="883" spans="14:21" ht="15.75" customHeight="1" x14ac:dyDescent="0.3">
      <c r="N883" s="3"/>
      <c r="U883" s="3"/>
    </row>
    <row r="884" spans="14:21" ht="15.75" customHeight="1" x14ac:dyDescent="0.3">
      <c r="N884" s="3"/>
      <c r="U884" s="3"/>
    </row>
    <row r="885" spans="14:21" ht="15.75" customHeight="1" x14ac:dyDescent="0.3">
      <c r="N885" s="3"/>
      <c r="U885" s="3"/>
    </row>
    <row r="886" spans="14:21" ht="15.75" customHeight="1" x14ac:dyDescent="0.3">
      <c r="N886" s="3"/>
      <c r="U886" s="3"/>
    </row>
    <row r="887" spans="14:21" ht="15.75" customHeight="1" x14ac:dyDescent="0.3">
      <c r="N887" s="3"/>
      <c r="U887" s="3"/>
    </row>
    <row r="888" spans="14:21" ht="15.75" customHeight="1" x14ac:dyDescent="0.3">
      <c r="N888" s="3"/>
      <c r="U888" s="3"/>
    </row>
    <row r="889" spans="14:21" ht="15.75" customHeight="1" x14ac:dyDescent="0.3">
      <c r="N889" s="3"/>
      <c r="U889" s="3"/>
    </row>
    <row r="890" spans="14:21" ht="15.75" customHeight="1" x14ac:dyDescent="0.3">
      <c r="N890" s="3"/>
      <c r="U890" s="3"/>
    </row>
    <row r="891" spans="14:21" ht="15.75" customHeight="1" x14ac:dyDescent="0.3">
      <c r="N891" s="3"/>
      <c r="U891" s="3"/>
    </row>
    <row r="892" spans="14:21" ht="15.75" customHeight="1" x14ac:dyDescent="0.3">
      <c r="N892" s="3"/>
      <c r="U892" s="3"/>
    </row>
    <row r="893" spans="14:21" ht="15.75" customHeight="1" x14ac:dyDescent="0.3">
      <c r="N893" s="3"/>
      <c r="U893" s="3"/>
    </row>
    <row r="894" spans="14:21" ht="15.75" customHeight="1" x14ac:dyDescent="0.3">
      <c r="N894" s="3"/>
      <c r="U894" s="3"/>
    </row>
    <row r="895" spans="14:21" ht="15.75" customHeight="1" x14ac:dyDescent="0.3">
      <c r="N895" s="3"/>
      <c r="U895" s="3"/>
    </row>
    <row r="896" spans="14:21" ht="15.75" customHeight="1" x14ac:dyDescent="0.3">
      <c r="N896" s="3"/>
      <c r="U896" s="3"/>
    </row>
    <row r="897" spans="14:21" ht="15.75" customHeight="1" x14ac:dyDescent="0.3">
      <c r="N897" s="3"/>
      <c r="U897" s="3"/>
    </row>
    <row r="898" spans="14:21" ht="15.75" customHeight="1" x14ac:dyDescent="0.3">
      <c r="N898" s="3"/>
      <c r="U898" s="3"/>
    </row>
    <row r="899" spans="14:21" ht="15.75" customHeight="1" x14ac:dyDescent="0.3">
      <c r="N899" s="3"/>
      <c r="U899" s="3"/>
    </row>
    <row r="900" spans="14:21" ht="15.75" customHeight="1" x14ac:dyDescent="0.3">
      <c r="N900" s="3"/>
      <c r="U900" s="3"/>
    </row>
    <row r="901" spans="14:21" ht="15.75" customHeight="1" x14ac:dyDescent="0.3">
      <c r="N901" s="3"/>
      <c r="U901" s="3"/>
    </row>
    <row r="902" spans="14:21" ht="15.75" customHeight="1" x14ac:dyDescent="0.3">
      <c r="N902" s="3"/>
      <c r="U902" s="3"/>
    </row>
    <row r="903" spans="14:21" ht="15.75" customHeight="1" x14ac:dyDescent="0.3">
      <c r="N903" s="3"/>
      <c r="U903" s="3"/>
    </row>
    <row r="904" spans="14:21" ht="15.75" customHeight="1" x14ac:dyDescent="0.3">
      <c r="N904" s="3"/>
      <c r="U904" s="3"/>
    </row>
    <row r="905" spans="14:21" ht="15.75" customHeight="1" x14ac:dyDescent="0.3">
      <c r="N905" s="3"/>
      <c r="U905" s="3"/>
    </row>
    <row r="906" spans="14:21" ht="15.75" customHeight="1" x14ac:dyDescent="0.3">
      <c r="N906" s="3"/>
      <c r="U906" s="3"/>
    </row>
    <row r="907" spans="14:21" ht="15.75" customHeight="1" x14ac:dyDescent="0.3">
      <c r="N907" s="3"/>
      <c r="U907" s="3"/>
    </row>
    <row r="908" spans="14:21" ht="15.75" customHeight="1" x14ac:dyDescent="0.3">
      <c r="N908" s="3"/>
      <c r="U908" s="3"/>
    </row>
    <row r="909" spans="14:21" ht="15.75" customHeight="1" x14ac:dyDescent="0.3">
      <c r="N909" s="3"/>
      <c r="U909" s="3"/>
    </row>
    <row r="910" spans="14:21" ht="15.75" customHeight="1" x14ac:dyDescent="0.3">
      <c r="N910" s="3"/>
      <c r="U910" s="3"/>
    </row>
    <row r="911" spans="14:21" ht="15.75" customHeight="1" x14ac:dyDescent="0.3">
      <c r="N911" s="3"/>
      <c r="U911" s="3"/>
    </row>
    <row r="912" spans="14:21" ht="15.75" customHeight="1" x14ac:dyDescent="0.3">
      <c r="N912" s="3"/>
      <c r="U912" s="3"/>
    </row>
    <row r="913" spans="14:21" ht="15.75" customHeight="1" x14ac:dyDescent="0.3">
      <c r="N913" s="3"/>
      <c r="U913" s="3"/>
    </row>
    <row r="914" spans="14:21" ht="15.75" customHeight="1" x14ac:dyDescent="0.3">
      <c r="N914" s="3"/>
      <c r="U914" s="3"/>
    </row>
    <row r="915" spans="14:21" ht="15.75" customHeight="1" x14ac:dyDescent="0.3">
      <c r="N915" s="3"/>
      <c r="U915" s="3"/>
    </row>
    <row r="916" spans="14:21" ht="15.75" customHeight="1" x14ac:dyDescent="0.3">
      <c r="N916" s="3"/>
      <c r="U916" s="3"/>
    </row>
    <row r="917" spans="14:21" ht="15.75" customHeight="1" x14ac:dyDescent="0.3">
      <c r="N917" s="3"/>
      <c r="U917" s="3"/>
    </row>
    <row r="918" spans="14:21" ht="15.75" customHeight="1" x14ac:dyDescent="0.3">
      <c r="N918" s="3"/>
      <c r="U918" s="3"/>
    </row>
    <row r="919" spans="14:21" ht="15.75" customHeight="1" x14ac:dyDescent="0.3">
      <c r="N919" s="3"/>
      <c r="U919" s="3"/>
    </row>
    <row r="920" spans="14:21" ht="15.75" customHeight="1" x14ac:dyDescent="0.3">
      <c r="N920" s="3"/>
      <c r="U920" s="3"/>
    </row>
    <row r="921" spans="14:21" ht="15.75" customHeight="1" x14ac:dyDescent="0.3">
      <c r="N921" s="3"/>
      <c r="U921" s="3"/>
    </row>
    <row r="922" spans="14:21" ht="15.75" customHeight="1" x14ac:dyDescent="0.3">
      <c r="N922" s="3"/>
      <c r="U922" s="3"/>
    </row>
    <row r="923" spans="14:21" ht="15.75" customHeight="1" x14ac:dyDescent="0.3">
      <c r="N923" s="3"/>
      <c r="U923" s="3"/>
    </row>
    <row r="924" spans="14:21" ht="15.75" customHeight="1" x14ac:dyDescent="0.3">
      <c r="N924" s="3"/>
      <c r="U924" s="3"/>
    </row>
    <row r="925" spans="14:21" ht="15.75" customHeight="1" x14ac:dyDescent="0.3">
      <c r="N925" s="3"/>
      <c r="U925" s="3"/>
    </row>
    <row r="926" spans="14:21" ht="15.75" customHeight="1" x14ac:dyDescent="0.3">
      <c r="N926" s="3"/>
      <c r="U926" s="3"/>
    </row>
    <row r="927" spans="14:21" ht="15.75" customHeight="1" x14ac:dyDescent="0.3">
      <c r="N927" s="3"/>
      <c r="U927" s="3"/>
    </row>
    <row r="928" spans="14:21" ht="15.75" customHeight="1" x14ac:dyDescent="0.3">
      <c r="N928" s="3"/>
      <c r="U928" s="3"/>
    </row>
    <row r="929" spans="14:21" ht="15.75" customHeight="1" x14ac:dyDescent="0.3">
      <c r="N929" s="3"/>
      <c r="U929" s="3"/>
    </row>
    <row r="930" spans="14:21" ht="15.75" customHeight="1" x14ac:dyDescent="0.3">
      <c r="N930" s="3"/>
      <c r="U930" s="3"/>
    </row>
    <row r="931" spans="14:21" ht="15.75" customHeight="1" x14ac:dyDescent="0.3">
      <c r="N931" s="3"/>
      <c r="U931" s="3"/>
    </row>
    <row r="932" spans="14:21" ht="15.75" customHeight="1" x14ac:dyDescent="0.3">
      <c r="N932" s="3"/>
      <c r="U932" s="3"/>
    </row>
    <row r="933" spans="14:21" ht="15.75" customHeight="1" x14ac:dyDescent="0.3">
      <c r="N933" s="3"/>
      <c r="U933" s="3"/>
    </row>
    <row r="934" spans="14:21" ht="15.75" customHeight="1" x14ac:dyDescent="0.3">
      <c r="N934" s="3"/>
      <c r="U934" s="3"/>
    </row>
    <row r="935" spans="14:21" ht="15.75" customHeight="1" x14ac:dyDescent="0.3">
      <c r="N935" s="3"/>
      <c r="U935" s="3"/>
    </row>
    <row r="936" spans="14:21" ht="15.75" customHeight="1" x14ac:dyDescent="0.3">
      <c r="N936" s="3"/>
      <c r="U936" s="3"/>
    </row>
    <row r="937" spans="14:21" ht="15.75" customHeight="1" x14ac:dyDescent="0.3">
      <c r="N937" s="3"/>
      <c r="U937" s="3"/>
    </row>
    <row r="938" spans="14:21" ht="15.75" customHeight="1" x14ac:dyDescent="0.3">
      <c r="N938" s="3"/>
      <c r="U938" s="3"/>
    </row>
    <row r="939" spans="14:21" ht="15.75" customHeight="1" x14ac:dyDescent="0.3">
      <c r="N939" s="3"/>
      <c r="U939" s="3"/>
    </row>
    <row r="940" spans="14:21" ht="15.75" customHeight="1" x14ac:dyDescent="0.3">
      <c r="N940" s="3"/>
      <c r="U940" s="3"/>
    </row>
    <row r="941" spans="14:21" ht="15.75" customHeight="1" x14ac:dyDescent="0.3">
      <c r="N941" s="3"/>
      <c r="U941" s="3"/>
    </row>
    <row r="942" spans="14:21" ht="15.75" customHeight="1" x14ac:dyDescent="0.3">
      <c r="N942" s="3"/>
      <c r="U942" s="3"/>
    </row>
    <row r="943" spans="14:21" ht="15.75" customHeight="1" x14ac:dyDescent="0.3">
      <c r="N943" s="3"/>
      <c r="U943" s="3"/>
    </row>
    <row r="944" spans="14:21" ht="15.75" customHeight="1" x14ac:dyDescent="0.3">
      <c r="N944" s="3"/>
      <c r="U944" s="3"/>
    </row>
    <row r="945" spans="14:21" ht="15.75" customHeight="1" x14ac:dyDescent="0.3">
      <c r="N945" s="3"/>
      <c r="U945" s="3"/>
    </row>
    <row r="946" spans="14:21" ht="15.75" customHeight="1" x14ac:dyDescent="0.3">
      <c r="N946" s="3"/>
      <c r="U946" s="3"/>
    </row>
    <row r="947" spans="14:21" ht="15.75" customHeight="1" x14ac:dyDescent="0.3">
      <c r="N947" s="3"/>
      <c r="U947" s="3"/>
    </row>
    <row r="948" spans="14:21" ht="15.75" customHeight="1" x14ac:dyDescent="0.3">
      <c r="N948" s="3"/>
      <c r="U948" s="3"/>
    </row>
    <row r="949" spans="14:21" ht="15.75" customHeight="1" x14ac:dyDescent="0.3">
      <c r="N949" s="3"/>
      <c r="U949" s="3"/>
    </row>
    <row r="950" spans="14:21" ht="15.75" customHeight="1" x14ac:dyDescent="0.3">
      <c r="N950" s="3"/>
      <c r="U950" s="3"/>
    </row>
    <row r="951" spans="14:21" ht="15.75" customHeight="1" x14ac:dyDescent="0.3">
      <c r="N951" s="3"/>
      <c r="U951" s="3"/>
    </row>
    <row r="952" spans="14:21" ht="15.75" customHeight="1" x14ac:dyDescent="0.3">
      <c r="N952" s="3"/>
      <c r="U952" s="3"/>
    </row>
    <row r="953" spans="14:21" ht="15.75" customHeight="1" x14ac:dyDescent="0.3">
      <c r="N953" s="3"/>
      <c r="U953" s="3"/>
    </row>
    <row r="954" spans="14:21" ht="15.75" customHeight="1" x14ac:dyDescent="0.3">
      <c r="N954" s="3"/>
      <c r="U954" s="3"/>
    </row>
    <row r="955" spans="14:21" ht="15.75" customHeight="1" x14ac:dyDescent="0.3">
      <c r="N955" s="3"/>
      <c r="U955" s="3"/>
    </row>
    <row r="956" spans="14:21" ht="15.75" customHeight="1" x14ac:dyDescent="0.3">
      <c r="N956" s="3"/>
      <c r="U956" s="3"/>
    </row>
    <row r="957" spans="14:21" ht="15.75" customHeight="1" x14ac:dyDescent="0.3">
      <c r="N957" s="3"/>
      <c r="U957" s="3"/>
    </row>
    <row r="958" spans="14:21" ht="15.75" customHeight="1" x14ac:dyDescent="0.3">
      <c r="N958" s="3"/>
      <c r="U958" s="3"/>
    </row>
    <row r="959" spans="14:21" ht="15.75" customHeight="1" x14ac:dyDescent="0.3">
      <c r="N959" s="3"/>
      <c r="U959" s="3"/>
    </row>
    <row r="960" spans="14:21" ht="15.75" customHeight="1" x14ac:dyDescent="0.3">
      <c r="N960" s="3"/>
      <c r="U960" s="3"/>
    </row>
    <row r="961" spans="14:21" ht="15.75" customHeight="1" x14ac:dyDescent="0.3">
      <c r="N961" s="3"/>
      <c r="U961" s="3"/>
    </row>
    <row r="962" spans="14:21" ht="15.75" customHeight="1" x14ac:dyDescent="0.3">
      <c r="N962" s="3"/>
      <c r="U962" s="3"/>
    </row>
    <row r="963" spans="14:21" ht="15.75" customHeight="1" x14ac:dyDescent="0.3">
      <c r="N963" s="3"/>
      <c r="U963" s="3"/>
    </row>
    <row r="964" spans="14:21" ht="15.75" customHeight="1" x14ac:dyDescent="0.3">
      <c r="N964" s="3"/>
      <c r="U964" s="3"/>
    </row>
    <row r="965" spans="14:21" ht="15.75" customHeight="1" x14ac:dyDescent="0.3">
      <c r="N965" s="3"/>
      <c r="U965" s="3"/>
    </row>
    <row r="966" spans="14:21" ht="15.75" customHeight="1" x14ac:dyDescent="0.3">
      <c r="N966" s="3"/>
      <c r="U966" s="3"/>
    </row>
    <row r="967" spans="14:21" ht="15.75" customHeight="1" x14ac:dyDescent="0.3">
      <c r="N967" s="3"/>
      <c r="U967" s="3"/>
    </row>
    <row r="968" spans="14:21" ht="15.75" customHeight="1" x14ac:dyDescent="0.3">
      <c r="N968" s="3"/>
      <c r="U968" s="3"/>
    </row>
    <row r="969" spans="14:21" ht="15.75" customHeight="1" x14ac:dyDescent="0.3">
      <c r="N969" s="3"/>
      <c r="U969" s="3"/>
    </row>
    <row r="970" spans="14:21" ht="15.75" customHeight="1" x14ac:dyDescent="0.3">
      <c r="N970" s="3"/>
      <c r="U970" s="3"/>
    </row>
    <row r="971" spans="14:21" ht="15.75" customHeight="1" x14ac:dyDescent="0.3">
      <c r="N971" s="3"/>
      <c r="U971" s="3"/>
    </row>
    <row r="972" spans="14:21" ht="15.75" customHeight="1" x14ac:dyDescent="0.3">
      <c r="N972" s="3"/>
      <c r="U972" s="3"/>
    </row>
    <row r="973" spans="14:21" ht="15.75" customHeight="1" x14ac:dyDescent="0.3">
      <c r="N973" s="3"/>
      <c r="U973" s="3"/>
    </row>
    <row r="974" spans="14:21" ht="15.75" customHeight="1" x14ac:dyDescent="0.3">
      <c r="N974" s="3"/>
      <c r="U974" s="3"/>
    </row>
    <row r="975" spans="14:21" ht="15.75" customHeight="1" x14ac:dyDescent="0.3">
      <c r="N975" s="3"/>
      <c r="U975" s="3"/>
    </row>
    <row r="976" spans="14:21" ht="15.75" customHeight="1" x14ac:dyDescent="0.3">
      <c r="N976" s="3"/>
      <c r="U976" s="3"/>
    </row>
    <row r="977" spans="14:21" ht="15.75" customHeight="1" x14ac:dyDescent="0.3">
      <c r="N977" s="3"/>
      <c r="U977" s="3"/>
    </row>
    <row r="978" spans="14:21" ht="15.75" customHeight="1" x14ac:dyDescent="0.3">
      <c r="N978" s="3"/>
      <c r="U978" s="3"/>
    </row>
    <row r="979" spans="14:21" ht="15.75" customHeight="1" x14ac:dyDescent="0.3">
      <c r="N979" s="3"/>
      <c r="U979" s="3"/>
    </row>
    <row r="980" spans="14:21" ht="15.75" customHeight="1" x14ac:dyDescent="0.3">
      <c r="N980" s="3"/>
      <c r="U980" s="3"/>
    </row>
    <row r="981" spans="14:21" ht="15.75" customHeight="1" x14ac:dyDescent="0.3">
      <c r="N981" s="3"/>
      <c r="U981" s="3"/>
    </row>
    <row r="982" spans="14:21" ht="15.75" customHeight="1" x14ac:dyDescent="0.3">
      <c r="N982" s="3"/>
      <c r="U982" s="3"/>
    </row>
    <row r="983" spans="14:21" ht="15.75" customHeight="1" x14ac:dyDescent="0.3">
      <c r="N983" s="3"/>
      <c r="U983" s="3"/>
    </row>
    <row r="984" spans="14:21" ht="15.75" customHeight="1" x14ac:dyDescent="0.3">
      <c r="N984" s="3"/>
      <c r="U984" s="3"/>
    </row>
    <row r="985" spans="14:21" ht="15.75" customHeight="1" x14ac:dyDescent="0.3">
      <c r="N985" s="3"/>
      <c r="U985" s="3"/>
    </row>
    <row r="986" spans="14:21" ht="15.75" customHeight="1" x14ac:dyDescent="0.3">
      <c r="N986" s="3"/>
      <c r="U986" s="3"/>
    </row>
    <row r="987" spans="14:21" ht="15.75" customHeight="1" x14ac:dyDescent="0.3">
      <c r="N987" s="3"/>
      <c r="U987" s="3"/>
    </row>
    <row r="988" spans="14:21" ht="15.75" customHeight="1" x14ac:dyDescent="0.3">
      <c r="N988" s="3"/>
      <c r="U988" s="3"/>
    </row>
    <row r="989" spans="14:21" ht="15.75" customHeight="1" x14ac:dyDescent="0.3">
      <c r="N989" s="3"/>
      <c r="U989" s="3"/>
    </row>
    <row r="990" spans="14:21" ht="15.75" customHeight="1" x14ac:dyDescent="0.3">
      <c r="N990" s="3"/>
      <c r="U990" s="3"/>
    </row>
    <row r="991" spans="14:21" ht="15.75" customHeight="1" x14ac:dyDescent="0.3">
      <c r="N991" s="3"/>
      <c r="U991" s="3"/>
    </row>
    <row r="992" spans="14:21" ht="15.75" customHeight="1" x14ac:dyDescent="0.3">
      <c r="N992" s="3"/>
      <c r="U992" s="3"/>
    </row>
    <row r="993" spans="14:21" ht="15.75" customHeight="1" x14ac:dyDescent="0.3">
      <c r="N993" s="3"/>
      <c r="U993" s="3"/>
    </row>
    <row r="994" spans="14:21" ht="15.75" customHeight="1" x14ac:dyDescent="0.3">
      <c r="N994" s="3"/>
      <c r="U994" s="3"/>
    </row>
    <row r="995" spans="14:21" ht="15.75" customHeight="1" x14ac:dyDescent="0.3">
      <c r="N995" s="3"/>
      <c r="U995" s="3"/>
    </row>
    <row r="996" spans="14:21" ht="15.75" customHeight="1" x14ac:dyDescent="0.3">
      <c r="N996" s="3"/>
      <c r="U996" s="3"/>
    </row>
    <row r="997" spans="14:21" ht="15.75" customHeight="1" x14ac:dyDescent="0.3">
      <c r="N997" s="3"/>
      <c r="U997" s="3"/>
    </row>
    <row r="998" spans="14:21" ht="15.75" customHeight="1" x14ac:dyDescent="0.3">
      <c r="N998" s="3"/>
      <c r="U998" s="3"/>
    </row>
    <row r="999" spans="14:21" ht="15.75" customHeight="1" x14ac:dyDescent="0.3">
      <c r="N999" s="3"/>
      <c r="U999" s="3"/>
    </row>
    <row r="1000" spans="14:21" ht="15.75" customHeight="1" x14ac:dyDescent="0.3">
      <c r="N1000" s="3"/>
      <c r="U1000" s="3"/>
    </row>
  </sheetData>
  <mergeCells count="18">
    <mergeCell ref="J3:O3"/>
    <mergeCell ref="P3:T3"/>
    <mergeCell ref="P5:R5"/>
    <mergeCell ref="P14:R14"/>
    <mergeCell ref="P13:R13"/>
    <mergeCell ref="P18:R18"/>
    <mergeCell ref="P9:R9"/>
    <mergeCell ref="P6:R6"/>
    <mergeCell ref="P17:R17"/>
    <mergeCell ref="P12:R12"/>
    <mergeCell ref="P4:R4"/>
    <mergeCell ref="S4:T4"/>
    <mergeCell ref="P16:R16"/>
    <mergeCell ref="P7:R7"/>
    <mergeCell ref="P15:R15"/>
    <mergeCell ref="P11:R11"/>
    <mergeCell ref="P8:R8"/>
    <mergeCell ref="P10:R10"/>
  </mergeCells>
  <pageMargins left="0.73621937882764699" right="0.2" top="0.74803040244969399" bottom="0" header="0" footer="0"/>
  <pageSetup paperSize="9" orientation="portrait"/>
  <colBreaks count="1" manualBreakCount="1">
    <brk id="13"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I1000"/>
  <sheetViews>
    <sheetView workbookViewId="0">
      <selection activeCell="F14" sqref="F14"/>
    </sheetView>
  </sheetViews>
  <sheetFormatPr defaultColWidth="14.44140625" defaultRowHeight="15" customHeight="1" x14ac:dyDescent="0.3"/>
  <cols>
    <col min="1" max="1" width="6" customWidth="1"/>
    <col min="2" max="2" width="40.5546875" customWidth="1"/>
    <col min="3" max="3" width="13.5546875" customWidth="1"/>
    <col min="4" max="4" width="10.88671875" customWidth="1"/>
    <col min="5" max="5" width="10.5546875" customWidth="1"/>
    <col min="6" max="6" width="9.109375" customWidth="1"/>
    <col min="7" max="7" width="9.6640625" customWidth="1"/>
    <col min="8" max="8" width="15.33203125" customWidth="1"/>
    <col min="9" max="9" width="7.109375" customWidth="1"/>
    <col min="10" max="10" width="8.6640625" customWidth="1"/>
    <col min="11" max="11" width="35.6640625" customWidth="1"/>
    <col min="12" max="12" width="8.5546875" customWidth="1"/>
    <col min="13" max="13" width="5.33203125" customWidth="1"/>
    <col min="14" max="14" width="6.6640625" customWidth="1"/>
    <col min="15" max="15" width="9.109375" customWidth="1"/>
    <col min="16" max="16" width="9.6640625" customWidth="1"/>
    <col min="17" max="17" width="15.33203125" customWidth="1"/>
    <col min="18" max="18" width="3.109375" customWidth="1"/>
    <col min="19" max="19" width="6" customWidth="1"/>
    <col min="20" max="20" width="39" customWidth="1"/>
    <col min="21" max="21" width="5.5546875" customWidth="1"/>
    <col min="22" max="22" width="5.44140625" customWidth="1"/>
    <col min="23" max="23" width="6.6640625" customWidth="1"/>
    <col min="24" max="24" width="9.44140625" customWidth="1"/>
    <col min="25" max="25" width="9.88671875" customWidth="1"/>
    <col min="26" max="26" width="15.5546875" customWidth="1"/>
    <col min="27" max="27" width="4" customWidth="1"/>
    <col min="28" max="28" width="6" customWidth="1"/>
    <col min="29" max="29" width="47.5546875" customWidth="1"/>
    <col min="30" max="30" width="6.6640625" customWidth="1"/>
    <col min="31" max="31" width="5.44140625" customWidth="1"/>
    <col min="32" max="32" width="6.6640625" customWidth="1"/>
    <col min="33" max="33" width="9.44140625" customWidth="1"/>
    <col min="34" max="34" width="9.88671875" customWidth="1"/>
    <col min="35" max="35" width="15.5546875" customWidth="1"/>
  </cols>
  <sheetData>
    <row r="1" spans="1:35" ht="23.25" customHeight="1" x14ac:dyDescent="0.3">
      <c r="A1" s="305" t="s">
        <v>0</v>
      </c>
      <c r="B1" s="306"/>
      <c r="C1" s="306"/>
      <c r="D1" s="306"/>
      <c r="E1" s="306"/>
      <c r="F1" s="306"/>
      <c r="G1" s="306"/>
      <c r="H1" s="307"/>
      <c r="I1" s="3"/>
      <c r="J1" s="301" t="s">
        <v>1</v>
      </c>
      <c r="K1" s="302"/>
      <c r="L1" s="302"/>
      <c r="M1" s="302"/>
      <c r="N1" s="302"/>
      <c r="O1" s="302"/>
      <c r="P1" s="302"/>
      <c r="Q1" s="302"/>
      <c r="R1" s="3"/>
      <c r="S1" s="303" t="s">
        <v>2</v>
      </c>
      <c r="T1" s="302"/>
      <c r="U1" s="302"/>
      <c r="V1" s="302"/>
      <c r="W1" s="302"/>
      <c r="X1" s="302"/>
      <c r="Y1" s="302"/>
      <c r="Z1" s="304"/>
      <c r="AA1" s="3"/>
      <c r="AB1" s="303" t="s">
        <v>3</v>
      </c>
      <c r="AC1" s="302"/>
      <c r="AD1" s="302"/>
      <c r="AE1" s="302"/>
      <c r="AF1" s="302"/>
      <c r="AG1" s="302"/>
      <c r="AH1" s="302"/>
      <c r="AI1" s="304"/>
    </row>
    <row r="2" spans="1:35" ht="14.4" customHeight="1" x14ac:dyDescent="0.3">
      <c r="A2" s="29" t="s">
        <v>4</v>
      </c>
      <c r="B2" s="26" t="s">
        <v>5</v>
      </c>
      <c r="C2" s="30" t="s">
        <v>6</v>
      </c>
      <c r="D2" s="26" t="s">
        <v>7</v>
      </c>
      <c r="E2" s="30" t="s">
        <v>8</v>
      </c>
      <c r="F2" s="30" t="s">
        <v>9</v>
      </c>
      <c r="G2" s="30" t="s">
        <v>10</v>
      </c>
      <c r="H2" s="31" t="s">
        <v>11</v>
      </c>
      <c r="I2" s="3"/>
      <c r="J2" s="7" t="s">
        <v>4</v>
      </c>
      <c r="K2" s="26" t="s">
        <v>5</v>
      </c>
      <c r="L2" s="30" t="s">
        <v>6</v>
      </c>
      <c r="M2" s="26" t="s">
        <v>7</v>
      </c>
      <c r="N2" s="30" t="s">
        <v>8</v>
      </c>
      <c r="O2" s="30" t="s">
        <v>9</v>
      </c>
      <c r="P2" s="30" t="s">
        <v>10</v>
      </c>
      <c r="Q2" s="30" t="s">
        <v>11</v>
      </c>
      <c r="R2" s="3"/>
      <c r="S2" s="32" t="s">
        <v>4</v>
      </c>
      <c r="T2" s="33" t="s">
        <v>5</v>
      </c>
      <c r="U2" s="34" t="s">
        <v>6</v>
      </c>
      <c r="V2" s="33" t="s">
        <v>7</v>
      </c>
      <c r="W2" s="34" t="s">
        <v>8</v>
      </c>
      <c r="X2" s="34" t="s">
        <v>9</v>
      </c>
      <c r="Y2" s="34" t="s">
        <v>10</v>
      </c>
      <c r="Z2" s="34" t="s">
        <v>11</v>
      </c>
      <c r="AA2" s="3"/>
      <c r="AB2" s="32" t="s">
        <v>4</v>
      </c>
      <c r="AC2" s="33" t="s">
        <v>5</v>
      </c>
      <c r="AD2" s="34" t="s">
        <v>6</v>
      </c>
      <c r="AE2" s="33" t="s">
        <v>7</v>
      </c>
      <c r="AF2" s="34" t="s">
        <v>8</v>
      </c>
      <c r="AG2" s="34" t="s">
        <v>9</v>
      </c>
      <c r="AH2" s="34" t="s">
        <v>10</v>
      </c>
      <c r="AI2" s="34" t="s">
        <v>11</v>
      </c>
    </row>
    <row r="3" spans="1:35" ht="14.4" customHeight="1" x14ac:dyDescent="0.3">
      <c r="A3" s="29"/>
      <c r="B3" s="26"/>
      <c r="C3" s="30"/>
      <c r="D3" s="26"/>
      <c r="E3" s="30"/>
      <c r="F3" s="30"/>
      <c r="G3" s="30"/>
      <c r="H3" s="31"/>
      <c r="I3" s="3"/>
      <c r="J3" s="7"/>
      <c r="K3" s="26"/>
      <c r="L3" s="30"/>
      <c r="M3" s="26"/>
      <c r="N3" s="30"/>
      <c r="O3" s="30"/>
      <c r="P3" s="30"/>
      <c r="Q3" s="30"/>
      <c r="R3" s="3"/>
      <c r="S3" s="7"/>
      <c r="T3" s="26"/>
      <c r="U3" s="30"/>
      <c r="V3" s="26"/>
      <c r="W3" s="30"/>
      <c r="X3" s="30"/>
      <c r="Y3" s="30"/>
      <c r="Z3" s="30"/>
      <c r="AA3" s="3"/>
      <c r="AB3" s="7"/>
      <c r="AC3" s="26"/>
      <c r="AD3" s="30"/>
      <c r="AE3" s="26"/>
      <c r="AF3" s="30"/>
      <c r="AG3" s="30"/>
      <c r="AH3" s="30"/>
      <c r="AI3" s="30"/>
    </row>
    <row r="4" spans="1:35" ht="14.4" customHeight="1" x14ac:dyDescent="0.3">
      <c r="A4" s="29">
        <v>1</v>
      </c>
      <c r="B4" s="26" t="s">
        <v>12</v>
      </c>
      <c r="C4" s="30">
        <v>10.5</v>
      </c>
      <c r="D4" s="26" t="s">
        <v>13</v>
      </c>
      <c r="E4" s="30">
        <f>Rates!$K$5</f>
        <v>100</v>
      </c>
      <c r="F4" s="30">
        <f t="shared" ref="F4:F12" si="0">C4*E4</f>
        <v>1050</v>
      </c>
      <c r="G4" s="30">
        <v>500</v>
      </c>
      <c r="H4" s="31">
        <f t="shared" ref="H4:H17" si="1">F4+G4</f>
        <v>1550</v>
      </c>
      <c r="I4" s="3"/>
      <c r="J4" s="7">
        <v>1</v>
      </c>
      <c r="K4" s="26" t="s">
        <v>14</v>
      </c>
      <c r="L4" s="30">
        <v>13.5</v>
      </c>
      <c r="M4" s="26" t="s">
        <v>13</v>
      </c>
      <c r="N4" s="30">
        <f>Rates!$K$5</f>
        <v>100</v>
      </c>
      <c r="O4" s="30">
        <f t="shared" ref="O4:O17" si="2">L4*N4</f>
        <v>1350</v>
      </c>
      <c r="P4" s="30">
        <v>500</v>
      </c>
      <c r="Q4" s="30">
        <f t="shared" ref="Q4:Q17" si="3">O4+P4</f>
        <v>1850</v>
      </c>
      <c r="R4" s="3"/>
      <c r="S4" s="7">
        <v>1</v>
      </c>
      <c r="T4" s="26" t="s">
        <v>15</v>
      </c>
      <c r="U4" s="30">
        <v>24</v>
      </c>
      <c r="V4" s="26" t="s">
        <v>13</v>
      </c>
      <c r="W4" s="30">
        <f>Rates!$K$5</f>
        <v>100</v>
      </c>
      <c r="X4" s="30">
        <f t="shared" ref="X4:X17" si="4">U4*W4</f>
        <v>2400</v>
      </c>
      <c r="Y4" s="30">
        <v>550</v>
      </c>
      <c r="Z4" s="30">
        <f t="shared" ref="Z4:Z17" si="5">X4+Y4</f>
        <v>2950</v>
      </c>
      <c r="AA4" s="3"/>
      <c r="AB4" s="7">
        <v>1</v>
      </c>
      <c r="AC4" s="26" t="s">
        <v>16</v>
      </c>
      <c r="AD4" s="30">
        <v>22.24</v>
      </c>
      <c r="AE4" s="26" t="s">
        <v>13</v>
      </c>
      <c r="AF4" s="30">
        <v>80</v>
      </c>
      <c r="AG4" s="30">
        <f t="shared" ref="AG4:AG21" si="6">AD4*AF4</f>
        <v>1779.1999999999998</v>
      </c>
      <c r="AH4" s="30"/>
      <c r="AI4" s="30">
        <f t="shared" ref="AI4:AI21" si="7">AG4+AH4</f>
        <v>1779.1999999999998</v>
      </c>
    </row>
    <row r="5" spans="1:35" ht="14.4" customHeight="1" x14ac:dyDescent="0.3">
      <c r="A5" s="29">
        <v>2</v>
      </c>
      <c r="B5" s="26" t="s">
        <v>17</v>
      </c>
      <c r="C5" s="30">
        <v>3.9</v>
      </c>
      <c r="D5" s="26" t="s">
        <v>13</v>
      </c>
      <c r="E5" s="30">
        <f>Rates!$K$5</f>
        <v>100</v>
      </c>
      <c r="F5" s="30">
        <f t="shared" si="0"/>
        <v>390</v>
      </c>
      <c r="G5" s="30">
        <v>500</v>
      </c>
      <c r="H5" s="31">
        <f t="shared" si="1"/>
        <v>890</v>
      </c>
      <c r="I5" s="3"/>
      <c r="J5" s="7">
        <v>2</v>
      </c>
      <c r="K5" s="26" t="s">
        <v>18</v>
      </c>
      <c r="L5" s="30">
        <v>6.8</v>
      </c>
      <c r="M5" s="26" t="s">
        <v>13</v>
      </c>
      <c r="N5" s="30">
        <f>Rates!$K$5</f>
        <v>100</v>
      </c>
      <c r="O5" s="30">
        <f t="shared" si="2"/>
        <v>680</v>
      </c>
      <c r="P5" s="30">
        <v>500</v>
      </c>
      <c r="Q5" s="35">
        <f t="shared" si="3"/>
        <v>1180</v>
      </c>
      <c r="R5" s="3"/>
      <c r="S5" s="7">
        <v>2</v>
      </c>
      <c r="T5" s="26" t="s">
        <v>19</v>
      </c>
      <c r="U5" s="30">
        <v>16.8</v>
      </c>
      <c r="V5" s="26" t="s">
        <v>13</v>
      </c>
      <c r="W5" s="30">
        <f>Rates!$K$5</f>
        <v>100</v>
      </c>
      <c r="X5" s="30">
        <f t="shared" si="4"/>
        <v>1680</v>
      </c>
      <c r="Y5" s="30">
        <v>500</v>
      </c>
      <c r="Z5" s="30">
        <f t="shared" si="5"/>
        <v>2180</v>
      </c>
      <c r="AA5" s="3"/>
      <c r="AB5" s="7">
        <v>2</v>
      </c>
      <c r="AC5" s="26" t="s">
        <v>20</v>
      </c>
      <c r="AD5" s="30">
        <v>7.68</v>
      </c>
      <c r="AE5" s="26" t="s">
        <v>13</v>
      </c>
      <c r="AF5" s="30">
        <v>72</v>
      </c>
      <c r="AG5" s="30">
        <f t="shared" si="6"/>
        <v>552.96</v>
      </c>
      <c r="AH5" s="30">
        <v>1500</v>
      </c>
      <c r="AI5" s="30">
        <f t="shared" si="7"/>
        <v>2052.96</v>
      </c>
    </row>
    <row r="6" spans="1:35" ht="14.4" customHeight="1" x14ac:dyDescent="0.3">
      <c r="A6" s="29">
        <v>3</v>
      </c>
      <c r="B6" s="26" t="s">
        <v>21</v>
      </c>
      <c r="C6" s="30">
        <v>2.6</v>
      </c>
      <c r="D6" s="26" t="s">
        <v>13</v>
      </c>
      <c r="E6" s="30">
        <f>Rates!$K$5</f>
        <v>100</v>
      </c>
      <c r="F6" s="30">
        <f t="shared" si="0"/>
        <v>260</v>
      </c>
      <c r="G6" s="30">
        <v>200</v>
      </c>
      <c r="H6" s="31">
        <f t="shared" si="1"/>
        <v>460</v>
      </c>
      <c r="I6" s="3"/>
      <c r="J6" s="7">
        <v>3</v>
      </c>
      <c r="K6" s="26" t="s">
        <v>22</v>
      </c>
      <c r="L6" s="30">
        <v>4.3</v>
      </c>
      <c r="M6" s="26" t="s">
        <v>13</v>
      </c>
      <c r="N6" s="30">
        <f>Rates!$K$5</f>
        <v>100</v>
      </c>
      <c r="O6" s="30">
        <f t="shared" si="2"/>
        <v>430</v>
      </c>
      <c r="P6" s="30">
        <v>200</v>
      </c>
      <c r="Q6" s="35">
        <f t="shared" si="3"/>
        <v>630</v>
      </c>
      <c r="R6" s="3"/>
      <c r="S6" s="7">
        <v>3</v>
      </c>
      <c r="T6" s="26" t="s">
        <v>23</v>
      </c>
      <c r="U6" s="30">
        <v>8.4</v>
      </c>
      <c r="V6" s="26" t="s">
        <v>13</v>
      </c>
      <c r="W6" s="30">
        <f>Rates!$K$5</f>
        <v>100</v>
      </c>
      <c r="X6" s="30">
        <f t="shared" si="4"/>
        <v>840</v>
      </c>
      <c r="Y6" s="30">
        <v>300</v>
      </c>
      <c r="Z6" s="30">
        <f t="shared" si="5"/>
        <v>1140</v>
      </c>
      <c r="AA6" s="3"/>
      <c r="AB6" s="7">
        <v>3</v>
      </c>
      <c r="AC6" s="26" t="s">
        <v>24</v>
      </c>
      <c r="AD6" s="30">
        <v>1</v>
      </c>
      <c r="AE6" s="26" t="s">
        <v>25</v>
      </c>
      <c r="AF6" s="30">
        <f>Rates!C22</f>
        <v>135</v>
      </c>
      <c r="AG6" s="30">
        <f t="shared" si="6"/>
        <v>135</v>
      </c>
      <c r="AH6" s="30"/>
      <c r="AI6" s="30">
        <f t="shared" si="7"/>
        <v>135</v>
      </c>
    </row>
    <row r="7" spans="1:35" ht="14.4" customHeight="1" x14ac:dyDescent="0.3">
      <c r="A7" s="29">
        <v>4</v>
      </c>
      <c r="B7" s="26" t="s">
        <v>26</v>
      </c>
      <c r="C7" s="30">
        <v>3</v>
      </c>
      <c r="D7" s="26" t="s">
        <v>13</v>
      </c>
      <c r="E7" s="30">
        <f>Rates!$K$5</f>
        <v>100</v>
      </c>
      <c r="F7" s="30">
        <f t="shared" si="0"/>
        <v>300</v>
      </c>
      <c r="G7" s="30">
        <v>100</v>
      </c>
      <c r="H7" s="31">
        <f t="shared" si="1"/>
        <v>400</v>
      </c>
      <c r="I7" s="3"/>
      <c r="J7" s="7">
        <v>4</v>
      </c>
      <c r="K7" s="26" t="s">
        <v>27</v>
      </c>
      <c r="L7" s="30">
        <v>3.8</v>
      </c>
      <c r="M7" s="26" t="s">
        <v>13</v>
      </c>
      <c r="N7" s="30">
        <f>Rates!$K$5</f>
        <v>100</v>
      </c>
      <c r="O7" s="30">
        <f t="shared" si="2"/>
        <v>380</v>
      </c>
      <c r="P7" s="30">
        <v>100</v>
      </c>
      <c r="Q7" s="30">
        <f t="shared" si="3"/>
        <v>480</v>
      </c>
      <c r="R7" s="3"/>
      <c r="S7" s="7">
        <v>4</v>
      </c>
      <c r="T7" s="26" t="s">
        <v>28</v>
      </c>
      <c r="U7" s="30">
        <v>4.7</v>
      </c>
      <c r="V7" s="26" t="s">
        <v>13</v>
      </c>
      <c r="W7" s="30">
        <f>Rates!$K$5</f>
        <v>100</v>
      </c>
      <c r="X7" s="30">
        <f t="shared" si="4"/>
        <v>470</v>
      </c>
      <c r="Y7" s="30">
        <v>100</v>
      </c>
      <c r="Z7" s="30">
        <f t="shared" si="5"/>
        <v>570</v>
      </c>
      <c r="AA7" s="3"/>
      <c r="AB7" s="7">
        <v>4</v>
      </c>
      <c r="AC7" s="26" t="s">
        <v>29</v>
      </c>
      <c r="AD7" s="30">
        <v>5.24</v>
      </c>
      <c r="AE7" s="26" t="s">
        <v>13</v>
      </c>
      <c r="AF7" s="30">
        <v>80</v>
      </c>
      <c r="AG7" s="30">
        <f t="shared" si="6"/>
        <v>419.20000000000005</v>
      </c>
      <c r="AH7" s="30"/>
      <c r="AI7" s="30">
        <f t="shared" si="7"/>
        <v>419.20000000000005</v>
      </c>
    </row>
    <row r="8" spans="1:35" ht="14.4" customHeight="1" x14ac:dyDescent="0.3">
      <c r="A8" s="29">
        <v>5</v>
      </c>
      <c r="B8" s="26" t="s">
        <v>30</v>
      </c>
      <c r="C8" s="30">
        <v>1</v>
      </c>
      <c r="D8" s="26" t="s">
        <v>31</v>
      </c>
      <c r="E8" s="30">
        <f>Rates!K6</f>
        <v>2500</v>
      </c>
      <c r="F8" s="30">
        <f t="shared" si="0"/>
        <v>2500</v>
      </c>
      <c r="G8" s="30"/>
      <c r="H8" s="31">
        <f t="shared" si="1"/>
        <v>2500</v>
      </c>
      <c r="I8" s="3"/>
      <c r="J8" s="7">
        <v>5</v>
      </c>
      <c r="K8" s="26" t="s">
        <v>32</v>
      </c>
      <c r="L8" s="30">
        <v>1</v>
      </c>
      <c r="M8" s="26" t="s">
        <v>31</v>
      </c>
      <c r="N8" s="30">
        <f>Rates!K7</f>
        <v>2600</v>
      </c>
      <c r="O8" s="30">
        <f t="shared" si="2"/>
        <v>2600</v>
      </c>
      <c r="P8" s="30"/>
      <c r="Q8" s="30">
        <f t="shared" si="3"/>
        <v>2600</v>
      </c>
      <c r="R8" s="3"/>
      <c r="S8" s="7">
        <v>5</v>
      </c>
      <c r="T8" s="26" t="s">
        <v>33</v>
      </c>
      <c r="U8" s="30">
        <v>1</v>
      </c>
      <c r="V8" s="26" t="s">
        <v>31</v>
      </c>
      <c r="W8" s="30">
        <f>Rates!K8</f>
        <v>5000</v>
      </c>
      <c r="X8" s="30">
        <f t="shared" si="4"/>
        <v>5000</v>
      </c>
      <c r="Y8" s="30"/>
      <c r="Z8" s="30">
        <f t="shared" si="5"/>
        <v>5000</v>
      </c>
      <c r="AA8" s="3"/>
      <c r="AB8" s="7">
        <v>5</v>
      </c>
      <c r="AC8" s="26" t="s">
        <v>34</v>
      </c>
      <c r="AD8" s="30">
        <v>20.6</v>
      </c>
      <c r="AE8" s="26" t="s">
        <v>13</v>
      </c>
      <c r="AF8" s="30">
        <v>72</v>
      </c>
      <c r="AG8" s="30">
        <f t="shared" si="6"/>
        <v>1483.2</v>
      </c>
      <c r="AH8" s="30"/>
      <c r="AI8" s="30">
        <f t="shared" si="7"/>
        <v>1483.2</v>
      </c>
    </row>
    <row r="9" spans="1:35" ht="14.4" customHeight="1" x14ac:dyDescent="0.3">
      <c r="A9" s="29">
        <v>6</v>
      </c>
      <c r="B9" s="26" t="s">
        <v>35</v>
      </c>
      <c r="C9" s="30">
        <v>1</v>
      </c>
      <c r="D9" s="26" t="s">
        <v>25</v>
      </c>
      <c r="E9" s="30">
        <f>Rates!K21</f>
        <v>1500</v>
      </c>
      <c r="F9" s="30">
        <f t="shared" si="0"/>
        <v>1500</v>
      </c>
      <c r="G9" s="30"/>
      <c r="H9" s="31">
        <f t="shared" si="1"/>
        <v>1500</v>
      </c>
      <c r="I9" s="3"/>
      <c r="J9" s="7">
        <v>6</v>
      </c>
      <c r="K9" s="26" t="s">
        <v>36</v>
      </c>
      <c r="L9" s="30">
        <v>1</v>
      </c>
      <c r="M9" s="26" t="s">
        <v>25</v>
      </c>
      <c r="N9" s="30">
        <f>Rates!K22</f>
        <v>1650</v>
      </c>
      <c r="O9" s="30">
        <f t="shared" si="2"/>
        <v>1650</v>
      </c>
      <c r="P9" s="30"/>
      <c r="Q9" s="30">
        <f t="shared" si="3"/>
        <v>1650</v>
      </c>
      <c r="R9" s="3"/>
      <c r="S9" s="7">
        <v>6</v>
      </c>
      <c r="T9" s="26" t="s">
        <v>37</v>
      </c>
      <c r="U9" s="30">
        <v>1</v>
      </c>
      <c r="V9" s="26" t="s">
        <v>25</v>
      </c>
      <c r="W9" s="30">
        <f>Rates!K22</f>
        <v>1650</v>
      </c>
      <c r="X9" s="30">
        <f t="shared" si="4"/>
        <v>1650</v>
      </c>
      <c r="Y9" s="30"/>
      <c r="Z9" s="30">
        <f t="shared" si="5"/>
        <v>1650</v>
      </c>
      <c r="AA9" s="3"/>
      <c r="AB9" s="7">
        <v>6</v>
      </c>
      <c r="AC9" s="26" t="s">
        <v>38</v>
      </c>
      <c r="AD9" s="30">
        <v>2.12</v>
      </c>
      <c r="AE9" s="26" t="s">
        <v>13</v>
      </c>
      <c r="AF9" s="30">
        <v>80</v>
      </c>
      <c r="AG9" s="30">
        <f t="shared" si="6"/>
        <v>169.60000000000002</v>
      </c>
      <c r="AH9" s="30"/>
      <c r="AI9" s="30">
        <f t="shared" si="7"/>
        <v>169.60000000000002</v>
      </c>
    </row>
    <row r="10" spans="1:35" ht="14.4" customHeight="1" x14ac:dyDescent="0.3">
      <c r="A10" s="29">
        <v>7</v>
      </c>
      <c r="B10" s="26" t="s">
        <v>39</v>
      </c>
      <c r="C10" s="30">
        <v>1</v>
      </c>
      <c r="D10" s="26" t="s">
        <v>25</v>
      </c>
      <c r="E10" s="30">
        <f>Rates!K24</f>
        <v>450</v>
      </c>
      <c r="F10" s="30">
        <f t="shared" si="0"/>
        <v>450</v>
      </c>
      <c r="G10" s="30"/>
      <c r="H10" s="31">
        <f t="shared" si="1"/>
        <v>450</v>
      </c>
      <c r="I10" s="3"/>
      <c r="J10" s="7">
        <v>7</v>
      </c>
      <c r="K10" s="26" t="s">
        <v>40</v>
      </c>
      <c r="L10" s="30">
        <v>1</v>
      </c>
      <c r="M10" s="26" t="s">
        <v>25</v>
      </c>
      <c r="N10" s="30">
        <f>Rates!K24</f>
        <v>450</v>
      </c>
      <c r="O10" s="30">
        <f t="shared" si="2"/>
        <v>450</v>
      </c>
      <c r="P10" s="30"/>
      <c r="Q10" s="30">
        <f t="shared" si="3"/>
        <v>450</v>
      </c>
      <c r="R10" s="3"/>
      <c r="S10" s="7">
        <v>7</v>
      </c>
      <c r="T10" s="26" t="s">
        <v>41</v>
      </c>
      <c r="U10" s="30">
        <v>1</v>
      </c>
      <c r="V10" s="26" t="s">
        <v>25</v>
      </c>
      <c r="W10" s="30">
        <f>N10</f>
        <v>450</v>
      </c>
      <c r="X10" s="30">
        <f t="shared" si="4"/>
        <v>450</v>
      </c>
      <c r="Y10" s="30"/>
      <c r="Z10" s="30">
        <f t="shared" si="5"/>
        <v>450</v>
      </c>
      <c r="AA10" s="3"/>
      <c r="AB10" s="7">
        <v>7</v>
      </c>
      <c r="AC10" s="26" t="s">
        <v>42</v>
      </c>
      <c r="AD10" s="30">
        <v>2.38</v>
      </c>
      <c r="AE10" s="26" t="s">
        <v>13</v>
      </c>
      <c r="AF10" s="30">
        <v>72</v>
      </c>
      <c r="AG10" s="30">
        <f t="shared" si="6"/>
        <v>171.35999999999999</v>
      </c>
      <c r="AH10" s="30"/>
      <c r="AI10" s="30">
        <f t="shared" si="7"/>
        <v>171.35999999999999</v>
      </c>
    </row>
    <row r="11" spans="1:35" ht="14.4" customHeight="1" x14ac:dyDescent="0.3">
      <c r="A11" s="29">
        <v>8</v>
      </c>
      <c r="B11" s="26" t="s">
        <v>43</v>
      </c>
      <c r="C11" s="30">
        <v>1</v>
      </c>
      <c r="D11" s="26" t="s">
        <v>25</v>
      </c>
      <c r="E11" s="30">
        <f>Rates!K14</f>
        <v>590</v>
      </c>
      <c r="F11" s="30">
        <f t="shared" si="0"/>
        <v>590</v>
      </c>
      <c r="G11" s="30"/>
      <c r="H11" s="31">
        <f t="shared" si="1"/>
        <v>590</v>
      </c>
      <c r="I11" s="3"/>
      <c r="J11" s="7">
        <v>8</v>
      </c>
      <c r="K11" s="26" t="s">
        <v>43</v>
      </c>
      <c r="L11" s="30">
        <v>1</v>
      </c>
      <c r="M11" s="26" t="s">
        <v>25</v>
      </c>
      <c r="N11" s="30">
        <f>E11</f>
        <v>590</v>
      </c>
      <c r="O11" s="30">
        <f t="shared" si="2"/>
        <v>590</v>
      </c>
      <c r="P11" s="30"/>
      <c r="Q11" s="30">
        <f t="shared" si="3"/>
        <v>590</v>
      </c>
      <c r="R11" s="3"/>
      <c r="S11" s="7">
        <v>8</v>
      </c>
      <c r="T11" s="26" t="s">
        <v>44</v>
      </c>
      <c r="U11" s="30">
        <v>1</v>
      </c>
      <c r="V11" s="26" t="s">
        <v>25</v>
      </c>
      <c r="W11" s="30">
        <f>Rates!K15</f>
        <v>750</v>
      </c>
      <c r="X11" s="30">
        <f t="shared" si="4"/>
        <v>750</v>
      </c>
      <c r="Y11" s="30"/>
      <c r="Z11" s="35">
        <f t="shared" si="5"/>
        <v>750</v>
      </c>
      <c r="AA11" s="3"/>
      <c r="AB11" s="7">
        <v>8</v>
      </c>
      <c r="AC11" s="26" t="s">
        <v>45</v>
      </c>
      <c r="AD11" s="30">
        <v>1.6</v>
      </c>
      <c r="AE11" s="26" t="s">
        <v>13</v>
      </c>
      <c r="AF11" s="30">
        <v>72</v>
      </c>
      <c r="AG11" s="30">
        <f t="shared" si="6"/>
        <v>115.2</v>
      </c>
      <c r="AH11" s="30"/>
      <c r="AI11" s="30">
        <f t="shared" si="7"/>
        <v>115.2</v>
      </c>
    </row>
    <row r="12" spans="1:35" ht="14.4" customHeight="1" x14ac:dyDescent="0.3">
      <c r="A12" s="29">
        <v>9</v>
      </c>
      <c r="B12" s="26" t="s">
        <v>46</v>
      </c>
      <c r="C12" s="30">
        <v>1</v>
      </c>
      <c r="D12" s="26" t="s">
        <v>25</v>
      </c>
      <c r="E12" s="30">
        <f>E11</f>
        <v>590</v>
      </c>
      <c r="F12" s="30">
        <f t="shared" si="0"/>
        <v>590</v>
      </c>
      <c r="G12" s="30"/>
      <c r="H12" s="31">
        <f t="shared" si="1"/>
        <v>590</v>
      </c>
      <c r="I12" s="3"/>
      <c r="J12" s="7">
        <v>9</v>
      </c>
      <c r="K12" s="26" t="s">
        <v>46</v>
      </c>
      <c r="L12" s="30">
        <v>1</v>
      </c>
      <c r="M12" s="26" t="s">
        <v>25</v>
      </c>
      <c r="N12" s="30">
        <f>N11</f>
        <v>590</v>
      </c>
      <c r="O12" s="30">
        <f t="shared" si="2"/>
        <v>590</v>
      </c>
      <c r="P12" s="30"/>
      <c r="Q12" s="30">
        <f t="shared" si="3"/>
        <v>590</v>
      </c>
      <c r="R12" s="3"/>
      <c r="S12" s="7">
        <v>9</v>
      </c>
      <c r="T12" s="26" t="s">
        <v>47</v>
      </c>
      <c r="U12" s="30">
        <v>1</v>
      </c>
      <c r="V12" s="26" t="s">
        <v>25</v>
      </c>
      <c r="W12" s="30">
        <f>Rates!K16</f>
        <v>800</v>
      </c>
      <c r="X12" s="30">
        <f t="shared" si="4"/>
        <v>800</v>
      </c>
      <c r="Y12" s="30"/>
      <c r="Z12" s="35">
        <f t="shared" si="5"/>
        <v>800</v>
      </c>
      <c r="AA12" s="3"/>
      <c r="AB12" s="7">
        <v>9</v>
      </c>
      <c r="AC12" s="26" t="s">
        <v>48</v>
      </c>
      <c r="AD12" s="30">
        <v>1</v>
      </c>
      <c r="AE12" s="26" t="s">
        <v>13</v>
      </c>
      <c r="AF12" s="30">
        <v>72</v>
      </c>
      <c r="AG12" s="30">
        <f t="shared" si="6"/>
        <v>72</v>
      </c>
      <c r="AH12" s="30"/>
      <c r="AI12" s="30">
        <f t="shared" si="7"/>
        <v>72</v>
      </c>
    </row>
    <row r="13" spans="1:35" ht="14.4" customHeight="1" x14ac:dyDescent="0.3">
      <c r="A13" s="29">
        <v>10</v>
      </c>
      <c r="B13" s="26" t="s">
        <v>49</v>
      </c>
      <c r="C13" s="30">
        <v>1</v>
      </c>
      <c r="D13" s="26" t="s">
        <v>25</v>
      </c>
      <c r="E13" s="30">
        <f>Rates!K10</f>
        <v>2300</v>
      </c>
      <c r="F13" s="30">
        <v>2500</v>
      </c>
      <c r="G13" s="30"/>
      <c r="H13" s="31">
        <f t="shared" si="1"/>
        <v>2500</v>
      </c>
      <c r="I13" s="3"/>
      <c r="J13" s="7">
        <v>10</v>
      </c>
      <c r="K13" s="26" t="s">
        <v>50</v>
      </c>
      <c r="L13" s="30">
        <v>1</v>
      </c>
      <c r="M13" s="26" t="s">
        <v>25</v>
      </c>
      <c r="N13" s="30">
        <f>Rates!K11</f>
        <v>2300</v>
      </c>
      <c r="O13" s="30">
        <f t="shared" si="2"/>
        <v>2300</v>
      </c>
      <c r="P13" s="30"/>
      <c r="Q13" s="30">
        <f t="shared" si="3"/>
        <v>2300</v>
      </c>
      <c r="R13" s="3"/>
      <c r="S13" s="7">
        <v>10</v>
      </c>
      <c r="T13" s="26" t="s">
        <v>51</v>
      </c>
      <c r="U13" s="30">
        <v>1</v>
      </c>
      <c r="V13" s="26" t="s">
        <v>25</v>
      </c>
      <c r="W13" s="30">
        <f>Rates!K12</f>
        <v>2300</v>
      </c>
      <c r="X13" s="30">
        <f t="shared" si="4"/>
        <v>2300</v>
      </c>
      <c r="Y13" s="30"/>
      <c r="Z13" s="35">
        <f t="shared" si="5"/>
        <v>2300</v>
      </c>
      <c r="AA13" s="3"/>
      <c r="AB13" s="7">
        <v>10</v>
      </c>
      <c r="AC13" s="26" t="s">
        <v>52</v>
      </c>
      <c r="AD13" s="30">
        <v>1</v>
      </c>
      <c r="AE13" s="26" t="s">
        <v>53</v>
      </c>
      <c r="AF13" s="30">
        <f>Rates!K9</f>
        <v>26000</v>
      </c>
      <c r="AG13" s="30">
        <f t="shared" si="6"/>
        <v>26000</v>
      </c>
      <c r="AH13" s="30"/>
      <c r="AI13" s="30">
        <f t="shared" si="7"/>
        <v>26000</v>
      </c>
    </row>
    <row r="14" spans="1:35" ht="14.4" customHeight="1" x14ac:dyDescent="0.3">
      <c r="A14" s="29">
        <v>11</v>
      </c>
      <c r="B14" s="26" t="s">
        <v>54</v>
      </c>
      <c r="C14" s="30">
        <v>1</v>
      </c>
      <c r="D14" s="26" t="s">
        <v>25</v>
      </c>
      <c r="E14" s="30">
        <v>30</v>
      </c>
      <c r="F14" s="30">
        <f>C14*E14</f>
        <v>30</v>
      </c>
      <c r="G14" s="30"/>
      <c r="H14" s="31">
        <f t="shared" si="1"/>
        <v>30</v>
      </c>
      <c r="I14" s="3"/>
      <c r="J14" s="7">
        <v>11</v>
      </c>
      <c r="K14" s="26" t="s">
        <v>54</v>
      </c>
      <c r="L14" s="30">
        <v>1</v>
      </c>
      <c r="M14" s="26" t="s">
        <v>25</v>
      </c>
      <c r="N14" s="30">
        <v>30</v>
      </c>
      <c r="O14" s="30">
        <f t="shared" si="2"/>
        <v>30</v>
      </c>
      <c r="P14" s="30"/>
      <c r="Q14" s="30">
        <f t="shared" si="3"/>
        <v>30</v>
      </c>
      <c r="R14" s="3"/>
      <c r="S14" s="7">
        <v>11</v>
      </c>
      <c r="T14" s="26" t="s">
        <v>54</v>
      </c>
      <c r="U14" s="30">
        <v>1</v>
      </c>
      <c r="V14" s="26" t="s">
        <v>25</v>
      </c>
      <c r="W14" s="30">
        <v>30</v>
      </c>
      <c r="X14" s="30">
        <f t="shared" si="4"/>
        <v>30</v>
      </c>
      <c r="Y14" s="30"/>
      <c r="Z14" s="35">
        <f t="shared" si="5"/>
        <v>30</v>
      </c>
      <c r="AA14" s="3"/>
      <c r="AB14" s="7">
        <v>11</v>
      </c>
      <c r="AC14" s="26" t="s">
        <v>55</v>
      </c>
      <c r="AD14" s="30">
        <v>1</v>
      </c>
      <c r="AE14" s="26" t="s">
        <v>25</v>
      </c>
      <c r="AF14" s="30">
        <f>Rates!K13</f>
        <v>2500</v>
      </c>
      <c r="AG14" s="30">
        <f t="shared" si="6"/>
        <v>2500</v>
      </c>
      <c r="AH14" s="30"/>
      <c r="AI14" s="35">
        <f t="shared" si="7"/>
        <v>2500</v>
      </c>
    </row>
    <row r="15" spans="1:35" ht="14.4" customHeight="1" x14ac:dyDescent="0.3">
      <c r="A15" s="29">
        <v>12</v>
      </c>
      <c r="B15" s="26" t="s">
        <v>56</v>
      </c>
      <c r="C15" s="30">
        <v>2</v>
      </c>
      <c r="D15" s="26" t="s">
        <v>57</v>
      </c>
      <c r="E15" s="30">
        <v>30</v>
      </c>
      <c r="F15" s="30">
        <f>C15*E15</f>
        <v>60</v>
      </c>
      <c r="G15" s="30"/>
      <c r="H15" s="31">
        <f t="shared" si="1"/>
        <v>60</v>
      </c>
      <c r="I15" s="3"/>
      <c r="J15" s="7">
        <v>12</v>
      </c>
      <c r="K15" s="26" t="s">
        <v>58</v>
      </c>
      <c r="L15" s="30">
        <v>2</v>
      </c>
      <c r="M15" s="26" t="s">
        <v>57</v>
      </c>
      <c r="N15" s="30">
        <v>30</v>
      </c>
      <c r="O15" s="30">
        <f t="shared" si="2"/>
        <v>60</v>
      </c>
      <c r="P15" s="30"/>
      <c r="Q15" s="30">
        <f t="shared" si="3"/>
        <v>60</v>
      </c>
      <c r="R15" s="3"/>
      <c r="S15" s="7">
        <v>12</v>
      </c>
      <c r="T15" s="26" t="s">
        <v>58</v>
      </c>
      <c r="U15" s="30">
        <v>2</v>
      </c>
      <c r="V15" s="26" t="s">
        <v>57</v>
      </c>
      <c r="W15" s="30">
        <v>30</v>
      </c>
      <c r="X15" s="30">
        <f t="shared" si="4"/>
        <v>60</v>
      </c>
      <c r="Y15" s="30"/>
      <c r="Z15" s="35">
        <f t="shared" si="5"/>
        <v>60</v>
      </c>
      <c r="AA15" s="3"/>
      <c r="AB15" s="7">
        <v>12</v>
      </c>
      <c r="AC15" s="26" t="s">
        <v>59</v>
      </c>
      <c r="AD15" s="30">
        <v>1</v>
      </c>
      <c r="AE15" s="26" t="s">
        <v>60</v>
      </c>
      <c r="AF15" s="30">
        <f>Rates!K16</f>
        <v>800</v>
      </c>
      <c r="AG15" s="30">
        <f t="shared" si="6"/>
        <v>800</v>
      </c>
      <c r="AH15" s="30"/>
      <c r="AI15" s="35">
        <f t="shared" si="7"/>
        <v>800</v>
      </c>
    </row>
    <row r="16" spans="1:35" ht="14.4" customHeight="1" x14ac:dyDescent="0.3">
      <c r="A16" s="29">
        <v>13</v>
      </c>
      <c r="B16" s="26" t="s">
        <v>61</v>
      </c>
      <c r="C16" s="30">
        <v>30.1</v>
      </c>
      <c r="D16" s="26" t="s">
        <v>13</v>
      </c>
      <c r="E16" s="30">
        <f>Rates!$K$5</f>
        <v>100</v>
      </c>
      <c r="F16" s="30">
        <f>C16*E16</f>
        <v>3010</v>
      </c>
      <c r="G16" s="30"/>
      <c r="H16" s="31">
        <f t="shared" si="1"/>
        <v>3010</v>
      </c>
      <c r="I16" s="3"/>
      <c r="J16" s="7">
        <v>13</v>
      </c>
      <c r="K16" s="26" t="s">
        <v>62</v>
      </c>
      <c r="L16" s="30">
        <v>41.4</v>
      </c>
      <c r="M16" s="26" t="s">
        <v>13</v>
      </c>
      <c r="N16" s="30">
        <f>Rates!$K$5</f>
        <v>100</v>
      </c>
      <c r="O16" s="30">
        <f t="shared" si="2"/>
        <v>4140</v>
      </c>
      <c r="P16" s="30"/>
      <c r="Q16" s="30">
        <f t="shared" si="3"/>
        <v>4140</v>
      </c>
      <c r="R16" s="3"/>
      <c r="S16" s="7">
        <v>13</v>
      </c>
      <c r="T16" s="26" t="s">
        <v>63</v>
      </c>
      <c r="U16" s="30">
        <v>50</v>
      </c>
      <c r="V16" s="26" t="s">
        <v>13</v>
      </c>
      <c r="W16" s="30">
        <f>Rates!$K$5</f>
        <v>100</v>
      </c>
      <c r="X16" s="30">
        <f t="shared" si="4"/>
        <v>5000</v>
      </c>
      <c r="Y16" s="30"/>
      <c r="Z16" s="35">
        <f t="shared" si="5"/>
        <v>5000</v>
      </c>
      <c r="AA16" s="3"/>
      <c r="AB16" s="7">
        <v>13</v>
      </c>
      <c r="AC16" s="26" t="s">
        <v>64</v>
      </c>
      <c r="AD16" s="30">
        <v>1</v>
      </c>
      <c r="AE16" s="26" t="s">
        <v>65</v>
      </c>
      <c r="AF16" s="30">
        <f>Rates!K17</f>
        <v>1100</v>
      </c>
      <c r="AG16" s="30">
        <f t="shared" si="6"/>
        <v>1100</v>
      </c>
      <c r="AH16" s="30"/>
      <c r="AI16" s="35">
        <f t="shared" si="7"/>
        <v>1100</v>
      </c>
    </row>
    <row r="17" spans="1:35" ht="14.4" customHeight="1" x14ac:dyDescent="0.3">
      <c r="A17" s="29">
        <v>14</v>
      </c>
      <c r="B17" s="26" t="s">
        <v>66</v>
      </c>
      <c r="C17" s="30">
        <v>50</v>
      </c>
      <c r="D17" s="26" t="s">
        <v>13</v>
      </c>
      <c r="E17" s="30">
        <f>Rates!K25</f>
        <v>70</v>
      </c>
      <c r="F17" s="30">
        <f>C17*E17</f>
        <v>3500</v>
      </c>
      <c r="G17" s="30">
        <v>100</v>
      </c>
      <c r="H17" s="31">
        <f t="shared" si="1"/>
        <v>3600</v>
      </c>
      <c r="I17" s="3"/>
      <c r="J17" s="7">
        <v>14</v>
      </c>
      <c r="K17" s="26" t="s">
        <v>67</v>
      </c>
      <c r="L17" s="30">
        <v>65</v>
      </c>
      <c r="M17" s="26" t="s">
        <v>13</v>
      </c>
      <c r="N17" s="30">
        <f>E17</f>
        <v>70</v>
      </c>
      <c r="O17" s="30">
        <f t="shared" si="2"/>
        <v>4550</v>
      </c>
      <c r="P17" s="30">
        <v>100</v>
      </c>
      <c r="Q17" s="30">
        <f t="shared" si="3"/>
        <v>4650</v>
      </c>
      <c r="R17" s="3"/>
      <c r="S17" s="7">
        <v>14</v>
      </c>
      <c r="T17" s="26" t="s">
        <v>68</v>
      </c>
      <c r="U17" s="30">
        <v>110</v>
      </c>
      <c r="V17" s="26" t="s">
        <v>13</v>
      </c>
      <c r="W17" s="30">
        <f>N17</f>
        <v>70</v>
      </c>
      <c r="X17" s="30">
        <f t="shared" si="4"/>
        <v>7700</v>
      </c>
      <c r="Y17" s="30">
        <v>250</v>
      </c>
      <c r="Z17" s="35">
        <f t="shared" si="5"/>
        <v>7950</v>
      </c>
      <c r="AA17" s="3"/>
      <c r="AB17" s="7">
        <v>14</v>
      </c>
      <c r="AC17" s="26" t="s">
        <v>69</v>
      </c>
      <c r="AD17" s="30">
        <v>1</v>
      </c>
      <c r="AE17" s="26" t="s">
        <v>65</v>
      </c>
      <c r="AF17" s="30">
        <f>Rates!K23</f>
        <v>4500</v>
      </c>
      <c r="AG17" s="30">
        <f t="shared" si="6"/>
        <v>4500</v>
      </c>
      <c r="AH17" s="30"/>
      <c r="AI17" s="35">
        <f t="shared" si="7"/>
        <v>4500</v>
      </c>
    </row>
    <row r="18" spans="1:35" ht="14.4" customHeight="1" x14ac:dyDescent="0.3">
      <c r="A18" s="29">
        <v>15</v>
      </c>
      <c r="B18" s="26" t="s">
        <v>70</v>
      </c>
      <c r="C18" s="30"/>
      <c r="D18" s="26"/>
      <c r="E18" s="30"/>
      <c r="F18" s="30"/>
      <c r="G18" s="30"/>
      <c r="H18" s="31">
        <v>250</v>
      </c>
      <c r="I18" s="3"/>
      <c r="J18" s="7"/>
      <c r="K18" s="26" t="s">
        <v>71</v>
      </c>
      <c r="L18" s="30"/>
      <c r="M18" s="26"/>
      <c r="N18" s="30"/>
      <c r="O18" s="30"/>
      <c r="P18" s="30"/>
      <c r="Q18" s="30">
        <v>500</v>
      </c>
      <c r="R18" s="3"/>
      <c r="S18" s="7"/>
      <c r="T18" s="26" t="s">
        <v>71</v>
      </c>
      <c r="U18" s="30"/>
      <c r="V18" s="26"/>
      <c r="W18" s="30"/>
      <c r="X18" s="30"/>
      <c r="Y18" s="30"/>
      <c r="Z18" s="30">
        <v>500</v>
      </c>
      <c r="AA18" s="3"/>
      <c r="AB18" s="7">
        <v>15</v>
      </c>
      <c r="AC18" s="26" t="s">
        <v>72</v>
      </c>
      <c r="AD18" s="30">
        <v>1</v>
      </c>
      <c r="AE18" s="26" t="s">
        <v>65</v>
      </c>
      <c r="AF18" s="30">
        <f>Rates!K24</f>
        <v>450</v>
      </c>
      <c r="AG18" s="30">
        <f t="shared" si="6"/>
        <v>450</v>
      </c>
      <c r="AH18" s="30"/>
      <c r="AI18" s="35">
        <f t="shared" si="7"/>
        <v>450</v>
      </c>
    </row>
    <row r="19" spans="1:35" ht="14.4" customHeight="1" x14ac:dyDescent="0.3">
      <c r="A19" s="29"/>
      <c r="B19" s="26" t="s">
        <v>71</v>
      </c>
      <c r="C19" s="30"/>
      <c r="D19" s="26"/>
      <c r="E19" s="30"/>
      <c r="F19" s="30"/>
      <c r="G19" s="30"/>
      <c r="H19" s="31">
        <v>400</v>
      </c>
      <c r="I19" s="3"/>
      <c r="J19" s="7"/>
      <c r="K19" s="26" t="s">
        <v>70</v>
      </c>
      <c r="L19" s="30"/>
      <c r="M19" s="26"/>
      <c r="N19" s="30"/>
      <c r="O19" s="30">
        <v>300</v>
      </c>
      <c r="P19" s="30"/>
      <c r="Q19" s="30">
        <v>300</v>
      </c>
      <c r="R19" s="3"/>
      <c r="S19" s="7">
        <v>15</v>
      </c>
      <c r="T19" s="26" t="s">
        <v>73</v>
      </c>
      <c r="U19" s="30"/>
      <c r="V19" s="26"/>
      <c r="W19" s="30"/>
      <c r="X19" s="30">
        <v>350</v>
      </c>
      <c r="Y19" s="30"/>
      <c r="Z19" s="30">
        <v>400</v>
      </c>
      <c r="AA19" s="3"/>
      <c r="AB19" s="7">
        <v>16</v>
      </c>
      <c r="AC19" s="26" t="s">
        <v>74</v>
      </c>
      <c r="AD19" s="30">
        <v>150</v>
      </c>
      <c r="AE19" s="26" t="s">
        <v>13</v>
      </c>
      <c r="AF19" s="30">
        <f>W17</f>
        <v>70</v>
      </c>
      <c r="AG19" s="30">
        <f t="shared" si="6"/>
        <v>10500</v>
      </c>
      <c r="AH19" s="30">
        <v>300</v>
      </c>
      <c r="AI19" s="35">
        <f t="shared" si="7"/>
        <v>10800</v>
      </c>
    </row>
    <row r="20" spans="1:35" ht="14.4" customHeight="1" x14ac:dyDescent="0.3">
      <c r="A20" s="29"/>
      <c r="B20" s="3"/>
      <c r="C20" s="30"/>
      <c r="D20" s="26"/>
      <c r="E20" s="30"/>
      <c r="F20" s="30"/>
      <c r="G20" s="30" t="s">
        <v>75</v>
      </c>
      <c r="H20" s="31">
        <f>SUM(H4:H19)</f>
        <v>18780</v>
      </c>
      <c r="I20" s="3"/>
      <c r="J20" s="7"/>
      <c r="K20" s="26"/>
      <c r="L20" s="30"/>
      <c r="M20" s="26"/>
      <c r="N20" s="34" t="s">
        <v>75</v>
      </c>
      <c r="O20" s="30"/>
      <c r="P20" s="30"/>
      <c r="Q20" s="30">
        <f>SUM(Q4:Q19)</f>
        <v>22000</v>
      </c>
      <c r="R20" s="3"/>
      <c r="S20" s="7"/>
      <c r="T20" s="26"/>
      <c r="U20" s="30"/>
      <c r="V20" s="26"/>
      <c r="W20" s="34" t="s">
        <v>75</v>
      </c>
      <c r="X20" s="30"/>
      <c r="Y20" s="30"/>
      <c r="Z20" s="30">
        <f>SUM(Z4:Z19)</f>
        <v>31730</v>
      </c>
      <c r="AA20" s="3"/>
      <c r="AB20" s="7">
        <v>17</v>
      </c>
      <c r="AC20" s="26" t="s">
        <v>76</v>
      </c>
      <c r="AD20" s="30">
        <v>50</v>
      </c>
      <c r="AE20" s="26" t="s">
        <v>13</v>
      </c>
      <c r="AF20" s="30">
        <f>Rates!K5</f>
        <v>100</v>
      </c>
      <c r="AG20" s="30">
        <f t="shared" si="6"/>
        <v>5000</v>
      </c>
      <c r="AH20" s="30"/>
      <c r="AI20" s="35">
        <f t="shared" si="7"/>
        <v>5000</v>
      </c>
    </row>
    <row r="21" spans="1:35" ht="15.75" customHeight="1" x14ac:dyDescent="0.3">
      <c r="A21" s="29"/>
      <c r="B21" s="26"/>
      <c r="C21" s="30"/>
      <c r="D21" s="26"/>
      <c r="E21" s="34"/>
      <c r="F21" s="34"/>
      <c r="G21" s="30"/>
      <c r="H21" s="31"/>
      <c r="I21" s="3"/>
      <c r="J21" s="7">
        <v>1</v>
      </c>
      <c r="K21" s="26" t="s">
        <v>77</v>
      </c>
      <c r="L21" s="30">
        <v>1</v>
      </c>
      <c r="M21" s="26" t="s">
        <v>25</v>
      </c>
      <c r="N21" s="30"/>
      <c r="O21" s="30"/>
      <c r="P21" s="30"/>
      <c r="Q21" s="30">
        <v>17311</v>
      </c>
      <c r="R21" s="3"/>
      <c r="S21" s="7">
        <v>1</v>
      </c>
      <c r="T21" s="26" t="s">
        <v>78</v>
      </c>
      <c r="U21" s="30">
        <v>1</v>
      </c>
      <c r="V21" s="26" t="s">
        <v>25</v>
      </c>
      <c r="W21" s="30"/>
      <c r="X21" s="30"/>
      <c r="Y21" s="30"/>
      <c r="Z21" s="30">
        <v>25968</v>
      </c>
      <c r="AA21" s="3"/>
      <c r="AB21" s="7">
        <v>18</v>
      </c>
      <c r="AC21" s="26" t="s">
        <v>79</v>
      </c>
      <c r="AD21" s="30">
        <v>1</v>
      </c>
      <c r="AE21" s="26" t="s">
        <v>25</v>
      </c>
      <c r="AF21" s="30">
        <v>80</v>
      </c>
      <c r="AG21" s="30">
        <f t="shared" si="6"/>
        <v>80</v>
      </c>
      <c r="AH21" s="30"/>
      <c r="AI21" s="30">
        <f t="shared" si="7"/>
        <v>80</v>
      </c>
    </row>
    <row r="22" spans="1:35" ht="15.75" customHeight="1" x14ac:dyDescent="0.3">
      <c r="A22" s="29">
        <v>1</v>
      </c>
      <c r="B22" s="26" t="s">
        <v>80</v>
      </c>
      <c r="C22" s="30">
        <v>1</v>
      </c>
      <c r="D22" s="26" t="s">
        <v>25</v>
      </c>
      <c r="E22" s="30"/>
      <c r="F22" s="30"/>
      <c r="G22" s="30"/>
      <c r="H22" s="31">
        <v>14800</v>
      </c>
      <c r="I22" s="3"/>
      <c r="J22" s="7"/>
      <c r="K22" s="26"/>
      <c r="L22" s="30"/>
      <c r="M22" s="26"/>
      <c r="N22" s="30"/>
      <c r="O22" s="30"/>
      <c r="P22" s="30"/>
      <c r="Q22" s="30"/>
      <c r="R22" s="3"/>
      <c r="S22" s="7"/>
      <c r="T22" s="26"/>
      <c r="U22" s="30"/>
      <c r="V22" s="26"/>
      <c r="W22" s="30"/>
      <c r="X22" s="30"/>
      <c r="Y22" s="30"/>
      <c r="Z22" s="30"/>
      <c r="AA22" s="3"/>
      <c r="AB22" s="7">
        <v>19</v>
      </c>
      <c r="AC22" s="26" t="s">
        <v>81</v>
      </c>
      <c r="AD22" s="30"/>
      <c r="AE22" s="26"/>
      <c r="AF22" s="30"/>
      <c r="AG22" s="30"/>
      <c r="AH22" s="30"/>
      <c r="AI22" s="30">
        <v>5000</v>
      </c>
    </row>
    <row r="23" spans="1:35" ht="15.75" customHeight="1" x14ac:dyDescent="0.3">
      <c r="A23" s="29"/>
      <c r="B23" s="26"/>
      <c r="C23" s="30"/>
      <c r="D23" s="26"/>
      <c r="E23" s="30"/>
      <c r="F23" s="30"/>
      <c r="G23" s="30"/>
      <c r="H23" s="31"/>
      <c r="I23" s="3"/>
      <c r="J23" s="7"/>
      <c r="K23" s="26"/>
      <c r="L23" s="30"/>
      <c r="M23" s="26"/>
      <c r="N23" s="30"/>
      <c r="O23" s="30"/>
      <c r="P23" s="30"/>
      <c r="Q23" s="30"/>
      <c r="R23" s="3"/>
      <c r="S23" s="7"/>
      <c r="T23" s="26"/>
      <c r="U23" s="30"/>
      <c r="V23" s="26"/>
      <c r="W23" s="30"/>
      <c r="X23" s="30"/>
      <c r="Y23" s="30"/>
      <c r="Z23" s="30"/>
      <c r="AA23" s="3"/>
      <c r="AB23" s="7"/>
      <c r="AC23" s="26" t="s">
        <v>70</v>
      </c>
      <c r="AD23" s="30"/>
      <c r="AE23" s="26"/>
      <c r="AF23" s="30"/>
      <c r="AG23" s="30">
        <v>500</v>
      </c>
      <c r="AH23" s="30"/>
      <c r="AI23" s="30">
        <f>AG23+AH23</f>
        <v>500</v>
      </c>
    </row>
    <row r="24" spans="1:35" ht="15.75" customHeight="1" x14ac:dyDescent="0.3">
      <c r="A24" s="29"/>
      <c r="B24" s="26"/>
      <c r="C24" s="30"/>
      <c r="D24" s="26"/>
      <c r="E24" s="30"/>
      <c r="F24" s="30"/>
      <c r="G24" s="30"/>
      <c r="H24" s="31"/>
      <c r="I24" s="3"/>
      <c r="J24" s="7"/>
      <c r="K24" s="26"/>
      <c r="L24" s="30"/>
      <c r="M24" s="26"/>
      <c r="N24" s="30"/>
      <c r="O24" s="30"/>
      <c r="P24" s="30"/>
      <c r="Q24" s="30"/>
      <c r="R24" s="3"/>
      <c r="S24" s="7"/>
      <c r="T24" s="26"/>
      <c r="U24" s="30"/>
      <c r="V24" s="26"/>
      <c r="W24" s="30"/>
      <c r="X24" s="30"/>
      <c r="Y24" s="30"/>
      <c r="Z24" s="30"/>
      <c r="AA24" s="3"/>
      <c r="AB24" s="7"/>
      <c r="AC24" s="26"/>
      <c r="AD24" s="30"/>
      <c r="AE24" s="26"/>
      <c r="AF24" s="34" t="s">
        <v>75</v>
      </c>
      <c r="AG24" s="30"/>
      <c r="AH24" s="30"/>
      <c r="AI24" s="30">
        <f>SUM(AI4:AI23)</f>
        <v>63127.72</v>
      </c>
    </row>
    <row r="25" spans="1:35" ht="15.75" customHeight="1" x14ac:dyDescent="0.3">
      <c r="A25" s="29"/>
      <c r="B25" s="26"/>
      <c r="C25" s="30"/>
      <c r="D25" s="26"/>
      <c r="E25" s="30"/>
      <c r="F25" s="30"/>
      <c r="G25" s="30"/>
      <c r="H25" s="31"/>
      <c r="I25" s="3"/>
      <c r="J25" s="7"/>
      <c r="K25" s="26"/>
      <c r="L25" s="30"/>
      <c r="M25" s="26"/>
      <c r="N25" s="30"/>
      <c r="O25" s="30"/>
      <c r="P25" s="30"/>
      <c r="Q25" s="30"/>
      <c r="R25" s="3"/>
      <c r="S25" s="7"/>
      <c r="T25" s="26"/>
      <c r="U25" s="30"/>
      <c r="V25" s="26"/>
      <c r="W25" s="30"/>
      <c r="X25" s="30"/>
      <c r="Y25" s="30"/>
      <c r="Z25" s="30"/>
      <c r="AA25" s="3"/>
      <c r="AB25" s="7"/>
      <c r="AC25" s="26"/>
      <c r="AD25" s="30"/>
      <c r="AE25" s="26"/>
      <c r="AF25" s="30"/>
      <c r="AG25" s="30"/>
      <c r="AH25" s="30"/>
      <c r="AI25" s="30"/>
    </row>
    <row r="26" spans="1:35" ht="15.75" customHeight="1" x14ac:dyDescent="0.3">
      <c r="A26" s="29"/>
      <c r="B26" s="26"/>
      <c r="C26" s="30"/>
      <c r="D26" s="26"/>
      <c r="E26" s="30"/>
      <c r="F26" s="30"/>
      <c r="G26" s="30"/>
      <c r="H26" s="31"/>
      <c r="I26" s="3"/>
      <c r="J26" s="7"/>
      <c r="K26" s="26"/>
      <c r="L26" s="30"/>
      <c r="M26" s="26"/>
      <c r="N26" s="30"/>
      <c r="O26" s="30"/>
      <c r="P26" s="30"/>
      <c r="Q26" s="30"/>
      <c r="R26" s="3"/>
      <c r="S26" s="7"/>
      <c r="T26" s="26"/>
      <c r="U26" s="30"/>
      <c r="V26" s="26"/>
      <c r="W26" s="30"/>
      <c r="X26" s="30"/>
      <c r="Y26" s="30"/>
      <c r="Z26" s="30"/>
      <c r="AA26" s="3"/>
      <c r="AB26" s="7"/>
      <c r="AC26" s="26"/>
      <c r="AD26" s="30"/>
      <c r="AE26" s="26"/>
      <c r="AF26" s="30"/>
      <c r="AG26" s="30"/>
      <c r="AH26" s="30"/>
      <c r="AI26" s="30"/>
    </row>
    <row r="27" spans="1:35" ht="15.75" customHeight="1" x14ac:dyDescent="0.3">
      <c r="A27" s="29"/>
      <c r="B27" s="26"/>
      <c r="C27" s="30"/>
      <c r="D27" s="26"/>
      <c r="E27" s="30"/>
      <c r="F27" s="30"/>
      <c r="G27" s="30"/>
      <c r="H27" s="31"/>
      <c r="I27" s="3"/>
      <c r="J27" s="7"/>
      <c r="K27" s="26"/>
      <c r="L27" s="30"/>
      <c r="M27" s="26"/>
      <c r="N27" s="30"/>
      <c r="O27" s="30"/>
      <c r="P27" s="30"/>
      <c r="Q27" s="30"/>
      <c r="R27" s="3"/>
      <c r="S27" s="7"/>
      <c r="T27" s="26"/>
      <c r="U27" s="30"/>
      <c r="V27" s="26"/>
      <c r="W27" s="30"/>
      <c r="X27" s="30"/>
      <c r="Y27" s="30"/>
      <c r="Z27" s="30"/>
      <c r="AA27" s="3"/>
      <c r="AB27" s="7"/>
      <c r="AC27" s="26"/>
      <c r="AD27" s="30"/>
      <c r="AE27" s="26"/>
      <c r="AF27" s="30"/>
      <c r="AG27" s="30"/>
      <c r="AH27" s="30"/>
      <c r="AI27" s="30"/>
    </row>
    <row r="28" spans="1:35" ht="15.75" customHeight="1" x14ac:dyDescent="0.3">
      <c r="A28" s="29"/>
      <c r="B28" s="26"/>
      <c r="C28" s="30"/>
      <c r="D28" s="26"/>
      <c r="E28" s="30"/>
      <c r="F28" s="30"/>
      <c r="G28" s="30"/>
      <c r="H28" s="31"/>
      <c r="I28" s="3"/>
      <c r="J28" s="7"/>
      <c r="K28" s="26"/>
      <c r="L28" s="30"/>
      <c r="M28" s="26"/>
      <c r="N28" s="30"/>
      <c r="O28" s="30"/>
      <c r="P28" s="30"/>
      <c r="Q28" s="30"/>
      <c r="R28" s="3"/>
      <c r="S28" s="7"/>
      <c r="T28" s="26"/>
      <c r="U28" s="30"/>
      <c r="V28" s="26"/>
      <c r="W28" s="30"/>
      <c r="X28" s="30"/>
      <c r="Y28" s="30"/>
      <c r="Z28" s="30"/>
      <c r="AA28" s="3"/>
      <c r="AB28" s="7"/>
      <c r="AC28" s="26"/>
      <c r="AD28" s="30"/>
      <c r="AE28" s="26"/>
      <c r="AF28" s="30"/>
      <c r="AG28" s="30"/>
      <c r="AH28" s="30"/>
      <c r="AI28" s="30"/>
    </row>
    <row r="29" spans="1:35" ht="15.75" customHeight="1" x14ac:dyDescent="0.3">
      <c r="A29" s="29"/>
      <c r="B29" s="26"/>
      <c r="C29" s="30"/>
      <c r="D29" s="26"/>
      <c r="E29" s="30"/>
      <c r="F29" s="30"/>
      <c r="G29" s="30"/>
      <c r="H29" s="31"/>
      <c r="I29" s="3"/>
      <c r="J29" s="7"/>
      <c r="K29" s="26"/>
      <c r="L29" s="30"/>
      <c r="M29" s="26"/>
      <c r="N29" s="30"/>
      <c r="O29" s="30"/>
      <c r="P29" s="30"/>
      <c r="Q29" s="30"/>
      <c r="R29" s="3"/>
      <c r="S29" s="7"/>
      <c r="T29" s="26"/>
      <c r="U29" s="30"/>
      <c r="V29" s="26"/>
      <c r="W29" s="30"/>
      <c r="X29" s="30"/>
      <c r="Y29" s="30"/>
      <c r="Z29" s="30"/>
      <c r="AA29" s="3"/>
      <c r="AB29" s="7"/>
      <c r="AC29" s="26"/>
      <c r="AD29" s="30"/>
      <c r="AE29" s="26"/>
      <c r="AF29" s="30"/>
      <c r="AG29" s="30"/>
      <c r="AH29" s="30"/>
      <c r="AI29" s="30"/>
    </row>
    <row r="30" spans="1:35" ht="15.75" customHeight="1" x14ac:dyDescent="0.3">
      <c r="A30" s="29"/>
      <c r="B30" s="26"/>
      <c r="C30" s="30"/>
      <c r="D30" s="26"/>
      <c r="E30" s="30"/>
      <c r="F30" s="30"/>
      <c r="G30" s="30"/>
      <c r="H30" s="31"/>
      <c r="I30" s="3"/>
      <c r="J30" s="7"/>
      <c r="K30" s="26"/>
      <c r="L30" s="30"/>
      <c r="M30" s="26"/>
      <c r="N30" s="30"/>
      <c r="O30" s="30"/>
      <c r="P30" s="30"/>
      <c r="Q30" s="30"/>
      <c r="R30" s="3"/>
      <c r="S30" s="7"/>
      <c r="T30" s="26"/>
      <c r="U30" s="30"/>
      <c r="V30" s="26"/>
      <c r="W30" s="30"/>
      <c r="X30" s="30"/>
      <c r="Y30" s="30"/>
      <c r="Z30" s="30"/>
      <c r="AA30" s="3"/>
      <c r="AB30" s="7"/>
      <c r="AC30" s="26"/>
      <c r="AD30" s="30"/>
      <c r="AE30" s="26"/>
      <c r="AF30" s="30"/>
      <c r="AG30" s="30"/>
      <c r="AH30" s="30"/>
      <c r="AI30" s="30"/>
    </row>
    <row r="31" spans="1:35" ht="15.75" customHeight="1" x14ac:dyDescent="0.3">
      <c r="A31" s="29"/>
      <c r="B31" s="26"/>
      <c r="C31" s="30"/>
      <c r="D31" s="26"/>
      <c r="E31" s="30"/>
      <c r="F31" s="30"/>
      <c r="G31" s="30"/>
      <c r="H31" s="31"/>
      <c r="I31" s="3"/>
      <c r="J31" s="7"/>
      <c r="K31" s="26"/>
      <c r="L31" s="30"/>
      <c r="M31" s="26"/>
      <c r="N31" s="30"/>
      <c r="O31" s="30"/>
      <c r="P31" s="30"/>
      <c r="Q31" s="30"/>
      <c r="R31" s="3"/>
      <c r="S31" s="7"/>
      <c r="T31" s="26"/>
      <c r="U31" s="30"/>
      <c r="V31" s="26"/>
      <c r="W31" s="30"/>
      <c r="X31" s="30"/>
      <c r="Y31" s="30"/>
      <c r="Z31" s="30"/>
      <c r="AA31" s="3"/>
      <c r="AB31" s="7"/>
      <c r="AC31" s="26"/>
      <c r="AD31" s="30"/>
      <c r="AE31" s="26"/>
      <c r="AF31" s="30"/>
      <c r="AG31" s="30"/>
      <c r="AH31" s="30"/>
      <c r="AI31" s="30"/>
    </row>
    <row r="32" spans="1:35" ht="15.75" customHeight="1" x14ac:dyDescent="0.3">
      <c r="A32" s="29"/>
      <c r="B32" s="26"/>
      <c r="C32" s="30"/>
      <c r="D32" s="26"/>
      <c r="E32" s="30"/>
      <c r="F32" s="30"/>
      <c r="G32" s="30"/>
      <c r="H32" s="31"/>
      <c r="I32" s="3"/>
      <c r="J32" s="7"/>
      <c r="K32" s="26"/>
      <c r="L32" s="30"/>
      <c r="M32" s="26"/>
      <c r="N32" s="30"/>
      <c r="O32" s="30"/>
      <c r="P32" s="30"/>
      <c r="Q32" s="30"/>
      <c r="R32" s="3"/>
      <c r="S32" s="7"/>
      <c r="T32" s="26"/>
      <c r="U32" s="30"/>
      <c r="V32" s="26"/>
      <c r="W32" s="30"/>
      <c r="X32" s="30"/>
      <c r="Y32" s="30"/>
      <c r="Z32" s="30"/>
      <c r="AA32" s="3"/>
      <c r="AB32" s="7"/>
      <c r="AC32" s="26"/>
      <c r="AD32" s="30"/>
      <c r="AE32" s="26"/>
      <c r="AF32" s="30"/>
      <c r="AG32" s="30"/>
      <c r="AH32" s="30"/>
      <c r="AI32" s="30"/>
    </row>
    <row r="33" spans="1:35" ht="15.75" customHeight="1" x14ac:dyDescent="0.3">
      <c r="A33" s="29"/>
      <c r="B33" s="26"/>
      <c r="C33" s="30"/>
      <c r="D33" s="26"/>
      <c r="E33" s="30"/>
      <c r="F33" s="30"/>
      <c r="G33" s="30"/>
      <c r="H33" s="31"/>
      <c r="I33" s="3"/>
      <c r="J33" s="7"/>
      <c r="K33" s="26"/>
      <c r="L33" s="30"/>
      <c r="M33" s="26"/>
      <c r="N33" s="30"/>
      <c r="O33" s="30"/>
      <c r="P33" s="30"/>
      <c r="Q33" s="30"/>
      <c r="R33" s="3"/>
      <c r="S33" s="7"/>
      <c r="T33" s="26"/>
      <c r="U33" s="30"/>
      <c r="V33" s="26"/>
      <c r="W33" s="30"/>
      <c r="X33" s="30"/>
      <c r="Y33" s="30"/>
      <c r="Z33" s="30"/>
      <c r="AA33" s="3"/>
      <c r="AB33" s="7"/>
      <c r="AC33" s="26"/>
      <c r="AD33" s="30"/>
      <c r="AE33" s="26"/>
      <c r="AF33" s="30"/>
      <c r="AG33" s="30"/>
      <c r="AH33" s="30"/>
      <c r="AI33" s="30"/>
    </row>
    <row r="34" spans="1:35" ht="15.75" customHeight="1" x14ac:dyDescent="0.3">
      <c r="A34" s="36"/>
      <c r="B34" s="37"/>
      <c r="C34" s="38"/>
      <c r="D34" s="37"/>
      <c r="E34" s="38"/>
      <c r="F34" s="38"/>
      <c r="G34" s="38"/>
      <c r="H34" s="39"/>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spans="1:35"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spans="1:35"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spans="1:35" ht="15.75" customHeight="1" x14ac:dyDescent="0.3">
      <c r="A37" s="3"/>
      <c r="B37" s="40" t="s">
        <v>82</v>
      </c>
      <c r="C37" s="41" t="s">
        <v>83</v>
      </c>
      <c r="D37" s="41" t="s">
        <v>84</v>
      </c>
      <c r="E37" s="42" t="s">
        <v>85</v>
      </c>
      <c r="F37" s="42" t="s">
        <v>86</v>
      </c>
      <c r="G37" s="42" t="s">
        <v>87</v>
      </c>
      <c r="H37" s="42" t="s">
        <v>88</v>
      </c>
      <c r="I37" s="42" t="s">
        <v>89</v>
      </c>
      <c r="J37" s="42" t="s">
        <v>90</v>
      </c>
      <c r="K37" s="42" t="s">
        <v>91</v>
      </c>
      <c r="L37" s="43" t="s">
        <v>92</v>
      </c>
      <c r="M37" s="3"/>
      <c r="N37" s="3"/>
      <c r="O37" s="3"/>
      <c r="P37" s="3"/>
      <c r="Q37" s="3"/>
      <c r="R37" s="3"/>
      <c r="S37" s="3"/>
      <c r="T37" s="3"/>
      <c r="U37" s="3"/>
      <c r="V37" s="3"/>
      <c r="W37" s="3"/>
      <c r="X37" s="3"/>
      <c r="Y37" s="3"/>
      <c r="Z37" s="3"/>
      <c r="AA37" s="3"/>
      <c r="AB37" s="3"/>
      <c r="AC37" s="3"/>
      <c r="AD37" s="44"/>
      <c r="AE37" s="3"/>
      <c r="AF37" s="44"/>
      <c r="AG37" s="44"/>
      <c r="AH37" s="44"/>
      <c r="AI37" s="44"/>
    </row>
    <row r="38" spans="1:35" ht="15.75" customHeight="1" x14ac:dyDescent="0.3">
      <c r="A38" s="3"/>
      <c r="B38" s="45" t="s">
        <v>93</v>
      </c>
      <c r="C38" s="46">
        <v>2282</v>
      </c>
      <c r="D38" s="46">
        <v>382</v>
      </c>
      <c r="E38" s="46">
        <v>850</v>
      </c>
      <c r="F38" s="46">
        <v>600</v>
      </c>
      <c r="G38" s="46">
        <v>200</v>
      </c>
      <c r="H38" s="46">
        <v>125</v>
      </c>
      <c r="I38" s="46">
        <v>125</v>
      </c>
      <c r="J38" s="46">
        <v>1235</v>
      </c>
      <c r="K38" s="46">
        <v>573</v>
      </c>
      <c r="L38" s="46">
        <v>310</v>
      </c>
      <c r="M38" s="3"/>
      <c r="N38" s="3"/>
      <c r="O38" s="3"/>
      <c r="P38" s="3"/>
      <c r="Q38" s="3"/>
      <c r="R38" s="3"/>
      <c r="S38" s="3"/>
      <c r="T38" s="3"/>
      <c r="U38" s="3"/>
      <c r="V38" s="3"/>
      <c r="W38" s="3"/>
      <c r="X38" s="3"/>
      <c r="Y38" s="3"/>
      <c r="Z38" s="3"/>
      <c r="AA38" s="3"/>
      <c r="AB38" s="3"/>
      <c r="AC38" s="3"/>
      <c r="AD38" s="3"/>
      <c r="AE38" s="3"/>
      <c r="AF38" s="3"/>
      <c r="AG38" s="3"/>
      <c r="AH38" s="3"/>
      <c r="AI38" s="3"/>
    </row>
    <row r="39" spans="1:35" ht="15.75" customHeight="1" x14ac:dyDescent="0.3">
      <c r="A39" s="3"/>
      <c r="B39" s="45" t="s">
        <v>94</v>
      </c>
      <c r="C39" s="46">
        <v>2282</v>
      </c>
      <c r="D39" s="46">
        <v>382</v>
      </c>
      <c r="E39" s="46">
        <v>850</v>
      </c>
      <c r="F39" s="46">
        <v>600</v>
      </c>
      <c r="G39" s="46">
        <v>200</v>
      </c>
      <c r="H39" s="46">
        <v>125</v>
      </c>
      <c r="I39" s="46">
        <v>125</v>
      </c>
      <c r="J39" s="46">
        <v>1235</v>
      </c>
      <c r="K39" s="46">
        <v>573</v>
      </c>
      <c r="L39" s="46">
        <v>310</v>
      </c>
      <c r="M39" s="3"/>
      <c r="N39" s="3"/>
      <c r="O39" s="3"/>
      <c r="P39" s="3"/>
      <c r="Q39" s="3"/>
      <c r="R39" s="3"/>
      <c r="S39" s="3"/>
      <c r="T39" s="3"/>
      <c r="U39" s="3"/>
      <c r="V39" s="3"/>
      <c r="W39" s="3"/>
      <c r="X39" s="3"/>
      <c r="Y39" s="3"/>
      <c r="Z39" s="3"/>
      <c r="AA39" s="3"/>
      <c r="AB39" s="3"/>
      <c r="AC39" s="3"/>
      <c r="AD39" s="3"/>
      <c r="AE39" s="3"/>
      <c r="AF39" s="3"/>
      <c r="AG39" s="3"/>
      <c r="AH39" s="3"/>
      <c r="AI39" s="3"/>
    </row>
    <row r="40" spans="1:35" ht="15.75" customHeight="1" x14ac:dyDescent="0.3">
      <c r="A40" s="3"/>
      <c r="B40" s="45" t="s">
        <v>95</v>
      </c>
      <c r="C40" s="46">
        <v>2551</v>
      </c>
      <c r="D40" s="46">
        <v>501</v>
      </c>
      <c r="E40" s="46">
        <v>950</v>
      </c>
      <c r="F40" s="46">
        <v>650</v>
      </c>
      <c r="G40" s="46">
        <v>200</v>
      </c>
      <c r="H40" s="46">
        <v>125</v>
      </c>
      <c r="I40" s="46">
        <v>125</v>
      </c>
      <c r="J40" s="46">
        <v>1445</v>
      </c>
      <c r="K40" s="46">
        <v>776</v>
      </c>
      <c r="L40" s="46">
        <v>366</v>
      </c>
      <c r="M40" s="3"/>
      <c r="N40" s="3"/>
      <c r="O40" s="3"/>
      <c r="P40" s="3"/>
      <c r="Q40" s="3"/>
      <c r="R40" s="3"/>
      <c r="S40" s="3"/>
      <c r="T40" s="3"/>
      <c r="U40" s="3"/>
      <c r="V40" s="3"/>
      <c r="W40" s="3"/>
      <c r="X40" s="3"/>
      <c r="Y40" s="3"/>
      <c r="Z40" s="3"/>
      <c r="AA40" s="3"/>
      <c r="AB40" s="3"/>
      <c r="AC40" s="3"/>
      <c r="AD40" s="3"/>
      <c r="AE40" s="3"/>
      <c r="AF40" s="3"/>
      <c r="AG40" s="3"/>
      <c r="AH40" s="3"/>
      <c r="AI40" s="3"/>
    </row>
    <row r="41" spans="1:35" ht="15.75" customHeight="1" x14ac:dyDescent="0.3">
      <c r="A41" s="3"/>
      <c r="B41" s="45" t="s">
        <v>96</v>
      </c>
      <c r="C41" s="46">
        <v>4788</v>
      </c>
      <c r="D41" s="46">
        <v>888</v>
      </c>
      <c r="E41" s="46">
        <v>2100</v>
      </c>
      <c r="F41" s="46">
        <v>1200</v>
      </c>
      <c r="G41" s="46">
        <v>250</v>
      </c>
      <c r="H41" s="46">
        <v>150</v>
      </c>
      <c r="I41" s="46">
        <v>200</v>
      </c>
      <c r="J41" s="46">
        <v>2230</v>
      </c>
      <c r="K41" s="46">
        <v>1576</v>
      </c>
      <c r="L41" s="46">
        <v>429</v>
      </c>
      <c r="M41" s="3"/>
      <c r="N41" s="3"/>
      <c r="O41" s="3"/>
      <c r="P41" s="3"/>
      <c r="Q41" s="3"/>
      <c r="R41" s="3"/>
      <c r="S41" s="3"/>
      <c r="T41" s="3"/>
      <c r="U41" s="3"/>
      <c r="V41" s="3"/>
      <c r="W41" s="3"/>
      <c r="X41" s="3"/>
      <c r="Y41" s="3"/>
      <c r="Z41" s="3"/>
      <c r="AA41" s="3"/>
      <c r="AB41" s="3"/>
      <c r="AC41" s="3"/>
      <c r="AD41" s="3"/>
      <c r="AE41" s="3"/>
      <c r="AF41" s="3"/>
      <c r="AG41" s="3"/>
      <c r="AH41" s="3"/>
      <c r="AI41" s="3"/>
    </row>
    <row r="42" spans="1:35" ht="15.75" customHeight="1" x14ac:dyDescent="0.3">
      <c r="A42" s="3"/>
      <c r="B42" s="45" t="s">
        <v>97</v>
      </c>
      <c r="C42" s="46">
        <v>4388</v>
      </c>
      <c r="D42" s="46">
        <v>888</v>
      </c>
      <c r="E42" s="46">
        <v>2100</v>
      </c>
      <c r="F42" s="46">
        <v>1200</v>
      </c>
      <c r="G42" s="46">
        <v>250</v>
      </c>
      <c r="H42" s="46">
        <v>150</v>
      </c>
      <c r="I42" s="46">
        <v>200</v>
      </c>
      <c r="J42" s="46">
        <v>2230</v>
      </c>
      <c r="K42" s="46">
        <v>1576</v>
      </c>
      <c r="L42" s="46">
        <v>429</v>
      </c>
      <c r="M42" s="3"/>
      <c r="N42" s="3"/>
      <c r="O42" s="3"/>
      <c r="P42" s="3"/>
      <c r="Q42" s="3"/>
      <c r="R42" s="3"/>
      <c r="S42" s="3"/>
      <c r="T42" s="3"/>
      <c r="U42" s="3"/>
      <c r="V42" s="3"/>
      <c r="W42" s="3"/>
      <c r="X42" s="3"/>
      <c r="Y42" s="3"/>
      <c r="Z42" s="3"/>
      <c r="AA42" s="3"/>
      <c r="AB42" s="3"/>
      <c r="AC42" s="3"/>
      <c r="AD42" s="3"/>
      <c r="AE42" s="3"/>
      <c r="AF42" s="3"/>
      <c r="AG42" s="3"/>
      <c r="AH42" s="3"/>
      <c r="AI42" s="3"/>
    </row>
    <row r="43" spans="1:35" ht="15.75" customHeight="1" x14ac:dyDescent="0.3">
      <c r="A43" s="3"/>
      <c r="B43" s="45" t="s">
        <v>98</v>
      </c>
      <c r="C43" s="46">
        <v>17000</v>
      </c>
      <c r="D43" s="46"/>
      <c r="E43" s="46">
        <v>10800</v>
      </c>
      <c r="F43" s="46">
        <v>5800</v>
      </c>
      <c r="G43" s="46"/>
      <c r="H43" s="46">
        <v>250</v>
      </c>
      <c r="I43" s="46">
        <v>150</v>
      </c>
      <c r="J43" s="46">
        <v>3500</v>
      </c>
      <c r="K43" s="46"/>
      <c r="L43" s="46"/>
      <c r="M43" s="3"/>
      <c r="N43" s="3"/>
      <c r="O43" s="3"/>
      <c r="P43" s="3"/>
      <c r="Q43" s="3"/>
      <c r="R43" s="3"/>
      <c r="S43" s="3"/>
      <c r="T43" s="3"/>
      <c r="U43" s="3"/>
      <c r="V43" s="3"/>
      <c r="W43" s="3"/>
      <c r="X43" s="3"/>
      <c r="Y43" s="3"/>
      <c r="Z43" s="3"/>
      <c r="AA43" s="3"/>
      <c r="AB43" s="3"/>
      <c r="AC43" s="3"/>
      <c r="AD43" s="3"/>
      <c r="AE43" s="3"/>
      <c r="AF43" s="3"/>
      <c r="AG43" s="3"/>
      <c r="AH43" s="3"/>
      <c r="AI43" s="3"/>
    </row>
    <row r="44" spans="1:35"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spans="1:35"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spans="1:35"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spans="1:35"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spans="1:35"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spans="1:35"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spans="1:35"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spans="1:35"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spans="1:35"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spans="1:35"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spans="1:35"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spans="1:35"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spans="1:35"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spans="1:35"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1:35"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spans="1:35"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spans="1:35"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spans="1:35"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spans="1:35"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spans="1:35"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spans="1:35"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spans="1:35"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spans="1:35"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spans="1:35"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spans="1:35"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spans="1:35"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spans="1:35"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spans="1:35"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spans="1:35"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spans="1:35"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spans="1:35"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spans="1:35"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spans="1:35"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spans="1:35"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spans="1:35"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spans="1:35"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spans="1:35"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spans="1:35"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spans="1:35"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spans="1:35"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spans="1:35"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spans="1:35"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spans="1:35"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spans="1:35"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spans="1:35"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spans="1:35"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spans="1:35"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spans="1:35"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spans="1:35"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spans="1:35"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spans="1:35"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spans="1:35"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spans="1:35"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spans="1:35"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spans="1:35"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spans="1:35"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spans="1:35"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spans="1:35"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spans="1:35"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spans="1:35"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spans="1:35"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spans="1:35"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spans="1:35"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spans="1:35"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spans="1:35"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spans="1:35"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spans="1:35"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spans="1:35"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spans="1:35"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spans="1:35"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spans="1:35"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spans="1:35"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spans="1:35"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spans="1:35"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spans="1:35"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spans="1:35"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spans="1:35"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spans="1:35"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spans="1:35"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spans="1:35"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spans="1:35"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35"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spans="1:35"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spans="1:35"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spans="1:35"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35"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spans="1:35"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spans="1:35"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spans="1:35"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spans="1:35"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spans="1:35"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spans="1:35"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spans="1:35"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spans="1:35"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spans="1:35"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spans="1:35"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spans="1:35"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spans="1:35"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spans="1:35"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spans="1:35"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spans="1:35"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spans="1:35"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spans="1:35"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spans="1:35"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spans="1:35"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spans="1:35"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spans="1:35"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spans="1:35"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spans="1:35"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spans="1:35"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spans="1:35"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spans="1:35"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spans="1:35"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spans="1:35"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spans="1:35"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spans="1:35"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spans="1:35"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spans="1:35"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spans="1:35"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spans="1:35"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spans="1:35"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spans="1:35"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spans="1:35"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spans="1:35"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spans="1:35"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spans="1:35"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spans="1:35"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spans="1:35"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spans="1:35"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spans="1:35"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spans="1:35"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spans="1:35"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spans="1:35"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spans="1:35"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spans="1:35"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spans="1:35"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spans="1:35"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spans="1:35"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spans="1:35"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spans="1:35"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spans="1:35"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spans="1:35"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spans="1:35"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spans="1:35"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spans="1:35"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spans="1:35"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spans="1:35"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spans="1:35"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spans="1:35"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spans="1:35"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spans="1:35"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spans="1:35"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spans="1:35"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spans="1:35"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spans="1:35"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spans="1:35"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spans="1:35"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spans="1:35"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spans="1:35"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spans="1:35"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spans="1:35"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spans="1:35"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spans="1:35"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spans="1:35"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spans="1:35"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spans="1:35"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spans="1:35"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spans="1:35"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spans="1:35"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spans="1:35"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spans="1:35"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spans="1:35"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spans="1:35"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spans="1:35"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spans="1:35"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spans="1:35"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spans="1:35"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spans="1:35"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spans="1:35"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spans="1:35"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spans="1:35"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spans="1:35"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spans="1:35"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spans="1:35"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spans="1:35"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spans="1:35"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spans="1:35"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spans="1:35"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spans="1:35"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spans="1:35"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spans="1:35"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spans="1:35"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spans="1:35"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spans="1:35"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spans="1:35"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spans="1:35"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spans="1:35"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spans="1:35"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spans="1:35"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spans="1:35"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spans="1:35"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spans="1:35"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spans="1:35"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spans="1:35"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spans="1:35"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spans="1:35"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spans="1:35"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spans="1:35"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spans="1:35"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spans="1:35"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spans="1:35"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spans="1:35"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spans="1:35"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spans="1:35"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spans="1:35"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spans="1:35"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spans="1:35"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spans="1:35"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spans="1:35"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spans="1:35"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spans="1:35"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spans="1:35"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spans="1:35"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spans="1:35"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spans="1:35"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spans="1:35"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spans="1:35"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spans="1:35"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spans="1:35"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spans="1:35"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spans="1:35"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spans="1:35"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spans="1:35"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spans="1:35"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spans="1:35"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spans="1:35"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spans="1:35"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spans="1:35"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spans="1:35"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spans="1:35"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spans="1:35"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spans="1:35"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spans="1:35"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spans="1:35"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spans="1:35"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spans="1:35"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spans="1:35"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spans="1:35"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spans="1:35"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spans="1:35"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spans="1:35"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spans="1:35"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spans="1:35"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spans="1:35"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spans="1:35"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spans="1:35"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spans="1:35"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spans="1:35"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spans="1:35"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spans="1:35"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spans="1:35"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spans="1:35"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spans="1:35"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spans="1:35"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spans="1:35"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spans="1:35"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spans="1:35"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spans="1:35"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spans="1:35"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spans="1:35"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spans="1:35"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spans="1:35"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spans="1:35"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spans="1:35"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spans="1:35"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spans="1:35"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spans="1:35"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spans="1:35"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spans="1:35"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spans="1:35"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spans="1:35"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spans="1:35"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spans="1:35"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spans="1:35"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spans="1:35"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spans="1:35"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spans="1:35"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spans="1:35"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spans="1:35"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spans="1:35"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spans="1:35"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spans="1:35"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spans="1:35"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spans="1:35"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spans="1:35"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spans="1:35"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spans="1:35"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spans="1:35"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spans="1:35"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spans="1:35"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spans="1:35"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spans="1:35"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spans="1:35"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spans="1:35"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spans="1:35"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spans="1:35"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spans="1:35"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spans="1:35"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spans="1:35"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spans="1:35"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spans="1:35"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spans="1:35"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spans="1:35"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spans="1:35"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spans="1:35"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spans="1:35"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spans="1:35"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spans="1:35"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spans="1:35"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spans="1:35"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spans="1:35"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spans="1:35"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spans="1:35"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spans="1:35"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spans="1:35"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spans="1:35"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spans="1:35"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spans="1:35"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spans="1:35"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spans="1:35"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spans="1:35"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spans="1:35"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spans="1:35"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spans="1:35"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spans="1:35"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spans="1:35"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spans="1:35"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spans="1:35"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spans="1:35"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spans="1:35"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spans="1:35"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spans="1:35"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spans="1:35"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spans="1:35"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spans="1:35"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spans="1:35"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spans="1:35"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spans="1:35"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spans="1:35"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spans="1:35"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spans="1:35"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spans="1:35"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spans="1:35"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spans="1:35"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spans="1:35"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spans="1:35"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spans="1:35"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spans="1:35"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spans="1:35"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spans="1:35"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spans="1:35"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spans="1:35"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spans="1:35"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spans="1:35"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spans="1:35"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spans="1:35"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spans="1:35"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spans="1:35"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spans="1:35"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spans="1:35"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spans="1:35"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spans="1:35"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spans="1:35"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spans="1:35"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spans="1:35"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spans="1:35"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spans="1:35"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spans="1:35"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spans="1:35"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spans="1:35"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spans="1:35"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spans="1:35"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spans="1:35"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spans="1:35"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spans="1:35"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spans="1:35"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spans="1:35"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spans="1:35"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spans="1:35"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spans="1:35"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spans="1:35"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spans="1:35"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spans="1:35"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spans="1:35"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spans="1:35"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spans="1:35"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spans="1:35"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spans="1:35"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spans="1:35"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spans="1:35"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spans="1:35"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spans="1:35"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spans="1:35"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spans="1:35"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spans="1:35"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spans="1:35"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spans="1:35"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spans="1:35"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spans="1:35"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spans="1:35"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spans="1:35"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spans="1:35"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spans="1:35"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spans="1:35"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spans="1:35"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spans="1:35"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spans="1:35"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spans="1:35"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spans="1:35"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spans="1:35"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spans="1:35"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spans="1:35"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spans="1:35"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spans="1:35"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spans="1:35"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spans="1:35"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spans="1:35"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spans="1:35"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spans="1:35"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spans="1:35"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spans="1:35"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spans="1:35"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spans="1:35"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spans="1:35"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spans="1:35"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spans="1:35"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spans="1:35"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spans="1:35"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spans="1:35"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spans="1:35"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spans="1:35"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spans="1:35"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spans="1:35"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spans="1:35"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spans="1:35"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spans="1:35"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spans="1:35"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spans="1:35"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spans="1:35"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spans="1:35"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spans="1:35"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spans="1:35"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spans="1:35"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spans="1:35"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spans="1:35"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spans="1:35"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spans="1:35"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spans="1:35"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spans="1:35"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spans="1:35"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spans="1:35"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spans="1:35"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spans="1:35"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spans="1:35"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spans="1:35"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spans="1:35"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spans="1:35"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spans="1:35"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spans="1:35"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spans="1:35"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spans="1:35"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spans="1:35"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spans="1:35"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spans="1:35"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spans="1:35"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spans="1:35"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spans="1:35"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spans="1:35"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spans="1:35"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spans="1:35"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spans="1:35"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spans="1:35"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spans="1:35"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spans="1:35"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spans="1:35"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spans="1:35"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spans="1:35"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spans="1:35"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spans="1:35"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spans="1:35"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spans="1:35"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spans="1:35"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spans="1:35"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spans="1:35"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spans="1:35"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spans="1:35"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spans="1:35"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spans="1:35"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spans="1:35"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spans="1:35"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spans="1:35"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spans="1:35"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spans="1:35"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spans="1:35"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spans="1:35"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spans="1:35"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spans="1:35"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spans="1:35"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spans="1:35"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spans="1:35"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spans="1:35"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spans="1:35"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spans="1:35"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spans="1:35"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spans="1:35"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spans="1:35"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spans="1:35"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spans="1:35"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spans="1:35"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spans="1:35"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spans="1:35"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spans="1:35"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spans="1:35"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spans="1:35"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spans="1:35"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spans="1:35"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spans="1:35"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spans="1:35"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spans="1:35"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spans="1:35"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spans="1:35"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spans="1:35"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spans="1:35"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spans="1:35"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spans="1:35"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spans="1:35"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spans="1:35"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spans="1:35"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spans="1:35"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spans="1:35"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spans="1:35"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spans="1:35"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spans="1:35"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spans="1:35"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spans="1:35"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spans="1:35"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spans="1:35"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spans="1:35"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spans="1:35"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spans="1:35"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spans="1:35"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spans="1:35"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spans="1:35"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spans="1:35"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spans="1:35"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spans="1:35"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spans="1:35"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spans="1:35"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spans="1:35"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spans="1:35"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spans="1:35"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spans="1:35"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spans="1:35"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spans="1:35"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spans="1:35"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spans="1:35"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spans="1:35"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spans="1:35"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spans="1:35"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spans="1:35"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spans="1:35"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spans="1:35"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spans="1:35"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spans="1:35"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spans="1:35"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spans="1:35"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spans="1:35"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spans="1:35"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spans="1:35"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spans="1:35"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spans="1:35"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spans="1:35"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spans="1:35"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spans="1:35"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spans="1:35"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spans="1:35"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spans="1:35"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spans="1:35"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spans="1:35"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spans="1:35"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spans="1:35"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spans="1:35"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spans="1:35"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spans="1:35"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spans="1:35"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spans="1:35"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spans="1:35"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spans="1:35"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spans="1:35"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spans="1:35"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spans="1:35"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spans="1:35"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spans="1:35"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spans="1:35"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spans="1:35"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spans="1:35"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spans="1:35"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spans="1:35"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spans="1:35"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spans="1:35"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spans="1:35"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spans="1:35"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spans="1:35"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spans="1:35"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spans="1:35"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spans="1:35"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spans="1:35"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spans="1:35"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spans="1:35"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spans="1:35"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spans="1:35"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spans="1:35"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spans="1:35"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spans="1:35"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spans="1:35"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spans="1:35"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spans="1:35"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spans="1:35"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spans="1:35"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spans="1:35"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spans="1:35"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spans="1:35"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spans="1:35"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spans="1:35"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spans="1:35"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spans="1:35"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spans="1:35"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spans="1:35"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spans="1:35"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spans="1:35"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spans="1:35"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spans="1:35"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mergeCells count="4">
    <mergeCell ref="J1:Q1"/>
    <mergeCell ref="S1:Z1"/>
    <mergeCell ref="AB1:AI1"/>
    <mergeCell ref="A1:H1"/>
  </mergeCells>
  <pageMargins left="0.19685039370078741" right="0.19685039370078741" top="0.74803149606299213" bottom="0.74803149606299213" header="0" footer="0"/>
  <pageSetup paperSize="8" orientation="landscape"/>
  <colBreaks count="1" manualBreakCount="1">
    <brk id="18"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T1000"/>
  <sheetViews>
    <sheetView topLeftCell="T1" workbookViewId="0">
      <selection activeCell="C5" sqref="C5"/>
    </sheetView>
  </sheetViews>
  <sheetFormatPr defaultColWidth="14.44140625" defaultRowHeight="15" customHeight="1" x14ac:dyDescent="0.3"/>
  <cols>
    <col min="1" max="1" width="6" customWidth="1"/>
    <col min="2" max="2" width="40.5546875" customWidth="1"/>
    <col min="3" max="3" width="12.6640625" customWidth="1"/>
    <col min="4" max="4" width="12.109375" customWidth="1"/>
    <col min="5" max="5" width="11.44140625" customWidth="1"/>
    <col min="6" max="6" width="17.44140625" customWidth="1"/>
    <col min="7" max="7" width="15.109375" customWidth="1"/>
    <col min="8" max="8" width="15.33203125" customWidth="1"/>
    <col min="9" max="9" width="10.6640625" customWidth="1"/>
    <col min="10" max="10" width="6" customWidth="1"/>
    <col min="11" max="11" width="35.6640625" customWidth="1"/>
    <col min="12" max="12" width="4.44140625" customWidth="1"/>
    <col min="13" max="13" width="5.33203125" customWidth="1"/>
    <col min="14" max="14" width="7.109375" customWidth="1"/>
    <col min="15" max="15" width="8.6640625" customWidth="1"/>
    <col min="16" max="16" width="9.6640625" customWidth="1"/>
    <col min="17" max="17" width="15.33203125" customWidth="1"/>
    <col min="18" max="18" width="3.44140625" customWidth="1"/>
    <col min="19" max="19" width="6.109375" customWidth="1"/>
    <col min="20" max="20" width="39.33203125" customWidth="1"/>
    <col min="21" max="21" width="4.6640625" customWidth="1"/>
    <col min="22" max="22" width="5.33203125" customWidth="1"/>
    <col min="23" max="23" width="7.109375" customWidth="1"/>
    <col min="24" max="24" width="9" customWidth="1"/>
    <col min="25" max="25" width="10.109375" customWidth="1"/>
    <col min="26" max="26" width="15.88671875" customWidth="1"/>
    <col min="27" max="27" width="3.33203125" customWidth="1"/>
    <col min="28" max="28" width="6.109375" customWidth="1"/>
    <col min="29" max="29" width="47.5546875" customWidth="1"/>
    <col min="30" max="30" width="6" customWidth="1"/>
    <col min="31" max="31" width="5.33203125" customWidth="1"/>
    <col min="32" max="32" width="7.109375" customWidth="1"/>
    <col min="33" max="33" width="9" customWidth="1"/>
    <col min="34" max="34" width="10.109375" customWidth="1"/>
    <col min="35" max="35" width="15.88671875" customWidth="1"/>
    <col min="36" max="36" width="7.5546875" customWidth="1"/>
    <col min="37" max="37" width="3" customWidth="1"/>
    <col min="38" max="38" width="47.5546875" customWidth="1"/>
    <col min="39" max="39" width="6" customWidth="1"/>
    <col min="40" max="40" width="4" customWidth="1"/>
    <col min="41" max="41" width="6.5546875" customWidth="1"/>
    <col min="42" max="46" width="8.6640625" customWidth="1"/>
  </cols>
  <sheetData>
    <row r="1" spans="1:46" ht="22.8" customHeight="1" x14ac:dyDescent="0.3">
      <c r="A1" s="322" t="s">
        <v>625</v>
      </c>
      <c r="B1" s="302"/>
      <c r="C1" s="302"/>
      <c r="D1" s="302"/>
      <c r="E1" s="302"/>
      <c r="F1" s="302"/>
      <c r="G1" s="302"/>
      <c r="H1" s="304"/>
      <c r="J1" s="322" t="s">
        <v>626</v>
      </c>
      <c r="K1" s="302"/>
      <c r="L1" s="302"/>
      <c r="M1" s="302"/>
      <c r="N1" s="302"/>
      <c r="O1" s="302"/>
      <c r="P1" s="302"/>
      <c r="Q1" s="304"/>
      <c r="S1" s="322" t="s">
        <v>627</v>
      </c>
      <c r="T1" s="302"/>
      <c r="U1" s="302"/>
      <c r="V1" s="302"/>
      <c r="W1" s="302"/>
      <c r="X1" s="302"/>
      <c r="Y1" s="302"/>
      <c r="Z1" s="304"/>
      <c r="AB1" s="322" t="s">
        <v>628</v>
      </c>
      <c r="AC1" s="302"/>
      <c r="AD1" s="302"/>
      <c r="AE1" s="302"/>
      <c r="AF1" s="302"/>
      <c r="AG1" s="302"/>
      <c r="AH1" s="302"/>
      <c r="AI1" s="304"/>
    </row>
    <row r="2" spans="1:46" ht="14.4" customHeight="1" x14ac:dyDescent="0.3">
      <c r="A2" s="26" t="s">
        <v>4</v>
      </c>
      <c r="B2" s="26" t="s">
        <v>5</v>
      </c>
      <c r="C2" s="30" t="s">
        <v>6</v>
      </c>
      <c r="D2" s="26" t="s">
        <v>7</v>
      </c>
      <c r="E2" s="30" t="s">
        <v>8</v>
      </c>
      <c r="F2" s="30" t="s">
        <v>9</v>
      </c>
      <c r="G2" s="30" t="s">
        <v>10</v>
      </c>
      <c r="H2" s="30" t="s">
        <v>11</v>
      </c>
      <c r="J2" s="7" t="s">
        <v>4</v>
      </c>
      <c r="K2" s="26" t="s">
        <v>5</v>
      </c>
      <c r="L2" s="30" t="s">
        <v>6</v>
      </c>
      <c r="M2" s="26" t="s">
        <v>7</v>
      </c>
      <c r="N2" s="30" t="s">
        <v>8</v>
      </c>
      <c r="O2" s="30" t="s">
        <v>9</v>
      </c>
      <c r="P2" s="30" t="s">
        <v>10</v>
      </c>
      <c r="Q2" s="30" t="s">
        <v>11</v>
      </c>
      <c r="S2" s="47" t="s">
        <v>4</v>
      </c>
      <c r="T2" s="48" t="s">
        <v>5</v>
      </c>
      <c r="U2" s="49" t="s">
        <v>6</v>
      </c>
      <c r="V2" s="48" t="s">
        <v>7</v>
      </c>
      <c r="W2" s="49" t="s">
        <v>8</v>
      </c>
      <c r="X2" s="49" t="s">
        <v>9</v>
      </c>
      <c r="Y2" s="49" t="s">
        <v>10</v>
      </c>
      <c r="Z2" s="49" t="s">
        <v>11</v>
      </c>
      <c r="AB2" s="47" t="s">
        <v>4</v>
      </c>
      <c r="AC2" s="48" t="s">
        <v>5</v>
      </c>
      <c r="AD2" s="49" t="s">
        <v>6</v>
      </c>
      <c r="AE2" s="48" t="s">
        <v>7</v>
      </c>
      <c r="AF2" s="49" t="s">
        <v>8</v>
      </c>
      <c r="AG2" s="49" t="s">
        <v>9</v>
      </c>
      <c r="AH2" s="49" t="s">
        <v>10</v>
      </c>
      <c r="AI2" s="49" t="s">
        <v>11</v>
      </c>
    </row>
    <row r="3" spans="1:46" ht="14.4" customHeight="1" x14ac:dyDescent="0.3">
      <c r="A3" s="26">
        <v>1</v>
      </c>
      <c r="B3" s="26" t="s">
        <v>80</v>
      </c>
      <c r="C3" s="30"/>
      <c r="D3" s="26"/>
      <c r="E3" s="30"/>
      <c r="F3" s="30"/>
      <c r="G3" s="30"/>
      <c r="H3" s="50">
        <f>SUM(' Oil Burner'!H5:H6,' Oil Burner'!H8)</f>
        <v>3850</v>
      </c>
      <c r="J3" s="7">
        <v>1</v>
      </c>
      <c r="K3" s="26" t="s">
        <v>77</v>
      </c>
      <c r="L3" s="30"/>
      <c r="M3" s="26"/>
      <c r="N3" s="30"/>
      <c r="O3" s="30"/>
      <c r="P3" s="30"/>
      <c r="Q3" s="50">
        <f>SUM(' Oil Burner'!Q5:Q6,' Oil Burner'!Q8)</f>
        <v>4410</v>
      </c>
      <c r="S3" s="7">
        <v>1</v>
      </c>
      <c r="T3" s="26" t="s">
        <v>629</v>
      </c>
      <c r="U3" s="30"/>
      <c r="V3" s="26"/>
      <c r="W3" s="30"/>
      <c r="X3" s="30"/>
      <c r="Y3" s="30"/>
      <c r="Z3" s="30">
        <f>SUM(' Oil Burner'!Z5,' Oil Burner'!Z6,' Oil Burner'!Z8)</f>
        <v>8320</v>
      </c>
      <c r="AB3" s="7">
        <v>1</v>
      </c>
      <c r="AC3" s="26" t="s">
        <v>16</v>
      </c>
      <c r="AD3" s="30">
        <v>22.24</v>
      </c>
      <c r="AE3" s="26" t="s">
        <v>13</v>
      </c>
      <c r="AF3" s="30">
        <f>' Oil Burner'!AF4</f>
        <v>80</v>
      </c>
      <c r="AG3" s="30">
        <f t="shared" ref="AG3:AG17" si="0">AD3*AF3</f>
        <v>1779.1999999999998</v>
      </c>
      <c r="AH3" s="30"/>
      <c r="AI3" s="30">
        <f t="shared" ref="AI3:AI17" si="1">AG3+AH3</f>
        <v>1779.1999999999998</v>
      </c>
    </row>
    <row r="4" spans="1:46" ht="14.4" customHeight="1" x14ac:dyDescent="0.3">
      <c r="A4" s="26">
        <v>2</v>
      </c>
      <c r="B4" s="26" t="s">
        <v>630</v>
      </c>
      <c r="C4" s="30"/>
      <c r="D4" s="26"/>
      <c r="E4" s="30"/>
      <c r="F4" s="30"/>
      <c r="G4" s="30"/>
      <c r="H4" s="50">
        <v>9102</v>
      </c>
      <c r="J4" s="7">
        <v>2</v>
      </c>
      <c r="K4" s="26" t="s">
        <v>631</v>
      </c>
      <c r="L4" s="30"/>
      <c r="M4" s="26"/>
      <c r="N4" s="30"/>
      <c r="O4" s="30"/>
      <c r="P4" s="30"/>
      <c r="Q4" s="50">
        <v>11454</v>
      </c>
      <c r="S4" s="7">
        <v>2</v>
      </c>
      <c r="T4" s="26" t="s">
        <v>632</v>
      </c>
      <c r="U4" s="30"/>
      <c r="V4" s="26"/>
      <c r="W4" s="30"/>
      <c r="X4" s="30"/>
      <c r="Y4" s="30"/>
      <c r="Z4" s="30">
        <v>16654</v>
      </c>
      <c r="AB4" s="7">
        <v>2</v>
      </c>
      <c r="AC4" s="26" t="s">
        <v>20</v>
      </c>
      <c r="AD4" s="30">
        <v>7.68</v>
      </c>
      <c r="AE4" s="26" t="s">
        <v>13</v>
      </c>
      <c r="AF4" s="30">
        <f>' Oil Burner'!AF5</f>
        <v>72</v>
      </c>
      <c r="AG4" s="30">
        <f t="shared" si="0"/>
        <v>552.96</v>
      </c>
      <c r="AH4" s="30">
        <v>1500</v>
      </c>
      <c r="AI4" s="30">
        <f t="shared" si="1"/>
        <v>2052.96</v>
      </c>
      <c r="AT4" s="3"/>
    </row>
    <row r="5" spans="1:46" ht="14.4" customHeight="1" x14ac:dyDescent="0.3">
      <c r="A5" s="26">
        <v>3</v>
      </c>
      <c r="B5" s="26" t="s">
        <v>35</v>
      </c>
      <c r="C5" s="30">
        <v>1</v>
      </c>
      <c r="D5" s="26" t="s">
        <v>25</v>
      </c>
      <c r="E5" s="30">
        <f>Rates!K21</f>
        <v>1500</v>
      </c>
      <c r="F5" s="30">
        <f t="shared" ref="F5:F11" si="2">C5*E5</f>
        <v>1500</v>
      </c>
      <c r="G5" s="30"/>
      <c r="H5" s="50">
        <f t="shared" ref="H5:H11" si="3">F5+G5</f>
        <v>1500</v>
      </c>
      <c r="J5" s="7">
        <v>3</v>
      </c>
      <c r="K5" s="26" t="s">
        <v>36</v>
      </c>
      <c r="L5" s="30">
        <v>1</v>
      </c>
      <c r="M5" s="26" t="s">
        <v>25</v>
      </c>
      <c r="N5" s="30">
        <f>Rates!K22</f>
        <v>1650</v>
      </c>
      <c r="O5" s="30">
        <f t="shared" ref="O5:O11" si="4">L5*N5</f>
        <v>1650</v>
      </c>
      <c r="P5" s="30"/>
      <c r="Q5" s="50">
        <f t="shared" ref="Q5:Q11" si="5">O5+P5</f>
        <v>1650</v>
      </c>
      <c r="S5" s="7">
        <v>3</v>
      </c>
      <c r="T5" s="26" t="s">
        <v>37</v>
      </c>
      <c r="U5" s="30">
        <v>1</v>
      </c>
      <c r="V5" s="26" t="s">
        <v>25</v>
      </c>
      <c r="W5" s="30">
        <f>Rates!K22</f>
        <v>1650</v>
      </c>
      <c r="X5" s="30">
        <f t="shared" ref="X5:X12" si="6">U5*W5</f>
        <v>1650</v>
      </c>
      <c r="Y5" s="30"/>
      <c r="Z5" s="30">
        <f t="shared" ref="Z5:Z12" si="7">X5+Y5</f>
        <v>1650</v>
      </c>
      <c r="AB5" s="7">
        <v>3</v>
      </c>
      <c r="AC5" s="26" t="s">
        <v>24</v>
      </c>
      <c r="AD5" s="30">
        <v>1</v>
      </c>
      <c r="AE5" s="26" t="s">
        <v>25</v>
      </c>
      <c r="AF5" s="30">
        <f>' Oil Burner'!AF6</f>
        <v>135</v>
      </c>
      <c r="AG5" s="30">
        <f t="shared" si="0"/>
        <v>135</v>
      </c>
      <c r="AH5" s="30"/>
      <c r="AI5" s="30">
        <f t="shared" si="1"/>
        <v>135</v>
      </c>
      <c r="AT5" s="3"/>
    </row>
    <row r="6" spans="1:46" ht="14.4" customHeight="1" x14ac:dyDescent="0.3">
      <c r="A6" s="26">
        <v>4</v>
      </c>
      <c r="B6" s="26" t="s">
        <v>39</v>
      </c>
      <c r="C6" s="30">
        <v>1</v>
      </c>
      <c r="D6" s="26" t="s">
        <v>25</v>
      </c>
      <c r="E6" s="30">
        <f>Rates!K24</f>
        <v>450</v>
      </c>
      <c r="F6" s="30">
        <f t="shared" si="2"/>
        <v>450</v>
      </c>
      <c r="G6" s="30"/>
      <c r="H6" s="50">
        <f t="shared" si="3"/>
        <v>450</v>
      </c>
      <c r="J6" s="7">
        <v>4</v>
      </c>
      <c r="K6" s="26" t="s">
        <v>40</v>
      </c>
      <c r="L6" s="30">
        <v>1</v>
      </c>
      <c r="M6" s="26" t="s">
        <v>25</v>
      </c>
      <c r="N6" s="30">
        <f>E6</f>
        <v>450</v>
      </c>
      <c r="O6" s="30">
        <f t="shared" si="4"/>
        <v>450</v>
      </c>
      <c r="P6" s="30"/>
      <c r="Q6" s="50">
        <f t="shared" si="5"/>
        <v>450</v>
      </c>
      <c r="S6" s="7">
        <v>4</v>
      </c>
      <c r="T6" s="26" t="s">
        <v>41</v>
      </c>
      <c r="U6" s="30">
        <v>1</v>
      </c>
      <c r="V6" s="26" t="s">
        <v>25</v>
      </c>
      <c r="W6" s="30">
        <f>Rates!K24</f>
        <v>450</v>
      </c>
      <c r="X6" s="30">
        <f t="shared" si="6"/>
        <v>450</v>
      </c>
      <c r="Y6" s="30"/>
      <c r="Z6" s="30">
        <f t="shared" si="7"/>
        <v>450</v>
      </c>
      <c r="AB6" s="7">
        <v>4</v>
      </c>
      <c r="AC6" s="26" t="s">
        <v>29</v>
      </c>
      <c r="AD6" s="30">
        <v>5.24</v>
      </c>
      <c r="AE6" s="26" t="s">
        <v>13</v>
      </c>
      <c r="AF6" s="30">
        <f>' Oil Burner'!AF7</f>
        <v>80</v>
      </c>
      <c r="AG6" s="30">
        <f t="shared" si="0"/>
        <v>419.20000000000005</v>
      </c>
      <c r="AH6" s="30"/>
      <c r="AI6" s="30">
        <f t="shared" si="1"/>
        <v>419.20000000000005</v>
      </c>
      <c r="AT6" s="3"/>
    </row>
    <row r="7" spans="1:46" ht="14.4" customHeight="1" x14ac:dyDescent="0.3">
      <c r="A7" s="26">
        <v>5</v>
      </c>
      <c r="B7" s="26" t="s">
        <v>43</v>
      </c>
      <c r="C7" s="30">
        <v>2</v>
      </c>
      <c r="D7" s="26" t="s">
        <v>25</v>
      </c>
      <c r="E7" s="30">
        <f>Rates!K14</f>
        <v>590</v>
      </c>
      <c r="F7" s="30">
        <f t="shared" si="2"/>
        <v>1180</v>
      </c>
      <c r="G7" s="30"/>
      <c r="H7" s="50">
        <f t="shared" si="3"/>
        <v>1180</v>
      </c>
      <c r="J7" s="7">
        <v>5</v>
      </c>
      <c r="K7" s="26" t="s">
        <v>43</v>
      </c>
      <c r="L7" s="30">
        <v>2</v>
      </c>
      <c r="M7" s="26" t="s">
        <v>25</v>
      </c>
      <c r="N7" s="30">
        <f>E7</f>
        <v>590</v>
      </c>
      <c r="O7" s="30">
        <f t="shared" si="4"/>
        <v>1180</v>
      </c>
      <c r="P7" s="30"/>
      <c r="Q7" s="50">
        <f t="shared" si="5"/>
        <v>1180</v>
      </c>
      <c r="S7" s="7">
        <v>5</v>
      </c>
      <c r="T7" s="26" t="s">
        <v>44</v>
      </c>
      <c r="U7" s="30">
        <v>1</v>
      </c>
      <c r="V7" s="26" t="s">
        <v>25</v>
      </c>
      <c r="W7" s="30">
        <f>Rates!K15</f>
        <v>750</v>
      </c>
      <c r="X7" s="30">
        <f t="shared" si="6"/>
        <v>750</v>
      </c>
      <c r="Y7" s="30"/>
      <c r="Z7" s="30">
        <f t="shared" si="7"/>
        <v>750</v>
      </c>
      <c r="AB7" s="7">
        <v>5</v>
      </c>
      <c r="AC7" s="26" t="s">
        <v>34</v>
      </c>
      <c r="AD7" s="30">
        <v>20.6</v>
      </c>
      <c r="AE7" s="26" t="s">
        <v>13</v>
      </c>
      <c r="AF7" s="30">
        <f>' Oil Burner'!AF8</f>
        <v>72</v>
      </c>
      <c r="AG7" s="30">
        <f t="shared" si="0"/>
        <v>1483.2</v>
      </c>
      <c r="AH7" s="30"/>
      <c r="AI7" s="30">
        <f t="shared" si="1"/>
        <v>1483.2</v>
      </c>
      <c r="AT7" s="3"/>
    </row>
    <row r="8" spans="1:46" ht="14.4" customHeight="1" x14ac:dyDescent="0.3">
      <c r="A8" s="26">
        <v>6</v>
      </c>
      <c r="B8" s="26" t="s">
        <v>46</v>
      </c>
      <c r="C8" s="30">
        <v>2</v>
      </c>
      <c r="D8" s="26" t="s">
        <v>25</v>
      </c>
      <c r="E8" s="30">
        <f>E7</f>
        <v>590</v>
      </c>
      <c r="F8" s="30">
        <f t="shared" si="2"/>
        <v>1180</v>
      </c>
      <c r="G8" s="30"/>
      <c r="H8" s="50">
        <f t="shared" si="3"/>
        <v>1180</v>
      </c>
      <c r="J8" s="7">
        <v>6</v>
      </c>
      <c r="K8" s="26" t="s">
        <v>46</v>
      </c>
      <c r="L8" s="30">
        <v>2</v>
      </c>
      <c r="M8" s="26" t="s">
        <v>25</v>
      </c>
      <c r="N8" s="30">
        <f>E8</f>
        <v>590</v>
      </c>
      <c r="O8" s="30">
        <f t="shared" si="4"/>
        <v>1180</v>
      </c>
      <c r="P8" s="30"/>
      <c r="Q8" s="50">
        <f t="shared" si="5"/>
        <v>1180</v>
      </c>
      <c r="S8" s="7">
        <v>6</v>
      </c>
      <c r="T8" s="26" t="s">
        <v>47</v>
      </c>
      <c r="U8" s="30">
        <v>1</v>
      </c>
      <c r="V8" s="26" t="s">
        <v>25</v>
      </c>
      <c r="W8" s="30">
        <f>Rates!K16</f>
        <v>800</v>
      </c>
      <c r="X8" s="30">
        <f t="shared" si="6"/>
        <v>800</v>
      </c>
      <c r="Y8" s="30"/>
      <c r="Z8" s="30">
        <f t="shared" si="7"/>
        <v>800</v>
      </c>
      <c r="AB8" s="7">
        <v>6</v>
      </c>
      <c r="AC8" s="26" t="s">
        <v>38</v>
      </c>
      <c r="AD8" s="30">
        <v>2.12</v>
      </c>
      <c r="AE8" s="26" t="s">
        <v>13</v>
      </c>
      <c r="AF8" s="30">
        <f>' Oil Burner'!AF9</f>
        <v>80</v>
      </c>
      <c r="AG8" s="30">
        <f t="shared" si="0"/>
        <v>169.60000000000002</v>
      </c>
      <c r="AH8" s="30"/>
      <c r="AI8" s="30">
        <f t="shared" si="1"/>
        <v>169.60000000000002</v>
      </c>
      <c r="AT8" s="3"/>
    </row>
    <row r="9" spans="1:46" ht="14.4" customHeight="1" x14ac:dyDescent="0.3">
      <c r="A9" s="26">
        <v>7</v>
      </c>
      <c r="B9" s="26" t="s">
        <v>49</v>
      </c>
      <c r="C9" s="30">
        <v>1</v>
      </c>
      <c r="D9" s="26" t="s">
        <v>25</v>
      </c>
      <c r="E9" s="30">
        <f>Rates!K10</f>
        <v>2300</v>
      </c>
      <c r="F9" s="30">
        <f t="shared" si="2"/>
        <v>2300</v>
      </c>
      <c r="G9" s="30"/>
      <c r="H9" s="50">
        <f t="shared" si="3"/>
        <v>2300</v>
      </c>
      <c r="J9" s="7">
        <v>7</v>
      </c>
      <c r="K9" s="26" t="s">
        <v>50</v>
      </c>
      <c r="L9" s="30">
        <v>1</v>
      </c>
      <c r="M9" s="26" t="s">
        <v>25</v>
      </c>
      <c r="N9" s="30">
        <f>Rates!K11</f>
        <v>2300</v>
      </c>
      <c r="O9" s="30">
        <f t="shared" si="4"/>
        <v>2300</v>
      </c>
      <c r="P9" s="30"/>
      <c r="Q9" s="50">
        <f t="shared" si="5"/>
        <v>2300</v>
      </c>
      <c r="S9" s="7">
        <v>7</v>
      </c>
      <c r="T9" s="26" t="s">
        <v>633</v>
      </c>
      <c r="U9" s="30">
        <v>2</v>
      </c>
      <c r="V9" s="26" t="s">
        <v>60</v>
      </c>
      <c r="W9" s="30">
        <f>Rates!K14</f>
        <v>590</v>
      </c>
      <c r="X9" s="30">
        <f t="shared" si="6"/>
        <v>1180</v>
      </c>
      <c r="Y9" s="30"/>
      <c r="Z9" s="30">
        <f t="shared" si="7"/>
        <v>1180</v>
      </c>
      <c r="AB9" s="7">
        <v>7</v>
      </c>
      <c r="AC9" s="26" t="s">
        <v>42</v>
      </c>
      <c r="AD9" s="30">
        <v>2.38</v>
      </c>
      <c r="AE9" s="26" t="s">
        <v>13</v>
      </c>
      <c r="AF9" s="30">
        <f>' Oil Burner'!AF10</f>
        <v>72</v>
      </c>
      <c r="AG9" s="30">
        <f t="shared" si="0"/>
        <v>171.35999999999999</v>
      </c>
      <c r="AH9" s="30"/>
      <c r="AI9" s="30">
        <f t="shared" si="1"/>
        <v>171.35999999999999</v>
      </c>
      <c r="AT9" s="3"/>
    </row>
    <row r="10" spans="1:46" ht="14.4" customHeight="1" x14ac:dyDescent="0.3">
      <c r="A10" s="26">
        <v>8</v>
      </c>
      <c r="B10" s="26" t="s">
        <v>54</v>
      </c>
      <c r="C10" s="30">
        <v>3</v>
      </c>
      <c r="D10" s="26" t="s">
        <v>25</v>
      </c>
      <c r="E10" s="30">
        <v>30</v>
      </c>
      <c r="F10" s="30">
        <f t="shared" si="2"/>
        <v>90</v>
      </c>
      <c r="G10" s="30"/>
      <c r="H10" s="50">
        <f t="shared" si="3"/>
        <v>90</v>
      </c>
      <c r="J10" s="7">
        <v>8</v>
      </c>
      <c r="K10" s="26" t="s">
        <v>54</v>
      </c>
      <c r="L10" s="30">
        <v>3</v>
      </c>
      <c r="M10" s="26" t="s">
        <v>25</v>
      </c>
      <c r="N10" s="30">
        <v>30</v>
      </c>
      <c r="O10" s="30">
        <f t="shared" si="4"/>
        <v>90</v>
      </c>
      <c r="P10" s="30"/>
      <c r="Q10" s="50">
        <f t="shared" si="5"/>
        <v>90</v>
      </c>
      <c r="S10" s="7">
        <v>8</v>
      </c>
      <c r="T10" s="26" t="s">
        <v>51</v>
      </c>
      <c r="U10" s="30">
        <v>1</v>
      </c>
      <c r="V10" s="26" t="s">
        <v>25</v>
      </c>
      <c r="W10" s="30">
        <f>Rates!K12</f>
        <v>2300</v>
      </c>
      <c r="X10" s="30">
        <f t="shared" si="6"/>
        <v>2300</v>
      </c>
      <c r="Y10" s="30"/>
      <c r="Z10" s="30">
        <f t="shared" si="7"/>
        <v>2300</v>
      </c>
      <c r="AB10" s="7">
        <v>8</v>
      </c>
      <c r="AC10" s="26" t="s">
        <v>45</v>
      </c>
      <c r="AD10" s="30">
        <v>1.6</v>
      </c>
      <c r="AE10" s="26" t="s">
        <v>13</v>
      </c>
      <c r="AF10" s="30">
        <f>' Oil Burner'!AF11</f>
        <v>72</v>
      </c>
      <c r="AG10" s="30">
        <f t="shared" si="0"/>
        <v>115.2</v>
      </c>
      <c r="AH10" s="30"/>
      <c r="AI10" s="30">
        <f t="shared" si="1"/>
        <v>115.2</v>
      </c>
      <c r="AT10" s="3"/>
    </row>
    <row r="11" spans="1:46" ht="14.4" customHeight="1" x14ac:dyDescent="0.3">
      <c r="A11" s="26">
        <v>9</v>
      </c>
      <c r="B11" s="26" t="s">
        <v>56</v>
      </c>
      <c r="C11" s="30">
        <v>4</v>
      </c>
      <c r="D11" s="26" t="s">
        <v>57</v>
      </c>
      <c r="E11" s="30">
        <v>30</v>
      </c>
      <c r="F11" s="30">
        <f t="shared" si="2"/>
        <v>120</v>
      </c>
      <c r="G11" s="30"/>
      <c r="H11" s="50">
        <f t="shared" si="3"/>
        <v>120</v>
      </c>
      <c r="J11" s="7">
        <v>9</v>
      </c>
      <c r="K11" s="26" t="s">
        <v>58</v>
      </c>
      <c r="L11" s="30">
        <v>4</v>
      </c>
      <c r="M11" s="26" t="s">
        <v>57</v>
      </c>
      <c r="N11" s="30">
        <v>30</v>
      </c>
      <c r="O11" s="30">
        <f t="shared" si="4"/>
        <v>120</v>
      </c>
      <c r="P11" s="30"/>
      <c r="Q11" s="50">
        <f t="shared" si="5"/>
        <v>120</v>
      </c>
      <c r="S11" s="7">
        <v>9</v>
      </c>
      <c r="T11" s="26" t="s">
        <v>54</v>
      </c>
      <c r="U11" s="30">
        <v>1</v>
      </c>
      <c r="V11" s="26" t="s">
        <v>25</v>
      </c>
      <c r="W11" s="30">
        <v>30</v>
      </c>
      <c r="X11" s="30">
        <f t="shared" si="6"/>
        <v>30</v>
      </c>
      <c r="Y11" s="30"/>
      <c r="Z11" s="30">
        <f t="shared" si="7"/>
        <v>30</v>
      </c>
      <c r="AB11" s="7">
        <v>9</v>
      </c>
      <c r="AC11" s="26" t="s">
        <v>48</v>
      </c>
      <c r="AD11" s="30">
        <v>1</v>
      </c>
      <c r="AE11" s="26" t="s">
        <v>13</v>
      </c>
      <c r="AF11" s="30">
        <f>' Oil Burner'!AF12</f>
        <v>72</v>
      </c>
      <c r="AG11" s="30">
        <f t="shared" si="0"/>
        <v>72</v>
      </c>
      <c r="AH11" s="30"/>
      <c r="AI11" s="30">
        <f t="shared" si="1"/>
        <v>72</v>
      </c>
      <c r="AT11" s="3"/>
    </row>
    <row r="12" spans="1:46" ht="14.4" customHeight="1" x14ac:dyDescent="0.3">
      <c r="A12" s="26">
        <v>10</v>
      </c>
      <c r="B12" s="26" t="s">
        <v>81</v>
      </c>
      <c r="C12" s="30"/>
      <c r="D12" s="26"/>
      <c r="E12" s="30"/>
      <c r="F12" s="30"/>
      <c r="G12" s="30"/>
      <c r="H12" s="50">
        <v>2100</v>
      </c>
      <c r="J12" s="7">
        <v>10</v>
      </c>
      <c r="K12" s="26" t="s">
        <v>71</v>
      </c>
      <c r="L12" s="30"/>
      <c r="M12" s="26"/>
      <c r="N12" s="30"/>
      <c r="O12" s="30"/>
      <c r="P12" s="30"/>
      <c r="Q12" s="50">
        <v>2400</v>
      </c>
      <c r="S12" s="7">
        <v>10</v>
      </c>
      <c r="T12" s="26" t="s">
        <v>58</v>
      </c>
      <c r="U12" s="30">
        <v>2</v>
      </c>
      <c r="V12" s="26" t="s">
        <v>57</v>
      </c>
      <c r="W12" s="30">
        <v>30</v>
      </c>
      <c r="X12" s="30">
        <f t="shared" si="6"/>
        <v>60</v>
      </c>
      <c r="Y12" s="30"/>
      <c r="Z12" s="30">
        <f t="shared" si="7"/>
        <v>60</v>
      </c>
      <c r="AB12" s="7">
        <v>10</v>
      </c>
      <c r="AC12" s="26" t="s">
        <v>52</v>
      </c>
      <c r="AD12" s="30">
        <v>1</v>
      </c>
      <c r="AE12" s="26" t="s">
        <v>53</v>
      </c>
      <c r="AF12" s="30">
        <f>' Oil Burner'!AF13</f>
        <v>26000</v>
      </c>
      <c r="AG12" s="30">
        <f t="shared" si="0"/>
        <v>26000</v>
      </c>
      <c r="AH12" s="30"/>
      <c r="AI12" s="30">
        <f t="shared" si="1"/>
        <v>26000</v>
      </c>
      <c r="AT12" s="3"/>
    </row>
    <row r="13" spans="1:46" ht="14.4" customHeight="1" x14ac:dyDescent="0.3">
      <c r="A13" s="26">
        <v>11</v>
      </c>
      <c r="B13" s="26" t="s">
        <v>70</v>
      </c>
      <c r="C13" s="30"/>
      <c r="D13" s="26"/>
      <c r="E13" s="30"/>
      <c r="F13" s="30"/>
      <c r="G13" s="30"/>
      <c r="H13" s="50">
        <v>400</v>
      </c>
      <c r="J13" s="7">
        <v>11</v>
      </c>
      <c r="K13" s="26" t="s">
        <v>70</v>
      </c>
      <c r="L13" s="30"/>
      <c r="M13" s="26"/>
      <c r="N13" s="30"/>
      <c r="O13" s="30">
        <v>300</v>
      </c>
      <c r="P13" s="30"/>
      <c r="Q13" s="50">
        <v>400</v>
      </c>
      <c r="S13" s="7">
        <v>11</v>
      </c>
      <c r="T13" s="26" t="s">
        <v>71</v>
      </c>
      <c r="U13" s="30"/>
      <c r="V13" s="26"/>
      <c r="W13" s="30"/>
      <c r="X13" s="30"/>
      <c r="Y13" s="30"/>
      <c r="Z13" s="30">
        <v>2900</v>
      </c>
      <c r="AB13" s="7">
        <v>11</v>
      </c>
      <c r="AC13" s="26" t="s">
        <v>55</v>
      </c>
      <c r="AD13" s="30">
        <v>1</v>
      </c>
      <c r="AE13" s="26" t="s">
        <v>25</v>
      </c>
      <c r="AF13" s="30">
        <f>' Oil Burner'!AF14</f>
        <v>2500</v>
      </c>
      <c r="AG13" s="30">
        <f t="shared" si="0"/>
        <v>2500</v>
      </c>
      <c r="AH13" s="30"/>
      <c r="AI13" s="30">
        <f t="shared" si="1"/>
        <v>2500</v>
      </c>
      <c r="AT13" s="3"/>
    </row>
    <row r="14" spans="1:46" ht="14.4" customHeight="1" x14ac:dyDescent="0.3">
      <c r="A14" s="26"/>
      <c r="B14" s="26"/>
      <c r="C14" s="30"/>
      <c r="D14" s="26"/>
      <c r="E14" s="49"/>
      <c r="F14" s="49"/>
      <c r="G14" s="30" t="s">
        <v>634</v>
      </c>
      <c r="H14" s="50">
        <f>SUM(H3:H13)</f>
        <v>22272</v>
      </c>
      <c r="J14" s="7"/>
      <c r="K14" s="26"/>
      <c r="L14" s="30"/>
      <c r="M14" s="26"/>
      <c r="N14" s="49" t="s">
        <v>75</v>
      </c>
      <c r="O14" s="30"/>
      <c r="P14" s="30"/>
      <c r="Q14" s="50">
        <f>SUM(Q3:Q13)</f>
        <v>25634</v>
      </c>
      <c r="S14" s="7">
        <v>12</v>
      </c>
      <c r="T14" s="26" t="s">
        <v>73</v>
      </c>
      <c r="U14" s="30"/>
      <c r="V14" s="26"/>
      <c r="W14" s="30"/>
      <c r="X14" s="30">
        <v>350</v>
      </c>
      <c r="Y14" s="30"/>
      <c r="Z14" s="30">
        <v>400</v>
      </c>
      <c r="AB14" s="7">
        <v>12</v>
      </c>
      <c r="AC14" s="26" t="s">
        <v>59</v>
      </c>
      <c r="AD14" s="30">
        <v>3</v>
      </c>
      <c r="AE14" s="26" t="s">
        <v>60</v>
      </c>
      <c r="AF14" s="30">
        <f>' Oil Burner'!AF15</f>
        <v>800</v>
      </c>
      <c r="AG14" s="30">
        <f t="shared" si="0"/>
        <v>2400</v>
      </c>
      <c r="AH14" s="30"/>
      <c r="AI14" s="30">
        <f t="shared" si="1"/>
        <v>2400</v>
      </c>
      <c r="AT14" s="3"/>
    </row>
    <row r="15" spans="1:46" ht="14.4" customHeight="1" x14ac:dyDescent="0.3">
      <c r="S15" s="7"/>
      <c r="T15" s="26"/>
      <c r="U15" s="30"/>
      <c r="V15" s="26"/>
      <c r="W15" s="49" t="s">
        <v>75</v>
      </c>
      <c r="X15" s="30"/>
      <c r="Y15" s="30"/>
      <c r="Z15" s="30">
        <f>SUM(Z3:Z14)</f>
        <v>35494</v>
      </c>
      <c r="AB15" s="7">
        <v>13</v>
      </c>
      <c r="AC15" s="26" t="s">
        <v>64</v>
      </c>
      <c r="AD15" s="30">
        <v>1</v>
      </c>
      <c r="AE15" s="26" t="s">
        <v>65</v>
      </c>
      <c r="AF15" s="30">
        <f>' Oil Burner'!AF16</f>
        <v>1100</v>
      </c>
      <c r="AG15" s="30">
        <f t="shared" si="0"/>
        <v>1100</v>
      </c>
      <c r="AH15" s="30"/>
      <c r="AI15" s="30">
        <f t="shared" si="1"/>
        <v>1100</v>
      </c>
      <c r="AT15" s="3"/>
    </row>
    <row r="16" spans="1:46" ht="14.4" customHeight="1" x14ac:dyDescent="0.3">
      <c r="B16" s="3"/>
      <c r="C16" s="3"/>
      <c r="D16" s="3"/>
      <c r="E16" s="3"/>
      <c r="F16" s="3"/>
      <c r="G16" s="3"/>
      <c r="H16" s="3"/>
      <c r="I16" s="3"/>
      <c r="AB16" s="7">
        <v>14</v>
      </c>
      <c r="AC16" s="26" t="s">
        <v>69</v>
      </c>
      <c r="AD16" s="30">
        <v>1</v>
      </c>
      <c r="AE16" s="26" t="s">
        <v>65</v>
      </c>
      <c r="AF16" s="30">
        <f>' Oil Burner'!AF17</f>
        <v>4500</v>
      </c>
      <c r="AG16" s="30">
        <f t="shared" si="0"/>
        <v>4500</v>
      </c>
      <c r="AH16" s="30"/>
      <c r="AI16" s="30">
        <f t="shared" si="1"/>
        <v>4500</v>
      </c>
      <c r="AT16" s="3"/>
    </row>
    <row r="17" spans="1:46" ht="14.4" customHeight="1" x14ac:dyDescent="0.3">
      <c r="A17" s="3"/>
      <c r="B17" s="3"/>
      <c r="C17" s="3"/>
      <c r="D17" s="3"/>
      <c r="E17" s="3"/>
      <c r="F17" s="3"/>
      <c r="G17" s="3"/>
      <c r="H17" s="3"/>
      <c r="I17" s="3"/>
      <c r="AB17" s="7">
        <v>15</v>
      </c>
      <c r="AC17" s="26" t="s">
        <v>72</v>
      </c>
      <c r="AD17" s="30">
        <v>1</v>
      </c>
      <c r="AE17" s="26" t="s">
        <v>65</v>
      </c>
      <c r="AF17" s="30">
        <f>' Oil Burner'!AF18</f>
        <v>450</v>
      </c>
      <c r="AG17" s="30">
        <f t="shared" si="0"/>
        <v>450</v>
      </c>
      <c r="AH17" s="30"/>
      <c r="AI17" s="30">
        <f t="shared" si="1"/>
        <v>450</v>
      </c>
      <c r="AT17" s="3"/>
    </row>
    <row r="18" spans="1:46" ht="15.75" customHeight="1" x14ac:dyDescent="0.3">
      <c r="A18" s="3"/>
      <c r="B18" s="3"/>
      <c r="C18" s="3"/>
      <c r="D18" s="3"/>
      <c r="E18" s="3"/>
      <c r="F18" s="3"/>
      <c r="G18" s="3"/>
      <c r="H18" s="3"/>
      <c r="I18" s="3"/>
      <c r="AB18" s="7">
        <v>16</v>
      </c>
      <c r="AC18" s="26" t="s">
        <v>74</v>
      </c>
      <c r="AD18" s="30">
        <v>1</v>
      </c>
      <c r="AE18" s="26" t="s">
        <v>65</v>
      </c>
      <c r="AF18" s="30">
        <f>' Oil Burner'!AF19</f>
        <v>70</v>
      </c>
      <c r="AG18" s="30"/>
      <c r="AH18" s="30"/>
      <c r="AI18" s="30">
        <v>31048</v>
      </c>
      <c r="AT18" s="3"/>
    </row>
    <row r="19" spans="1:46" ht="15.75" customHeight="1" x14ac:dyDescent="0.3">
      <c r="A19" s="3"/>
      <c r="B19" s="3"/>
      <c r="C19" s="3"/>
      <c r="D19" s="3"/>
      <c r="E19" s="3"/>
      <c r="F19" s="3"/>
      <c r="G19" s="3"/>
      <c r="H19" s="3"/>
      <c r="I19" s="3"/>
      <c r="AB19" s="7">
        <v>17</v>
      </c>
      <c r="AC19" s="26" t="s">
        <v>79</v>
      </c>
      <c r="AD19" s="30">
        <v>1</v>
      </c>
      <c r="AE19" s="26" t="s">
        <v>25</v>
      </c>
      <c r="AF19" s="30">
        <f>' Oil Burner'!AF21</f>
        <v>80</v>
      </c>
      <c r="AG19" s="30">
        <f>AD19*AF19</f>
        <v>80</v>
      </c>
      <c r="AH19" s="30"/>
      <c r="AI19" s="30">
        <f>AG19+AH19</f>
        <v>80</v>
      </c>
      <c r="AT19" s="3"/>
    </row>
    <row r="20" spans="1:46" ht="15.75" customHeight="1" x14ac:dyDescent="0.3">
      <c r="A20" s="3"/>
      <c r="B20" s="3"/>
      <c r="C20" s="3"/>
      <c r="D20" s="3"/>
      <c r="E20" s="3"/>
      <c r="F20" s="3"/>
      <c r="G20" s="3"/>
      <c r="H20" s="3"/>
      <c r="I20" s="3"/>
      <c r="AB20" s="7">
        <v>18</v>
      </c>
      <c r="AC20" s="26" t="s">
        <v>81</v>
      </c>
      <c r="AD20" s="30"/>
      <c r="AE20" s="26"/>
      <c r="AF20" s="30"/>
      <c r="AG20" s="30"/>
      <c r="AH20" s="30"/>
      <c r="AI20" s="30">
        <v>5000</v>
      </c>
      <c r="AT20" s="3"/>
    </row>
    <row r="21" spans="1:46" ht="15.75" customHeight="1" x14ac:dyDescent="0.3">
      <c r="A21" s="3"/>
      <c r="B21" s="3"/>
      <c r="C21" s="3"/>
      <c r="D21" s="3"/>
      <c r="E21" s="3"/>
      <c r="F21" s="3"/>
      <c r="G21" s="3"/>
      <c r="H21" s="3"/>
      <c r="I21" s="3"/>
      <c r="AB21" s="7">
        <v>19</v>
      </c>
      <c r="AC21" s="26" t="s">
        <v>70</v>
      </c>
      <c r="AD21" s="30"/>
      <c r="AE21" s="26"/>
      <c r="AF21" s="30"/>
      <c r="AG21" s="30">
        <v>400</v>
      </c>
      <c r="AH21" s="30"/>
      <c r="AI21" s="30">
        <v>500</v>
      </c>
      <c r="AT21" s="3"/>
    </row>
    <row r="22" spans="1:46" ht="16.5" customHeight="1" x14ac:dyDescent="0.3">
      <c r="A22" s="3"/>
      <c r="B22" s="3"/>
      <c r="C22" s="3"/>
      <c r="D22" s="3"/>
      <c r="E22" s="3"/>
      <c r="F22" s="3"/>
      <c r="G22" s="3"/>
      <c r="H22" s="3"/>
      <c r="I22" s="3"/>
      <c r="AB22" s="7"/>
      <c r="AC22" s="26"/>
      <c r="AD22" s="30"/>
      <c r="AE22" s="26"/>
      <c r="AF22" s="49" t="s">
        <v>75</v>
      </c>
      <c r="AG22" s="30"/>
      <c r="AH22" s="30"/>
      <c r="AI22" s="30">
        <f>SUM(AI3:AI21)</f>
        <v>79975.72</v>
      </c>
      <c r="AT22" s="3"/>
    </row>
    <row r="23" spans="1:46" ht="15.75" customHeight="1" x14ac:dyDescent="0.3">
      <c r="AT23" s="3"/>
    </row>
    <row r="24" spans="1:46" ht="15.75" customHeight="1" x14ac:dyDescent="0.3"/>
    <row r="25" spans="1:46" ht="15.75" customHeight="1" x14ac:dyDescent="0.3"/>
    <row r="26" spans="1:46" ht="15.75" customHeight="1" x14ac:dyDescent="0.3"/>
    <row r="27" spans="1:46" ht="15.75" customHeight="1" x14ac:dyDescent="0.3"/>
    <row r="28" spans="1:46" ht="15.75" customHeight="1" x14ac:dyDescent="0.3"/>
    <row r="29" spans="1:46" ht="15.75" customHeight="1" x14ac:dyDescent="0.3"/>
    <row r="30" spans="1:46" ht="15.75" customHeight="1" x14ac:dyDescent="0.3"/>
    <row r="31" spans="1:46" ht="15.75" customHeight="1" x14ac:dyDescent="0.3"/>
    <row r="32" spans="1:4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J1:Q1"/>
    <mergeCell ref="S1:Z1"/>
    <mergeCell ref="AB1:AI1"/>
    <mergeCell ref="A1:H1"/>
  </mergeCells>
  <pageMargins left="0.25" right="0.25" top="0.75" bottom="0.75" header="0" footer="0"/>
  <pageSetup paperSize="9" orientation="landscape"/>
  <colBreaks count="1" manualBreakCount="1">
    <brk id="17"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T1000"/>
  <sheetViews>
    <sheetView topLeftCell="H1" workbookViewId="0">
      <selection activeCell="I5" sqref="I5"/>
    </sheetView>
  </sheetViews>
  <sheetFormatPr defaultColWidth="14.44140625" defaultRowHeight="15" customHeight="1" x14ac:dyDescent="0.3"/>
  <cols>
    <col min="1" max="1" width="15.33203125" customWidth="1"/>
    <col min="2" max="2" width="12" customWidth="1"/>
    <col min="3" max="3" width="10.109375" customWidth="1"/>
    <col min="4" max="4" width="7" customWidth="1"/>
    <col min="5" max="5" width="10.33203125" customWidth="1"/>
    <col min="6" max="6" width="10.5546875" customWidth="1"/>
    <col min="7" max="7" width="8.6640625" customWidth="1"/>
    <col min="8" max="8" width="11.33203125" customWidth="1"/>
    <col min="9" max="9" width="14.5546875" customWidth="1"/>
    <col min="10" max="10" width="15.44140625" customWidth="1"/>
    <col min="11" max="11" width="14.44140625" customWidth="1"/>
    <col min="12" max="12" width="12" customWidth="1"/>
    <col min="13" max="13" width="14.6640625" customWidth="1"/>
    <col min="14" max="14" width="9.88671875" customWidth="1"/>
    <col min="15" max="15" width="6" customWidth="1"/>
    <col min="16" max="16" width="6.109375" customWidth="1"/>
    <col min="17" max="17" width="8.6640625" customWidth="1"/>
    <col min="18" max="20" width="14.44140625" customWidth="1"/>
    <col min="21" max="26" width="8.6640625" customWidth="1"/>
  </cols>
  <sheetData>
    <row r="1" spans="1:20" ht="14.4" customHeight="1" x14ac:dyDescent="0.3">
      <c r="A1" s="51" t="s">
        <v>635</v>
      </c>
      <c r="B1" s="52"/>
      <c r="C1" s="52"/>
      <c r="D1" s="52"/>
      <c r="E1" s="52"/>
      <c r="F1" s="52"/>
      <c r="G1" s="52"/>
      <c r="H1" s="52"/>
      <c r="I1" s="52"/>
      <c r="J1" s="52"/>
      <c r="K1" s="53"/>
      <c r="M1" s="51" t="s">
        <v>636</v>
      </c>
      <c r="N1" s="52"/>
      <c r="O1" s="52"/>
      <c r="P1" s="52"/>
      <c r="Q1" s="52"/>
      <c r="R1" s="52"/>
      <c r="S1" s="52"/>
      <c r="T1" s="53"/>
    </row>
    <row r="2" spans="1:20" ht="53.4" customHeight="1" x14ac:dyDescent="0.3">
      <c r="A2" s="54" t="s">
        <v>637</v>
      </c>
      <c r="B2" s="22" t="s">
        <v>638</v>
      </c>
      <c r="C2" s="22" t="s">
        <v>639</v>
      </c>
      <c r="D2" s="22" t="s">
        <v>640</v>
      </c>
      <c r="E2" s="22" t="s">
        <v>641</v>
      </c>
      <c r="F2" s="22" t="s">
        <v>642</v>
      </c>
      <c r="G2" s="22" t="s">
        <v>643</v>
      </c>
      <c r="H2" s="22" t="s">
        <v>644</v>
      </c>
      <c r="I2" s="55" t="s">
        <v>645</v>
      </c>
      <c r="J2" s="56"/>
      <c r="K2" s="57"/>
      <c r="M2" s="58" t="s">
        <v>637</v>
      </c>
      <c r="N2" s="59" t="s">
        <v>136</v>
      </c>
      <c r="O2" s="59" t="s">
        <v>139</v>
      </c>
      <c r="P2" s="59" t="s">
        <v>121</v>
      </c>
      <c r="Q2" s="59" t="s">
        <v>646</v>
      </c>
      <c r="R2" s="59" t="s">
        <v>647</v>
      </c>
      <c r="S2" s="60"/>
      <c r="T2" s="61"/>
    </row>
    <row r="3" spans="1:20" ht="14.4" customHeight="1" x14ac:dyDescent="0.3">
      <c r="A3" s="62" t="s">
        <v>648</v>
      </c>
      <c r="B3" s="4">
        <v>38</v>
      </c>
      <c r="C3" s="4"/>
      <c r="D3" s="4">
        <v>269</v>
      </c>
      <c r="E3" s="4">
        <v>103</v>
      </c>
      <c r="F3" s="4">
        <v>200</v>
      </c>
      <c r="G3" s="4">
        <v>18</v>
      </c>
      <c r="H3" s="4">
        <v>98</v>
      </c>
      <c r="I3" s="63">
        <f t="shared" ref="I3:I8" si="0">K12</f>
        <v>115356.7116</v>
      </c>
      <c r="J3" s="64"/>
      <c r="K3" s="65"/>
      <c r="M3" s="29" t="s">
        <v>649</v>
      </c>
      <c r="N3" s="26">
        <v>29</v>
      </c>
      <c r="O3" s="26">
        <v>129</v>
      </c>
      <c r="P3" s="26">
        <v>9</v>
      </c>
      <c r="Q3" s="26">
        <v>62</v>
      </c>
      <c r="R3" s="66">
        <f>T12</f>
        <v>49495.305600000014</v>
      </c>
      <c r="S3" s="3"/>
      <c r="T3" s="67"/>
    </row>
    <row r="4" spans="1:20" ht="14.4" customHeight="1" x14ac:dyDescent="0.3">
      <c r="A4" s="62" t="s">
        <v>650</v>
      </c>
      <c r="B4" s="4">
        <v>64</v>
      </c>
      <c r="C4" s="4"/>
      <c r="D4" s="4">
        <v>270</v>
      </c>
      <c r="E4" s="4">
        <v>56</v>
      </c>
      <c r="F4" s="4">
        <v>450</v>
      </c>
      <c r="G4" s="4">
        <v>20</v>
      </c>
      <c r="H4" s="4"/>
      <c r="I4" s="63">
        <f t="shared" si="0"/>
        <v>167641.34400000004</v>
      </c>
      <c r="J4" s="64"/>
      <c r="K4" s="65"/>
      <c r="M4" s="29" t="s">
        <v>651</v>
      </c>
      <c r="N4" s="26">
        <v>32</v>
      </c>
      <c r="O4" s="26">
        <v>150</v>
      </c>
      <c r="P4" s="26">
        <v>9</v>
      </c>
      <c r="Q4" s="26">
        <v>86</v>
      </c>
      <c r="R4" s="66">
        <f>T13</f>
        <v>63889.113600000012</v>
      </c>
      <c r="S4" s="3"/>
      <c r="T4" s="67"/>
    </row>
    <row r="5" spans="1:20" ht="14.4" customHeight="1" x14ac:dyDescent="0.3">
      <c r="A5" s="62" t="s">
        <v>652</v>
      </c>
      <c r="B5" s="4">
        <v>128</v>
      </c>
      <c r="C5" s="4"/>
      <c r="D5" s="4">
        <v>427</v>
      </c>
      <c r="E5" s="4">
        <v>279</v>
      </c>
      <c r="F5" s="4">
        <v>795</v>
      </c>
      <c r="G5" s="4">
        <v>30</v>
      </c>
      <c r="H5" s="4"/>
      <c r="I5" s="63">
        <f t="shared" si="0"/>
        <v>326054.00880000001</v>
      </c>
      <c r="J5" s="64"/>
      <c r="K5" s="65"/>
      <c r="M5" s="29" t="s">
        <v>653</v>
      </c>
      <c r="N5" s="26">
        <v>53</v>
      </c>
      <c r="O5" s="26">
        <v>311</v>
      </c>
      <c r="P5" s="26">
        <v>13.5</v>
      </c>
      <c r="Q5" s="26">
        <v>223</v>
      </c>
      <c r="R5" s="66">
        <f>T14</f>
        <v>151840.02600000001</v>
      </c>
      <c r="S5" s="3"/>
      <c r="T5" s="67"/>
    </row>
    <row r="6" spans="1:20" ht="14.4" customHeight="1" x14ac:dyDescent="0.3">
      <c r="A6" s="62" t="s">
        <v>654</v>
      </c>
      <c r="B6" s="4">
        <v>146</v>
      </c>
      <c r="C6" s="4"/>
      <c r="D6" s="4">
        <v>392</v>
      </c>
      <c r="E6" s="4">
        <v>305</v>
      </c>
      <c r="F6" s="4">
        <v>795</v>
      </c>
      <c r="G6" s="4">
        <v>40</v>
      </c>
      <c r="H6" s="4"/>
      <c r="I6" s="63">
        <f t="shared" si="0"/>
        <v>347475.07080000004</v>
      </c>
      <c r="J6" s="64"/>
      <c r="K6" s="65"/>
      <c r="M6" s="29" t="s">
        <v>655</v>
      </c>
      <c r="N6" s="26">
        <v>93</v>
      </c>
      <c r="O6" s="26">
        <v>571</v>
      </c>
      <c r="P6" s="26">
        <v>22</v>
      </c>
      <c r="Q6" s="26">
        <v>435</v>
      </c>
      <c r="R6" s="66">
        <f>T15</f>
        <v>290282.61599999998</v>
      </c>
      <c r="S6" s="3"/>
      <c r="T6" s="67"/>
    </row>
    <row r="7" spans="1:20" ht="14.4" customHeight="1" x14ac:dyDescent="0.3">
      <c r="A7" s="62" t="s">
        <v>656</v>
      </c>
      <c r="B7" s="4">
        <v>182</v>
      </c>
      <c r="C7" s="4"/>
      <c r="D7" s="4">
        <v>431</v>
      </c>
      <c r="E7" s="4">
        <v>312</v>
      </c>
      <c r="F7" s="4">
        <v>960</v>
      </c>
      <c r="G7" s="4">
        <v>40</v>
      </c>
      <c r="H7" s="4"/>
      <c r="I7" s="63">
        <f t="shared" si="0"/>
        <v>410654.69640000007</v>
      </c>
      <c r="J7" s="64"/>
      <c r="K7" s="65"/>
      <c r="M7" s="68"/>
      <c r="N7" s="3"/>
      <c r="O7" s="3"/>
      <c r="P7" s="3"/>
      <c r="Q7" s="3"/>
      <c r="R7" s="3"/>
      <c r="S7" s="3"/>
      <c r="T7" s="67"/>
    </row>
    <row r="8" spans="1:20" ht="14.4" customHeight="1" x14ac:dyDescent="0.3">
      <c r="A8" s="62" t="s">
        <v>657</v>
      </c>
      <c r="B8" s="4">
        <v>354</v>
      </c>
      <c r="C8" s="4"/>
      <c r="D8" s="4">
        <v>456</v>
      </c>
      <c r="E8" s="4">
        <v>381</v>
      </c>
      <c r="F8" s="4">
        <v>170</v>
      </c>
      <c r="G8" s="4">
        <v>35</v>
      </c>
      <c r="H8" s="4"/>
      <c r="I8" s="63">
        <f t="shared" si="0"/>
        <v>507182.73839999997</v>
      </c>
      <c r="J8" s="64"/>
      <c r="K8" s="65"/>
      <c r="M8" s="68"/>
      <c r="N8" s="3"/>
      <c r="O8" s="3"/>
      <c r="P8" s="3"/>
      <c r="Q8" s="3"/>
      <c r="R8" s="3"/>
      <c r="S8" s="3"/>
      <c r="T8" s="67"/>
    </row>
    <row r="9" spans="1:20" ht="14.4" customHeight="1" x14ac:dyDescent="0.3">
      <c r="A9" s="69"/>
      <c r="B9" s="64"/>
      <c r="C9" s="64"/>
      <c r="D9" s="64"/>
      <c r="E9" s="64"/>
      <c r="F9" s="64"/>
      <c r="G9" s="64"/>
      <c r="H9" s="64"/>
      <c r="I9" s="70"/>
      <c r="J9" s="64"/>
      <c r="K9" s="65"/>
      <c r="M9" s="68"/>
      <c r="N9" s="3"/>
      <c r="O9" s="3"/>
      <c r="P9" s="3"/>
      <c r="Q9" s="3"/>
      <c r="R9" s="3"/>
      <c r="S9" s="3"/>
      <c r="T9" s="67"/>
    </row>
    <row r="10" spans="1:20" ht="14.4" customHeight="1" x14ac:dyDescent="0.3">
      <c r="A10" s="69"/>
      <c r="B10" s="64"/>
      <c r="C10" s="64"/>
      <c r="D10" s="64"/>
      <c r="E10" s="64"/>
      <c r="F10" s="64"/>
      <c r="G10" s="64"/>
      <c r="H10" s="64"/>
      <c r="I10" s="70"/>
      <c r="J10" s="64"/>
      <c r="K10" s="65"/>
      <c r="M10" s="68"/>
      <c r="N10" s="3"/>
      <c r="O10" s="3"/>
      <c r="P10" s="3"/>
      <c r="Q10" s="3"/>
      <c r="R10" s="3"/>
      <c r="S10" s="3"/>
      <c r="T10" s="67"/>
    </row>
    <row r="11" spans="1:20" ht="52.8" customHeight="1" x14ac:dyDescent="0.3">
      <c r="A11" s="71" t="s">
        <v>637</v>
      </c>
      <c r="B11" s="72" t="s">
        <v>638</v>
      </c>
      <c r="C11" s="72" t="s">
        <v>639</v>
      </c>
      <c r="D11" s="72" t="s">
        <v>640</v>
      </c>
      <c r="E11" s="72" t="s">
        <v>641</v>
      </c>
      <c r="F11" s="72" t="s">
        <v>642</v>
      </c>
      <c r="G11" s="72" t="s">
        <v>643</v>
      </c>
      <c r="H11" s="72" t="s">
        <v>644</v>
      </c>
      <c r="I11" s="73" t="s">
        <v>645</v>
      </c>
      <c r="J11" s="74">
        <v>0.3</v>
      </c>
      <c r="K11" s="75">
        <v>0.8</v>
      </c>
      <c r="M11" s="58" t="s">
        <v>637</v>
      </c>
      <c r="N11" s="59" t="s">
        <v>136</v>
      </c>
      <c r="O11" s="59" t="s">
        <v>139</v>
      </c>
      <c r="P11" s="59" t="s">
        <v>121</v>
      </c>
      <c r="Q11" s="59" t="s">
        <v>646</v>
      </c>
      <c r="R11" s="59" t="s">
        <v>658</v>
      </c>
      <c r="S11" s="76">
        <v>0.3</v>
      </c>
      <c r="T11" s="77">
        <v>0.8</v>
      </c>
    </row>
    <row r="12" spans="1:20" ht="14.4" customHeight="1" x14ac:dyDescent="0.3">
      <c r="A12" s="62" t="s">
        <v>648</v>
      </c>
      <c r="B12" s="78">
        <f>(B3/0.3*Rates!$C$23)</f>
        <v>17100</v>
      </c>
      <c r="C12" s="4">
        <v>0</v>
      </c>
      <c r="D12" s="26">
        <f>D3*Rates!$C$9</f>
        <v>13896.539999999999</v>
      </c>
      <c r="E12" s="26">
        <f>E3*Rates!$C$7</f>
        <v>5397.2</v>
      </c>
      <c r="F12" s="26">
        <f>F3*Rates!$C$12</f>
        <v>10204</v>
      </c>
      <c r="G12" s="26">
        <f>G3*Rates!$C$6</f>
        <v>2700</v>
      </c>
      <c r="H12" s="26">
        <f>H3*Rates!C10</f>
        <v>5037.2</v>
      </c>
      <c r="I12" s="66">
        <f t="shared" ref="I12:I17" si="1">SUM(B12:G12)</f>
        <v>49297.74</v>
      </c>
      <c r="J12" s="66">
        <f t="shared" ref="J12:J17" si="2">I12*1.3</f>
        <v>64087.061999999998</v>
      </c>
      <c r="K12" s="79">
        <f t="shared" ref="K12:K17" si="3">J12*1.8</f>
        <v>115356.7116</v>
      </c>
      <c r="M12" s="29" t="s">
        <v>649</v>
      </c>
      <c r="N12" s="26">
        <f>N3*Rates!$C$13</f>
        <v>1479.5800000000002</v>
      </c>
      <c r="O12" s="26">
        <f>O3*Rates!$C$14</f>
        <v>6416.46</v>
      </c>
      <c r="P12" s="26">
        <f>P3*Rates!$C$8</f>
        <v>459</v>
      </c>
      <c r="Q12" s="26">
        <f>Q3*Rates!$C$27</f>
        <v>12796.800000000001</v>
      </c>
      <c r="R12" s="66">
        <f>SUM(N12:Q12)</f>
        <v>21151.840000000004</v>
      </c>
      <c r="S12" s="66">
        <f>R12*1.3</f>
        <v>27497.392000000007</v>
      </c>
      <c r="T12" s="79">
        <f>S12*1.8</f>
        <v>49495.305600000014</v>
      </c>
    </row>
    <row r="13" spans="1:20" ht="14.4" customHeight="1" x14ac:dyDescent="0.3">
      <c r="A13" s="62" t="s">
        <v>650</v>
      </c>
      <c r="B13" s="78">
        <f>(B4/0.3*Rates!$C$23)</f>
        <v>28800</v>
      </c>
      <c r="C13" s="4">
        <v>0</v>
      </c>
      <c r="D13" s="26">
        <f>D4*Rates!$C$9</f>
        <v>13948.199999999999</v>
      </c>
      <c r="E13" s="26">
        <f>E4*Rates!$C$7</f>
        <v>2934.4</v>
      </c>
      <c r="F13" s="26">
        <f>F4*Rates!$C$12</f>
        <v>22959</v>
      </c>
      <c r="G13" s="26">
        <f>G4*Rates!$C$6</f>
        <v>3000</v>
      </c>
      <c r="H13" s="26"/>
      <c r="I13" s="66">
        <f t="shared" si="1"/>
        <v>71641.600000000006</v>
      </c>
      <c r="J13" s="66">
        <f t="shared" si="2"/>
        <v>93134.080000000016</v>
      </c>
      <c r="K13" s="79">
        <f t="shared" si="3"/>
        <v>167641.34400000004</v>
      </c>
      <c r="M13" s="29" t="s">
        <v>651</v>
      </c>
      <c r="N13" s="26">
        <f>N4*Rates!$C$13</f>
        <v>1632.64</v>
      </c>
      <c r="O13" s="26">
        <f>O4*Rates!$C$14</f>
        <v>7461</v>
      </c>
      <c r="P13" s="26">
        <f>P4*Rates!$C$8</f>
        <v>459</v>
      </c>
      <c r="Q13" s="26">
        <f>Q4*Rates!$C$27</f>
        <v>17750.400000000001</v>
      </c>
      <c r="R13" s="66">
        <f>SUM(N13:Q13)</f>
        <v>27303.040000000001</v>
      </c>
      <c r="S13" s="66">
        <f>R13*1.3</f>
        <v>35493.952000000005</v>
      </c>
      <c r="T13" s="79">
        <f>S13*1.8</f>
        <v>63889.113600000012</v>
      </c>
    </row>
    <row r="14" spans="1:20" ht="14.4" customHeight="1" x14ac:dyDescent="0.3">
      <c r="A14" s="62" t="s">
        <v>652</v>
      </c>
      <c r="B14" s="78">
        <f>(B5/0.3*Rates!$C$23)</f>
        <v>57600</v>
      </c>
      <c r="C14" s="4">
        <v>0</v>
      </c>
      <c r="D14" s="26">
        <f>D5*Rates!$C$9</f>
        <v>22058.82</v>
      </c>
      <c r="E14" s="26">
        <f>E5*Rates!$C$7</f>
        <v>14619.6</v>
      </c>
      <c r="F14" s="26">
        <f>F5*Rates!$C$12</f>
        <v>40560.9</v>
      </c>
      <c r="G14" s="26">
        <f>G5*Rates!$C$6</f>
        <v>4500</v>
      </c>
      <c r="H14" s="26"/>
      <c r="I14" s="66">
        <f t="shared" si="1"/>
        <v>139339.32</v>
      </c>
      <c r="J14" s="66">
        <f t="shared" si="2"/>
        <v>181141.11600000001</v>
      </c>
      <c r="K14" s="79">
        <f t="shared" si="3"/>
        <v>326054.00880000001</v>
      </c>
      <c r="M14" s="29" t="s">
        <v>653</v>
      </c>
      <c r="N14" s="26">
        <f>N5*Rates!$C$13</f>
        <v>2704.06</v>
      </c>
      <c r="O14" s="26">
        <f>O5*Rates!$C$14</f>
        <v>15469.140000000001</v>
      </c>
      <c r="P14" s="26">
        <f>P5*Rates!$C$8</f>
        <v>688.5</v>
      </c>
      <c r="Q14" s="26">
        <f>Q5*Rates!$C$27</f>
        <v>46027.200000000004</v>
      </c>
      <c r="R14" s="66">
        <f>SUM(N14:Q14)</f>
        <v>64888.900000000009</v>
      </c>
      <c r="S14" s="66">
        <f>R14*1.3</f>
        <v>84355.57</v>
      </c>
      <c r="T14" s="79">
        <f>S14*1.8</f>
        <v>151840.02600000001</v>
      </c>
    </row>
    <row r="15" spans="1:20" ht="14.4" customHeight="1" x14ac:dyDescent="0.3">
      <c r="A15" s="62" t="s">
        <v>654</v>
      </c>
      <c r="B15" s="78">
        <f>(B6/0.3*Rates!$C$23)</f>
        <v>65700</v>
      </c>
      <c r="C15" s="4">
        <v>0</v>
      </c>
      <c r="D15" s="26">
        <f>D6*Rates!$C$9</f>
        <v>20250.719999999998</v>
      </c>
      <c r="E15" s="26">
        <f>E6*Rates!$C$7</f>
        <v>15982</v>
      </c>
      <c r="F15" s="26">
        <f>F6*Rates!$C$12</f>
        <v>40560.9</v>
      </c>
      <c r="G15" s="26">
        <f>G6*Rates!$C$6</f>
        <v>6000</v>
      </c>
      <c r="H15" s="26"/>
      <c r="I15" s="66">
        <f t="shared" si="1"/>
        <v>148493.62</v>
      </c>
      <c r="J15" s="66">
        <f t="shared" si="2"/>
        <v>193041.70600000001</v>
      </c>
      <c r="K15" s="79">
        <f t="shared" si="3"/>
        <v>347475.07080000004</v>
      </c>
      <c r="M15" s="36" t="s">
        <v>655</v>
      </c>
      <c r="N15" s="37">
        <f>N6*Rates!$C$13</f>
        <v>4744.8600000000006</v>
      </c>
      <c r="O15" s="37">
        <f>O6*Rates!$C$14</f>
        <v>28401.54</v>
      </c>
      <c r="P15" s="37">
        <f>P6*Rates!$C$8</f>
        <v>1122</v>
      </c>
      <c r="Q15" s="37">
        <f>Q6*Rates!$C$27</f>
        <v>89784</v>
      </c>
      <c r="R15" s="80">
        <f>SUM(N15:Q15)</f>
        <v>124052.4</v>
      </c>
      <c r="S15" s="80">
        <f>R15*1.3</f>
        <v>161268.12</v>
      </c>
      <c r="T15" s="81">
        <f>S15*1.8</f>
        <v>290282.61599999998</v>
      </c>
    </row>
    <row r="16" spans="1:20" ht="14.4" customHeight="1" x14ac:dyDescent="0.3">
      <c r="A16" s="62" t="s">
        <v>656</v>
      </c>
      <c r="B16" s="78">
        <f>(B7/0.3*Rates!$C$23)</f>
        <v>81900.000000000015</v>
      </c>
      <c r="C16" s="4">
        <v>0</v>
      </c>
      <c r="D16" s="26">
        <f>D7*Rates!$C$9</f>
        <v>22265.46</v>
      </c>
      <c r="E16" s="26">
        <f>E7*Rates!$C$7</f>
        <v>16348.8</v>
      </c>
      <c r="F16" s="26">
        <f>F7*Rates!$C$12</f>
        <v>48979.200000000004</v>
      </c>
      <c r="G16" s="26">
        <f>G7*Rates!$C$6</f>
        <v>6000</v>
      </c>
      <c r="H16" s="26"/>
      <c r="I16" s="66">
        <f t="shared" si="1"/>
        <v>175493.46000000002</v>
      </c>
      <c r="J16" s="66">
        <f t="shared" si="2"/>
        <v>228141.49800000002</v>
      </c>
      <c r="K16" s="79">
        <f t="shared" si="3"/>
        <v>410654.69640000007</v>
      </c>
    </row>
    <row r="17" spans="1:12" ht="14.4" customHeight="1" x14ac:dyDescent="0.3">
      <c r="A17" s="82" t="s">
        <v>657</v>
      </c>
      <c r="B17" s="83">
        <f>(B8/0.3*Rates!$C$23)</f>
        <v>159300</v>
      </c>
      <c r="C17" s="84">
        <v>0</v>
      </c>
      <c r="D17" s="37">
        <f>D8*Rates!$C$9</f>
        <v>23556.959999999999</v>
      </c>
      <c r="E17" s="37">
        <f>E8*Rates!$C$7</f>
        <v>19964.399999999998</v>
      </c>
      <c r="F17" s="37">
        <f>F8*Rates!$C$12</f>
        <v>8673.4</v>
      </c>
      <c r="G17" s="37">
        <f>G8*Rates!$C$6</f>
        <v>5250</v>
      </c>
      <c r="H17" s="37"/>
      <c r="I17" s="80">
        <f t="shared" si="1"/>
        <v>216744.75999999998</v>
      </c>
      <c r="J17" s="80">
        <f t="shared" si="2"/>
        <v>281768.18799999997</v>
      </c>
      <c r="K17" s="81">
        <f t="shared" si="3"/>
        <v>507182.73839999997</v>
      </c>
    </row>
    <row r="19" spans="1:12" ht="14.4" customHeight="1" x14ac:dyDescent="0.3">
      <c r="A19" s="85" t="s">
        <v>659</v>
      </c>
      <c r="B19" s="86"/>
      <c r="C19" s="52"/>
      <c r="D19" s="52"/>
      <c r="E19" s="52"/>
      <c r="F19" s="52"/>
      <c r="G19" s="52"/>
      <c r="H19" s="52"/>
      <c r="I19" s="52"/>
      <c r="J19" s="52"/>
      <c r="K19" s="52"/>
      <c r="L19" s="53"/>
    </row>
    <row r="20" spans="1:12" ht="43.2" customHeight="1" x14ac:dyDescent="0.3">
      <c r="A20" s="87" t="s">
        <v>637</v>
      </c>
      <c r="B20" s="88" t="s">
        <v>638</v>
      </c>
      <c r="C20" s="88" t="s">
        <v>660</v>
      </c>
      <c r="D20" s="88" t="s">
        <v>639</v>
      </c>
      <c r="E20" s="88" t="s">
        <v>640</v>
      </c>
      <c r="F20" s="88" t="s">
        <v>641</v>
      </c>
      <c r="G20" s="88" t="s">
        <v>642</v>
      </c>
      <c r="H20" s="88" t="s">
        <v>661</v>
      </c>
      <c r="I20" s="88" t="s">
        <v>662</v>
      </c>
      <c r="J20" s="66" t="s">
        <v>647</v>
      </c>
      <c r="K20" s="3"/>
      <c r="L20" s="67"/>
    </row>
    <row r="21" spans="1:12" ht="15.75" customHeight="1" x14ac:dyDescent="0.3">
      <c r="A21" s="29" t="s">
        <v>663</v>
      </c>
      <c r="B21" s="26">
        <v>25</v>
      </c>
      <c r="C21" s="26">
        <v>25</v>
      </c>
      <c r="D21" s="26"/>
      <c r="E21" s="26">
        <v>269</v>
      </c>
      <c r="F21" s="26">
        <v>103</v>
      </c>
      <c r="G21" s="26">
        <v>245</v>
      </c>
      <c r="H21" s="26">
        <v>18</v>
      </c>
      <c r="I21" s="26">
        <v>98</v>
      </c>
      <c r="J21" s="66">
        <f t="shared" ref="J21:J27" si="4">L31</f>
        <v>159946.8156</v>
      </c>
      <c r="K21" s="3"/>
      <c r="L21" s="67"/>
    </row>
    <row r="22" spans="1:12" ht="15.75" customHeight="1" x14ac:dyDescent="0.3">
      <c r="A22" s="29" t="s">
        <v>664</v>
      </c>
      <c r="B22" s="26">
        <v>52</v>
      </c>
      <c r="C22" s="26">
        <v>52</v>
      </c>
      <c r="D22" s="26"/>
      <c r="E22" s="26">
        <v>344</v>
      </c>
      <c r="F22" s="26">
        <v>227</v>
      </c>
      <c r="G22" s="26">
        <v>575</v>
      </c>
      <c r="H22" s="26">
        <v>23</v>
      </c>
      <c r="I22" s="26"/>
      <c r="J22" s="66">
        <f t="shared" si="4"/>
        <v>286423.34759999998</v>
      </c>
      <c r="K22" s="3"/>
      <c r="L22" s="67"/>
    </row>
    <row r="23" spans="1:12" ht="15.75" customHeight="1" x14ac:dyDescent="0.3">
      <c r="A23" s="29" t="s">
        <v>665</v>
      </c>
      <c r="B23" s="26">
        <v>91</v>
      </c>
      <c r="C23" s="26">
        <v>91</v>
      </c>
      <c r="D23" s="26"/>
      <c r="E23" s="26">
        <v>390</v>
      </c>
      <c r="F23" s="26">
        <v>280</v>
      </c>
      <c r="G23" s="26">
        <v>798</v>
      </c>
      <c r="H23" s="26">
        <v>30</v>
      </c>
      <c r="I23" s="26"/>
      <c r="J23" s="66">
        <f t="shared" si="4"/>
        <v>432776.58840000001</v>
      </c>
      <c r="K23" s="3"/>
      <c r="L23" s="67"/>
    </row>
    <row r="24" spans="1:12" ht="15.75" customHeight="1" x14ac:dyDescent="0.3">
      <c r="A24" s="29" t="s">
        <v>666</v>
      </c>
      <c r="B24" s="26">
        <v>124</v>
      </c>
      <c r="C24" s="26">
        <v>124</v>
      </c>
      <c r="D24" s="26"/>
      <c r="E24" s="26">
        <v>395</v>
      </c>
      <c r="F24" s="26">
        <v>305</v>
      </c>
      <c r="G24" s="26">
        <v>825</v>
      </c>
      <c r="H24" s="26">
        <v>35</v>
      </c>
      <c r="I24" s="26"/>
      <c r="J24" s="66">
        <f t="shared" si="4"/>
        <v>530451.79200000002</v>
      </c>
      <c r="K24" s="3"/>
      <c r="L24" s="67"/>
    </row>
    <row r="25" spans="1:12" ht="15.75" customHeight="1" x14ac:dyDescent="0.3">
      <c r="A25" s="29" t="s">
        <v>667</v>
      </c>
      <c r="B25" s="26">
        <v>158</v>
      </c>
      <c r="C25" s="26">
        <v>158</v>
      </c>
      <c r="D25" s="26"/>
      <c r="E25" s="26">
        <v>510</v>
      </c>
      <c r="F25" s="26">
        <v>312</v>
      </c>
      <c r="G25" s="26">
        <v>950</v>
      </c>
      <c r="H25" s="26">
        <v>37</v>
      </c>
      <c r="I25" s="26"/>
      <c r="J25" s="66">
        <f t="shared" si="4"/>
        <v>652561.88400000008</v>
      </c>
      <c r="K25" s="3"/>
      <c r="L25" s="67"/>
    </row>
    <row r="26" spans="1:12" ht="15.75" customHeight="1" x14ac:dyDescent="0.3">
      <c r="A26" s="29" t="s">
        <v>668</v>
      </c>
      <c r="B26" s="26">
        <v>261</v>
      </c>
      <c r="C26" s="26">
        <v>261</v>
      </c>
      <c r="D26" s="26"/>
      <c r="E26" s="26">
        <v>516</v>
      </c>
      <c r="F26" s="26">
        <v>352</v>
      </c>
      <c r="G26" s="26">
        <v>1015</v>
      </c>
      <c r="H26" s="26">
        <v>30</v>
      </c>
      <c r="I26" s="26"/>
      <c r="J26" s="66">
        <f t="shared" si="4"/>
        <v>941366.93039999995</v>
      </c>
      <c r="K26" s="3"/>
      <c r="L26" s="67"/>
    </row>
    <row r="27" spans="1:12" ht="15.75" customHeight="1" x14ac:dyDescent="0.3">
      <c r="A27" s="29" t="s">
        <v>669</v>
      </c>
      <c r="B27" s="26">
        <v>315</v>
      </c>
      <c r="C27" s="26">
        <v>315</v>
      </c>
      <c r="D27" s="26"/>
      <c r="E27" s="26">
        <v>456</v>
      </c>
      <c r="F27" s="26">
        <v>381</v>
      </c>
      <c r="G27" s="26">
        <v>1190</v>
      </c>
      <c r="H27" s="26">
        <v>35</v>
      </c>
      <c r="I27" s="26"/>
      <c r="J27" s="66">
        <f t="shared" si="4"/>
        <v>1105997.8644000001</v>
      </c>
      <c r="K27" s="3"/>
      <c r="L27" s="67"/>
    </row>
    <row r="28" spans="1:12" ht="15.75" customHeight="1" x14ac:dyDescent="0.3">
      <c r="A28" s="68"/>
      <c r="B28" s="3"/>
      <c r="C28" s="3"/>
      <c r="D28" s="3"/>
      <c r="E28" s="3"/>
      <c r="F28" s="3"/>
      <c r="G28" s="3"/>
      <c r="H28" s="3"/>
      <c r="I28" s="3"/>
      <c r="J28" s="89"/>
      <c r="K28" s="3"/>
      <c r="L28" s="67"/>
    </row>
    <row r="29" spans="1:12" ht="15.75" customHeight="1" x14ac:dyDescent="0.3">
      <c r="A29" s="68"/>
      <c r="B29" s="3"/>
      <c r="C29" s="3"/>
      <c r="D29" s="3"/>
      <c r="E29" s="3"/>
      <c r="F29" s="3"/>
      <c r="G29" s="3"/>
      <c r="H29" s="3"/>
      <c r="I29" s="3"/>
      <c r="J29" s="89"/>
      <c r="K29" s="3"/>
      <c r="L29" s="67"/>
    </row>
    <row r="30" spans="1:12" ht="15.75" customHeight="1" x14ac:dyDescent="0.3">
      <c r="A30" s="90" t="s">
        <v>637</v>
      </c>
      <c r="B30" s="91" t="s">
        <v>638</v>
      </c>
      <c r="C30" s="91" t="s">
        <v>660</v>
      </c>
      <c r="D30" s="91" t="s">
        <v>639</v>
      </c>
      <c r="E30" s="91" t="s">
        <v>640</v>
      </c>
      <c r="F30" s="91" t="s">
        <v>641</v>
      </c>
      <c r="G30" s="91" t="s">
        <v>642</v>
      </c>
      <c r="H30" s="91" t="s">
        <v>661</v>
      </c>
      <c r="I30" s="91" t="s">
        <v>662</v>
      </c>
      <c r="J30" s="92"/>
      <c r="K30" s="93">
        <v>0.3</v>
      </c>
      <c r="L30" s="94">
        <v>0.8</v>
      </c>
    </row>
    <row r="31" spans="1:12" ht="15.75" customHeight="1" x14ac:dyDescent="0.3">
      <c r="A31" s="29" t="s">
        <v>663</v>
      </c>
      <c r="B31" s="26">
        <f>B21*Rates!$C$23*4.27</f>
        <v>14411.249999999998</v>
      </c>
      <c r="C31" s="26">
        <f>C21*Rates!$C$22*4.27</f>
        <v>14411.249999999998</v>
      </c>
      <c r="D31" s="26"/>
      <c r="E31" s="26">
        <f>E21*Rates!$C$9</f>
        <v>13896.539999999999</v>
      </c>
      <c r="F31" s="26">
        <f>F21*Rates!$C$7</f>
        <v>5397.2</v>
      </c>
      <c r="G31" s="26">
        <f>G21*Rates!$C$12</f>
        <v>12499.900000000001</v>
      </c>
      <c r="H31" s="26">
        <f>H21*Rates!$C$6</f>
        <v>2700</v>
      </c>
      <c r="I31" s="26">
        <f>I21*Rates!$C$10</f>
        <v>5037.2</v>
      </c>
      <c r="J31" s="66">
        <f t="shared" ref="J31:J37" si="5">SUM(B31:I31)</f>
        <v>68353.34</v>
      </c>
      <c r="K31" s="26">
        <f t="shared" ref="K31:K37" si="6">J31*1.3</f>
        <v>88859.342000000004</v>
      </c>
      <c r="L31" s="95">
        <f t="shared" ref="L31:L37" si="7">K31*1.8</f>
        <v>159946.8156</v>
      </c>
    </row>
    <row r="32" spans="1:12" ht="15.75" customHeight="1" x14ac:dyDescent="0.3">
      <c r="A32" s="29" t="s">
        <v>664</v>
      </c>
      <c r="B32" s="26">
        <f>B22*Rates!$C$23*4.27</f>
        <v>29975.399999999998</v>
      </c>
      <c r="C32" s="26">
        <f>C22*Rates!$C$22*4.27</f>
        <v>29975.399999999998</v>
      </c>
      <c r="D32" s="26"/>
      <c r="E32" s="26">
        <f>E22*Rates!$C$9</f>
        <v>17771.039999999997</v>
      </c>
      <c r="F32" s="26">
        <f>F22*Rates!$C$7</f>
        <v>11894.8</v>
      </c>
      <c r="G32" s="26">
        <f>G22*Rates!$C$12</f>
        <v>29336.5</v>
      </c>
      <c r="H32" s="26">
        <f>H22*Rates!$C$6</f>
        <v>3450</v>
      </c>
      <c r="I32" s="26">
        <f>I22*Rates!$C$10</f>
        <v>0</v>
      </c>
      <c r="J32" s="66">
        <f t="shared" si="5"/>
        <v>122403.14</v>
      </c>
      <c r="K32" s="26">
        <f t="shared" si="6"/>
        <v>159124.08199999999</v>
      </c>
      <c r="L32" s="95">
        <f t="shared" si="7"/>
        <v>286423.34759999998</v>
      </c>
    </row>
    <row r="33" spans="1:12" ht="15.75" customHeight="1" x14ac:dyDescent="0.3">
      <c r="A33" s="29" t="s">
        <v>665</v>
      </c>
      <c r="B33" s="26">
        <f>B23*Rates!$C$23*4.27</f>
        <v>52456.95</v>
      </c>
      <c r="C33" s="26">
        <f>C23*Rates!$C$22*4.27</f>
        <v>52456.95</v>
      </c>
      <c r="D33" s="26"/>
      <c r="E33" s="26">
        <f>E23*Rates!$C$9</f>
        <v>20147.399999999998</v>
      </c>
      <c r="F33" s="26">
        <f>F23*Rates!$C$7</f>
        <v>14672</v>
      </c>
      <c r="G33" s="26">
        <f>G23*Rates!$C$12</f>
        <v>40713.96</v>
      </c>
      <c r="H33" s="26">
        <f>H23*Rates!$C$6</f>
        <v>4500</v>
      </c>
      <c r="I33" s="26">
        <f>I23*Rates!$C$10</f>
        <v>0</v>
      </c>
      <c r="J33" s="66">
        <f t="shared" si="5"/>
        <v>184947.25999999998</v>
      </c>
      <c r="K33" s="26">
        <f t="shared" si="6"/>
        <v>240431.43799999999</v>
      </c>
      <c r="L33" s="95">
        <f t="shared" si="7"/>
        <v>432776.58840000001</v>
      </c>
    </row>
    <row r="34" spans="1:12" ht="15.75" customHeight="1" x14ac:dyDescent="0.3">
      <c r="A34" s="29" t="s">
        <v>666</v>
      </c>
      <c r="B34" s="26">
        <f>B24*Rates!$C$23*4.27</f>
        <v>71479.799999999988</v>
      </c>
      <c r="C34" s="26">
        <f>C24*Rates!$C$22*4.27</f>
        <v>71479.799999999988</v>
      </c>
      <c r="D34" s="26"/>
      <c r="E34" s="26">
        <f>E24*Rates!$C$9</f>
        <v>20405.699999999997</v>
      </c>
      <c r="F34" s="26">
        <f>F24*Rates!$C$7</f>
        <v>15982</v>
      </c>
      <c r="G34" s="26">
        <f>G24*Rates!$C$12</f>
        <v>42091.5</v>
      </c>
      <c r="H34" s="26">
        <f>H24*Rates!$C$6</f>
        <v>5250</v>
      </c>
      <c r="I34" s="26">
        <f>I24*Rates!$C$10</f>
        <v>0</v>
      </c>
      <c r="J34" s="66">
        <f t="shared" si="5"/>
        <v>226688.8</v>
      </c>
      <c r="K34" s="26">
        <f t="shared" si="6"/>
        <v>294695.44</v>
      </c>
      <c r="L34" s="95">
        <f t="shared" si="7"/>
        <v>530451.79200000002</v>
      </c>
    </row>
    <row r="35" spans="1:12" ht="15.75" customHeight="1" x14ac:dyDescent="0.3">
      <c r="A35" s="29" t="s">
        <v>667</v>
      </c>
      <c r="B35" s="26">
        <f>B25*Rates!$C$23*4.27</f>
        <v>91079.099999999991</v>
      </c>
      <c r="C35" s="26">
        <f>C25*Rates!$C$22*4.27</f>
        <v>91079.099999999991</v>
      </c>
      <c r="D35" s="26"/>
      <c r="E35" s="26">
        <f>E25*Rates!$C$9</f>
        <v>26346.6</v>
      </c>
      <c r="F35" s="26">
        <f>F25*Rates!$C$7</f>
        <v>16348.8</v>
      </c>
      <c r="G35" s="26">
        <f>G25*Rates!$C$12</f>
        <v>48469</v>
      </c>
      <c r="H35" s="26">
        <f>H25*Rates!$C$6</f>
        <v>5550</v>
      </c>
      <c r="I35" s="26">
        <f>I25*Rates!$C$10</f>
        <v>0</v>
      </c>
      <c r="J35" s="66">
        <f t="shared" si="5"/>
        <v>278872.59999999998</v>
      </c>
      <c r="K35" s="26">
        <f t="shared" si="6"/>
        <v>362534.38</v>
      </c>
      <c r="L35" s="95">
        <f t="shared" si="7"/>
        <v>652561.88400000008</v>
      </c>
    </row>
    <row r="36" spans="1:12" ht="15.75" customHeight="1" x14ac:dyDescent="0.3">
      <c r="A36" s="29" t="s">
        <v>668</v>
      </c>
      <c r="B36" s="26">
        <f>B26*Rates!$C$23*4.27</f>
        <v>150453.44999999998</v>
      </c>
      <c r="C36" s="26">
        <f>C26*Rates!$C$22*4.27</f>
        <v>150453.44999999998</v>
      </c>
      <c r="D36" s="26"/>
      <c r="E36" s="26">
        <f>E26*Rates!$C$9</f>
        <v>26656.559999999998</v>
      </c>
      <c r="F36" s="26">
        <f>F26*Rates!$C$7</f>
        <v>18444.8</v>
      </c>
      <c r="G36" s="26">
        <f>G26*Rates!$C$12</f>
        <v>51785.3</v>
      </c>
      <c r="H36" s="26">
        <f>H26*Rates!$C$6</f>
        <v>4500</v>
      </c>
      <c r="I36" s="26">
        <f>I26*Rates!$C$10</f>
        <v>0</v>
      </c>
      <c r="J36" s="66">
        <f t="shared" si="5"/>
        <v>402293.55999999994</v>
      </c>
      <c r="K36" s="26">
        <f t="shared" si="6"/>
        <v>522981.62799999997</v>
      </c>
      <c r="L36" s="95">
        <f t="shared" si="7"/>
        <v>941366.93039999995</v>
      </c>
    </row>
    <row r="37" spans="1:12" ht="15.75" customHeight="1" x14ac:dyDescent="0.3">
      <c r="A37" s="36" t="s">
        <v>669</v>
      </c>
      <c r="B37" s="37">
        <f>B27*Rates!$C$23*4.27</f>
        <v>181581.74999999997</v>
      </c>
      <c r="C37" s="37">
        <f>C27*Rates!$C$22*4.27</f>
        <v>181581.74999999997</v>
      </c>
      <c r="D37" s="37"/>
      <c r="E37" s="37">
        <f>E27*Rates!$C$9</f>
        <v>23556.959999999999</v>
      </c>
      <c r="F37" s="37">
        <f>F27*Rates!$C$7</f>
        <v>19964.399999999998</v>
      </c>
      <c r="G37" s="37">
        <f>G27*Rates!$C$12</f>
        <v>60713.8</v>
      </c>
      <c r="H37" s="37">
        <f>H27*Rates!$C$6</f>
        <v>5250</v>
      </c>
      <c r="I37" s="37">
        <f>I27*Rates!$C$10</f>
        <v>0</v>
      </c>
      <c r="J37" s="80">
        <f t="shared" si="5"/>
        <v>472648.66</v>
      </c>
      <c r="K37" s="37">
        <f t="shared" si="6"/>
        <v>614443.25800000003</v>
      </c>
      <c r="L37" s="96">
        <f t="shared" si="7"/>
        <v>1105997.8644000001</v>
      </c>
    </row>
    <row r="38" spans="1:12" ht="15.75" customHeight="1" x14ac:dyDescent="0.3"/>
    <row r="39" spans="1:12" ht="15.75" customHeight="1" x14ac:dyDescent="0.3"/>
    <row r="40" spans="1:12" ht="15.75" customHeight="1" x14ac:dyDescent="0.3"/>
    <row r="41" spans="1:12" ht="15.75" customHeight="1" x14ac:dyDescent="0.3"/>
    <row r="42" spans="1:12" ht="15.75" customHeight="1" x14ac:dyDescent="0.3"/>
    <row r="43" spans="1:12" ht="15.75" customHeight="1" x14ac:dyDescent="0.3"/>
    <row r="44" spans="1:12" ht="15.75" customHeight="1" x14ac:dyDescent="0.3"/>
    <row r="45" spans="1:12" ht="15.75" customHeight="1" x14ac:dyDescent="0.3"/>
    <row r="46" spans="1:12" ht="15.75" customHeight="1" x14ac:dyDescent="0.3"/>
    <row r="47" spans="1:12" ht="15.75" customHeight="1" x14ac:dyDescent="0.3"/>
    <row r="48" spans="1:1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0866141732283472" right="0.70866141732283472" top="0.74803149606299213" bottom="0.74803149606299213" header="0" footer="0"/>
  <pageSetup paperSize="8" scale="83"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topLeftCell="A34" workbookViewId="0">
      <selection activeCell="O23" sqref="O23"/>
    </sheetView>
  </sheetViews>
  <sheetFormatPr defaultColWidth="14.44140625" defaultRowHeight="15" customHeight="1" x14ac:dyDescent="0.3"/>
  <cols>
    <col min="1" max="1" width="6.109375" customWidth="1"/>
    <col min="2" max="2" width="43" customWidth="1"/>
    <col min="3" max="3" width="4.6640625" customWidth="1"/>
    <col min="4" max="4" width="5.33203125" customWidth="1"/>
    <col min="5" max="5" width="7.109375" customWidth="1"/>
    <col min="6" max="6" width="9" customWidth="1"/>
    <col min="7" max="7" width="10.109375" customWidth="1"/>
    <col min="8" max="8" width="15.88671875" customWidth="1"/>
    <col min="9" max="9" width="3.33203125" customWidth="1"/>
    <col min="10" max="10" width="6.109375" customWidth="1"/>
    <col min="11" max="11" width="43" customWidth="1"/>
    <col min="12" max="12" width="4.6640625" customWidth="1"/>
    <col min="13" max="13" width="5.33203125" customWidth="1"/>
    <col min="14" max="14" width="7.109375" customWidth="1"/>
    <col min="15" max="15" width="9" customWidth="1"/>
    <col min="16" max="16" width="10.109375" customWidth="1"/>
    <col min="17" max="17" width="15.88671875" customWidth="1"/>
    <col min="18" max="18" width="3.109375" customWidth="1"/>
    <col min="19" max="19" width="6.109375" customWidth="1"/>
    <col min="20" max="20" width="44.109375" customWidth="1"/>
    <col min="21" max="21" width="4.6640625" customWidth="1"/>
    <col min="22" max="22" width="5.33203125" customWidth="1"/>
    <col min="23" max="23" width="7.109375" customWidth="1"/>
    <col min="24" max="24" width="9" customWidth="1"/>
    <col min="25" max="25" width="10.109375" customWidth="1"/>
    <col min="26" max="26" width="15.88671875" customWidth="1"/>
  </cols>
  <sheetData>
    <row r="1" spans="1:26" ht="23.25" customHeight="1" x14ac:dyDescent="0.3">
      <c r="A1" s="323" t="s">
        <v>670</v>
      </c>
      <c r="B1" s="302"/>
      <c r="C1" s="302"/>
      <c r="D1" s="302"/>
      <c r="E1" s="302"/>
      <c r="F1" s="302"/>
      <c r="G1" s="302"/>
      <c r="H1" s="302"/>
      <c r="J1" s="323" t="s">
        <v>671</v>
      </c>
      <c r="K1" s="302"/>
      <c r="L1" s="302"/>
      <c r="M1" s="302"/>
      <c r="N1" s="302"/>
      <c r="O1" s="302"/>
      <c r="P1" s="302"/>
      <c r="Q1" s="302"/>
      <c r="S1" s="323" t="s">
        <v>672</v>
      </c>
      <c r="T1" s="302"/>
      <c r="U1" s="302"/>
      <c r="V1" s="302"/>
      <c r="W1" s="302"/>
      <c r="X1" s="302"/>
      <c r="Y1" s="302"/>
      <c r="Z1" s="302"/>
    </row>
    <row r="2" spans="1:26" ht="15" customHeight="1" x14ac:dyDescent="0.3">
      <c r="A2" s="47" t="s">
        <v>4</v>
      </c>
      <c r="B2" s="48" t="s">
        <v>5</v>
      </c>
      <c r="C2" s="49" t="s">
        <v>6</v>
      </c>
      <c r="D2" s="48" t="s">
        <v>7</v>
      </c>
      <c r="E2" s="49" t="s">
        <v>8</v>
      </c>
      <c r="F2" s="49" t="s">
        <v>9</v>
      </c>
      <c r="G2" s="49" t="s">
        <v>10</v>
      </c>
      <c r="H2" s="49" t="s">
        <v>11</v>
      </c>
      <c r="J2" s="47" t="s">
        <v>4</v>
      </c>
      <c r="K2" s="48" t="s">
        <v>5</v>
      </c>
      <c r="L2" s="49" t="s">
        <v>6</v>
      </c>
      <c r="M2" s="48" t="s">
        <v>7</v>
      </c>
      <c r="N2" s="49" t="s">
        <v>8</v>
      </c>
      <c r="O2" s="49" t="s">
        <v>9</v>
      </c>
      <c r="P2" s="49" t="s">
        <v>10</v>
      </c>
      <c r="Q2" s="49" t="s">
        <v>11</v>
      </c>
      <c r="S2" s="47">
        <v>5</v>
      </c>
      <c r="T2" s="48" t="s">
        <v>5</v>
      </c>
      <c r="U2" s="49" t="s">
        <v>6</v>
      </c>
      <c r="V2" s="48" t="s">
        <v>7</v>
      </c>
      <c r="W2" s="49" t="s">
        <v>8</v>
      </c>
      <c r="X2" s="49" t="s">
        <v>9</v>
      </c>
      <c r="Y2" s="49" t="s">
        <v>10</v>
      </c>
      <c r="Z2" s="49" t="s">
        <v>11</v>
      </c>
    </row>
    <row r="3" spans="1:26" ht="15" customHeight="1" x14ac:dyDescent="0.3">
      <c r="A3" s="7"/>
      <c r="B3" s="26"/>
      <c r="C3" s="30"/>
      <c r="D3" s="26"/>
      <c r="E3" s="30"/>
      <c r="F3" s="30"/>
      <c r="G3" s="30"/>
      <c r="H3" s="30"/>
      <c r="J3" s="7"/>
      <c r="K3" s="26"/>
      <c r="L3" s="30"/>
      <c r="M3" s="26"/>
      <c r="N3" s="30"/>
      <c r="O3" s="30"/>
      <c r="P3" s="30"/>
      <c r="Q3" s="30"/>
      <c r="S3" s="7"/>
      <c r="T3" s="26"/>
      <c r="U3" s="30"/>
      <c r="V3" s="26"/>
      <c r="W3" s="30"/>
      <c r="X3" s="30"/>
      <c r="Y3" s="30"/>
      <c r="Z3" s="30"/>
    </row>
    <row r="4" spans="1:26" ht="15" customHeight="1" x14ac:dyDescent="0.3">
      <c r="A4" s="7">
        <v>1</v>
      </c>
      <c r="B4" s="4" t="s">
        <v>673</v>
      </c>
      <c r="C4" s="30">
        <v>19</v>
      </c>
      <c r="D4" s="26" t="s">
        <v>13</v>
      </c>
      <c r="E4" s="30">
        <f>Rates!C30</f>
        <v>330</v>
      </c>
      <c r="F4" s="30">
        <f>C4*E4</f>
        <v>6270</v>
      </c>
      <c r="G4" s="30"/>
      <c r="H4" s="30">
        <f t="shared" ref="H4:H12" si="0">F4+G4</f>
        <v>6270</v>
      </c>
      <c r="J4" s="7">
        <v>1</v>
      </c>
      <c r="K4" s="4" t="s">
        <v>673</v>
      </c>
      <c r="L4" s="30">
        <v>34</v>
      </c>
      <c r="M4" s="26" t="s">
        <v>13</v>
      </c>
      <c r="N4" s="30">
        <f>E4</f>
        <v>330</v>
      </c>
      <c r="O4" s="30">
        <f>L4*N4</f>
        <v>11220</v>
      </c>
      <c r="P4" s="30"/>
      <c r="Q4" s="30">
        <f>O4+P4</f>
        <v>11220</v>
      </c>
      <c r="S4" s="7">
        <v>1</v>
      </c>
      <c r="T4" s="4" t="s">
        <v>673</v>
      </c>
      <c r="U4" s="30">
        <v>34</v>
      </c>
      <c r="V4" s="26" t="s">
        <v>13</v>
      </c>
      <c r="W4" s="30">
        <f>N4</f>
        <v>330</v>
      </c>
      <c r="X4" s="30">
        <f>U4*W4</f>
        <v>11220</v>
      </c>
      <c r="Y4" s="30"/>
      <c r="Z4" s="30">
        <f>X4+Y4</f>
        <v>11220</v>
      </c>
    </row>
    <row r="5" spans="1:26" ht="15" customHeight="1" x14ac:dyDescent="0.3">
      <c r="A5" s="7">
        <v>2</v>
      </c>
      <c r="B5" s="4" t="s">
        <v>674</v>
      </c>
      <c r="C5" s="30">
        <v>27</v>
      </c>
      <c r="D5" s="26" t="s">
        <v>13</v>
      </c>
      <c r="E5" s="30">
        <f>Rates!C12</f>
        <v>51.02</v>
      </c>
      <c r="F5" s="30">
        <f>C5*E5</f>
        <v>1377.5400000000002</v>
      </c>
      <c r="G5" s="30"/>
      <c r="H5" s="30">
        <f t="shared" si="0"/>
        <v>1377.5400000000002</v>
      </c>
      <c r="J5" s="7">
        <v>2</v>
      </c>
      <c r="K5" s="4" t="s">
        <v>674</v>
      </c>
      <c r="L5" s="30">
        <v>42</v>
      </c>
      <c r="M5" s="26" t="s">
        <v>13</v>
      </c>
      <c r="N5" s="30">
        <f>E5</f>
        <v>51.02</v>
      </c>
      <c r="O5" s="30">
        <f>L5*N5</f>
        <v>2142.84</v>
      </c>
      <c r="P5" s="30"/>
      <c r="Q5" s="30">
        <f>O5+P5</f>
        <v>2142.84</v>
      </c>
      <c r="S5" s="7">
        <v>2</v>
      </c>
      <c r="T5" s="4" t="s">
        <v>674</v>
      </c>
      <c r="U5" s="30">
        <v>42</v>
      </c>
      <c r="V5" s="26" t="s">
        <v>13</v>
      </c>
      <c r="W5" s="30">
        <f>N5</f>
        <v>51.02</v>
      </c>
      <c r="X5" s="30">
        <f>U5*W5</f>
        <v>2142.84</v>
      </c>
      <c r="Y5" s="30"/>
      <c r="Z5" s="30">
        <f>X5+Y5</f>
        <v>2142.84</v>
      </c>
    </row>
    <row r="6" spans="1:26" ht="15" customHeight="1" x14ac:dyDescent="0.3">
      <c r="A6" s="7">
        <v>3</v>
      </c>
      <c r="B6" s="4" t="s">
        <v>675</v>
      </c>
      <c r="C6" s="30"/>
      <c r="D6" s="26"/>
      <c r="E6" s="30"/>
      <c r="F6" s="30">
        <v>1800</v>
      </c>
      <c r="G6" s="30"/>
      <c r="H6" s="30">
        <f t="shared" si="0"/>
        <v>1800</v>
      </c>
      <c r="J6" s="7">
        <v>3</v>
      </c>
      <c r="K6" s="4" t="s">
        <v>675</v>
      </c>
      <c r="L6" s="30"/>
      <c r="M6" s="26"/>
      <c r="N6" s="30"/>
      <c r="O6" s="30"/>
      <c r="P6" s="30"/>
      <c r="Q6" s="30">
        <v>2000</v>
      </c>
      <c r="S6" s="7">
        <v>3</v>
      </c>
      <c r="T6" s="4" t="s">
        <v>675</v>
      </c>
      <c r="U6" s="30"/>
      <c r="V6" s="26"/>
      <c r="W6" s="30"/>
      <c r="X6" s="30"/>
      <c r="Y6" s="30"/>
      <c r="Z6" s="30">
        <v>2000</v>
      </c>
    </row>
    <row r="7" spans="1:26" ht="15" customHeight="1" x14ac:dyDescent="0.3">
      <c r="A7" s="7">
        <v>4</v>
      </c>
      <c r="B7" s="4" t="s">
        <v>676</v>
      </c>
      <c r="C7" s="30">
        <v>1</v>
      </c>
      <c r="D7" s="26" t="s">
        <v>25</v>
      </c>
      <c r="E7" s="30">
        <f>Rates!K23</f>
        <v>4500</v>
      </c>
      <c r="F7" s="30">
        <f>C7*E7</f>
        <v>4500</v>
      </c>
      <c r="G7" s="30"/>
      <c r="H7" s="30">
        <f t="shared" si="0"/>
        <v>4500</v>
      </c>
      <c r="J7" s="7">
        <v>4</v>
      </c>
      <c r="K7" s="4" t="s">
        <v>676</v>
      </c>
      <c r="L7" s="30">
        <v>1</v>
      </c>
      <c r="M7" s="26" t="s">
        <v>25</v>
      </c>
      <c r="N7" s="30">
        <f>E7</f>
        <v>4500</v>
      </c>
      <c r="O7" s="30">
        <f>L7*N7</f>
        <v>4500</v>
      </c>
      <c r="P7" s="30"/>
      <c r="Q7" s="30">
        <f>O7+P7</f>
        <v>4500</v>
      </c>
      <c r="S7" s="7">
        <v>4</v>
      </c>
      <c r="T7" s="4" t="s">
        <v>676</v>
      </c>
      <c r="U7" s="30">
        <v>1</v>
      </c>
      <c r="V7" s="26" t="s">
        <v>25</v>
      </c>
      <c r="W7" s="30">
        <f>N7</f>
        <v>4500</v>
      </c>
      <c r="X7" s="30">
        <f>U7*W7</f>
        <v>4500</v>
      </c>
      <c r="Y7" s="30"/>
      <c r="Z7" s="30">
        <f>X7+Y7</f>
        <v>4500</v>
      </c>
    </row>
    <row r="8" spans="1:26" ht="15" customHeight="1" x14ac:dyDescent="0.3">
      <c r="A8" s="7">
        <v>5</v>
      </c>
      <c r="B8" s="4" t="s">
        <v>677</v>
      </c>
      <c r="C8" s="30">
        <v>1</v>
      </c>
      <c r="D8" s="26" t="s">
        <v>25</v>
      </c>
      <c r="E8" s="30">
        <f>Rates!K26</f>
        <v>2500</v>
      </c>
      <c r="F8" s="30">
        <f>C8*E8</f>
        <v>2500</v>
      </c>
      <c r="G8" s="30"/>
      <c r="H8" s="30">
        <f t="shared" si="0"/>
        <v>2500</v>
      </c>
      <c r="J8" s="7">
        <v>5</v>
      </c>
      <c r="K8" s="4" t="s">
        <v>677</v>
      </c>
      <c r="L8" s="30">
        <v>1</v>
      </c>
      <c r="M8" s="26" t="s">
        <v>25</v>
      </c>
      <c r="N8" s="30">
        <f>E8</f>
        <v>2500</v>
      </c>
      <c r="O8" s="30">
        <f>L8*N8</f>
        <v>2500</v>
      </c>
      <c r="P8" s="30"/>
      <c r="Q8" s="30">
        <f>O8+P8</f>
        <v>2500</v>
      </c>
      <c r="S8" s="7">
        <v>5</v>
      </c>
      <c r="T8" s="4" t="s">
        <v>677</v>
      </c>
      <c r="U8" s="30">
        <v>1</v>
      </c>
      <c r="V8" s="26" t="s">
        <v>25</v>
      </c>
      <c r="W8" s="30">
        <f>N8</f>
        <v>2500</v>
      </c>
      <c r="X8" s="30">
        <f>U8*W8</f>
        <v>2500</v>
      </c>
      <c r="Y8" s="30"/>
      <c r="Z8" s="30">
        <f>X8+Y8</f>
        <v>2500</v>
      </c>
    </row>
    <row r="9" spans="1:26" ht="15" customHeight="1" x14ac:dyDescent="0.3">
      <c r="A9" s="7">
        <v>6</v>
      </c>
      <c r="B9" s="4" t="s">
        <v>678</v>
      </c>
      <c r="C9" s="30">
        <v>1</v>
      </c>
      <c r="D9" s="26" t="s">
        <v>25</v>
      </c>
      <c r="E9" s="30">
        <f>Rates!K27</f>
        <v>1500</v>
      </c>
      <c r="F9" s="30">
        <f>C9*E9</f>
        <v>1500</v>
      </c>
      <c r="G9" s="30"/>
      <c r="H9" s="30">
        <f t="shared" si="0"/>
        <v>1500</v>
      </c>
      <c r="J9" s="7">
        <v>6</v>
      </c>
      <c r="K9" s="4" t="s">
        <v>678</v>
      </c>
      <c r="L9" s="30">
        <v>1</v>
      </c>
      <c r="M9" s="26" t="s">
        <v>25</v>
      </c>
      <c r="N9" s="30">
        <f>E9</f>
        <v>1500</v>
      </c>
      <c r="O9" s="30">
        <f>L9*N9</f>
        <v>1500</v>
      </c>
      <c r="P9" s="30"/>
      <c r="Q9" s="30">
        <f>O9+P9</f>
        <v>1500</v>
      </c>
      <c r="S9" s="7">
        <v>6</v>
      </c>
      <c r="T9" s="4" t="s">
        <v>678</v>
      </c>
      <c r="U9" s="30">
        <v>1</v>
      </c>
      <c r="V9" s="26" t="s">
        <v>25</v>
      </c>
      <c r="W9" s="30">
        <f>N9</f>
        <v>1500</v>
      </c>
      <c r="X9" s="30">
        <f>U9*W9</f>
        <v>1500</v>
      </c>
      <c r="Y9" s="30"/>
      <c r="Z9" s="30">
        <f>X9+Y9</f>
        <v>1500</v>
      </c>
    </row>
    <row r="10" spans="1:26" ht="15" customHeight="1" x14ac:dyDescent="0.3">
      <c r="A10" s="7">
        <v>7</v>
      </c>
      <c r="B10" s="4" t="s">
        <v>679</v>
      </c>
      <c r="C10" s="30">
        <v>40</v>
      </c>
      <c r="D10" s="26" t="s">
        <v>13</v>
      </c>
      <c r="E10" s="30">
        <f>Rates!K5</f>
        <v>100</v>
      </c>
      <c r="F10" s="30">
        <f>C10*E10</f>
        <v>4000</v>
      </c>
      <c r="G10" s="30"/>
      <c r="H10" s="30">
        <f t="shared" si="0"/>
        <v>4000</v>
      </c>
      <c r="J10" s="7">
        <v>7</v>
      </c>
      <c r="K10" s="4" t="s">
        <v>679</v>
      </c>
      <c r="L10" s="30">
        <v>50</v>
      </c>
      <c r="M10" s="26" t="s">
        <v>13</v>
      </c>
      <c r="N10" s="30">
        <f>E10</f>
        <v>100</v>
      </c>
      <c r="O10" s="30">
        <f>L10*N10</f>
        <v>5000</v>
      </c>
      <c r="P10" s="30"/>
      <c r="Q10" s="30">
        <f>O10+P10</f>
        <v>5000</v>
      </c>
      <c r="S10" s="7">
        <v>7</v>
      </c>
      <c r="T10" s="4" t="s">
        <v>679</v>
      </c>
      <c r="U10" s="30">
        <v>50</v>
      </c>
      <c r="V10" s="26" t="s">
        <v>13</v>
      </c>
      <c r="W10" s="30">
        <f>N10</f>
        <v>100</v>
      </c>
      <c r="X10" s="30">
        <f>U10*W10</f>
        <v>5000</v>
      </c>
      <c r="Y10" s="30"/>
      <c r="Z10" s="30">
        <f>X10+Y10</f>
        <v>5000</v>
      </c>
    </row>
    <row r="11" spans="1:26" ht="15" customHeight="1" x14ac:dyDescent="0.3">
      <c r="A11" s="7">
        <v>8</v>
      </c>
      <c r="B11" s="4" t="s">
        <v>680</v>
      </c>
      <c r="C11" s="30">
        <v>70</v>
      </c>
      <c r="D11" s="26" t="s">
        <v>13</v>
      </c>
      <c r="E11" s="30">
        <f>Rates!K25</f>
        <v>70</v>
      </c>
      <c r="F11" s="30">
        <f>C11*E11</f>
        <v>4900</v>
      </c>
      <c r="G11" s="30"/>
      <c r="H11" s="30">
        <f t="shared" si="0"/>
        <v>4900</v>
      </c>
      <c r="J11" s="7">
        <v>8</v>
      </c>
      <c r="K11" s="4" t="s">
        <v>680</v>
      </c>
      <c r="L11" s="30">
        <v>110</v>
      </c>
      <c r="M11" s="26" t="s">
        <v>13</v>
      </c>
      <c r="N11" s="30">
        <f>E11</f>
        <v>70</v>
      </c>
      <c r="O11" s="30">
        <f>L11*N11</f>
        <v>7700</v>
      </c>
      <c r="P11" s="30"/>
      <c r="Q11" s="30">
        <v>4760</v>
      </c>
      <c r="S11" s="7">
        <v>8</v>
      </c>
      <c r="T11" s="4" t="s">
        <v>680</v>
      </c>
      <c r="U11" s="30">
        <v>110</v>
      </c>
      <c r="V11" s="26" t="s">
        <v>13</v>
      </c>
      <c r="W11" s="30">
        <f>N11</f>
        <v>70</v>
      </c>
      <c r="X11" s="30">
        <f>U11*W11</f>
        <v>7700</v>
      </c>
      <c r="Y11" s="30"/>
      <c r="Z11" s="30">
        <v>4760</v>
      </c>
    </row>
    <row r="12" spans="1:26" ht="15" customHeight="1" x14ac:dyDescent="0.3">
      <c r="A12" s="7">
        <v>9</v>
      </c>
      <c r="B12" s="4" t="s">
        <v>71</v>
      </c>
      <c r="C12" s="30"/>
      <c r="D12" s="26"/>
      <c r="E12" s="30"/>
      <c r="F12" s="30">
        <v>5000</v>
      </c>
      <c r="G12" s="30"/>
      <c r="H12" s="30">
        <f t="shared" si="0"/>
        <v>5000</v>
      </c>
      <c r="J12" s="7">
        <v>9</v>
      </c>
      <c r="K12" s="4" t="s">
        <v>71</v>
      </c>
      <c r="L12" s="30"/>
      <c r="M12" s="26"/>
      <c r="N12" s="30"/>
      <c r="O12" s="30"/>
      <c r="P12" s="30"/>
      <c r="Q12" s="30">
        <v>5500</v>
      </c>
      <c r="S12" s="7">
        <v>9</v>
      </c>
      <c r="T12" s="4" t="s">
        <v>71</v>
      </c>
      <c r="U12" s="30"/>
      <c r="V12" s="26"/>
      <c r="W12" s="30"/>
      <c r="X12" s="30"/>
      <c r="Y12" s="30"/>
      <c r="Z12" s="30">
        <v>5000</v>
      </c>
    </row>
    <row r="13" spans="1:26" ht="15" customHeight="1" x14ac:dyDescent="0.3">
      <c r="A13" s="7">
        <v>10</v>
      </c>
      <c r="B13" s="4" t="s">
        <v>73</v>
      </c>
      <c r="C13" s="30"/>
      <c r="D13" s="26"/>
      <c r="E13" s="30"/>
      <c r="F13" s="30"/>
      <c r="G13" s="30"/>
      <c r="H13" s="30">
        <v>350</v>
      </c>
      <c r="J13" s="7">
        <v>10</v>
      </c>
      <c r="K13" s="4" t="s">
        <v>73</v>
      </c>
      <c r="L13" s="30"/>
      <c r="M13" s="26"/>
      <c r="N13" s="30"/>
      <c r="O13" s="30"/>
      <c r="P13" s="30"/>
      <c r="Q13" s="30">
        <v>500</v>
      </c>
      <c r="S13" s="7">
        <v>10</v>
      </c>
      <c r="T13" s="4" t="s">
        <v>73</v>
      </c>
      <c r="U13" s="30"/>
      <c r="V13" s="26"/>
      <c r="W13" s="30"/>
      <c r="X13" s="30"/>
      <c r="Y13" s="30"/>
      <c r="Z13" s="30">
        <v>400</v>
      </c>
    </row>
    <row r="14" spans="1:26" ht="15" customHeight="1" x14ac:dyDescent="0.3">
      <c r="A14" s="7"/>
      <c r="B14" s="26"/>
      <c r="C14" s="30"/>
      <c r="D14" s="26"/>
      <c r="E14" s="49" t="s">
        <v>75</v>
      </c>
      <c r="F14" s="30"/>
      <c r="G14" s="30"/>
      <c r="H14" s="30">
        <f>SUM(H4:H13)</f>
        <v>32197.54</v>
      </c>
      <c r="J14" s="7"/>
      <c r="K14" s="26"/>
      <c r="L14" s="30"/>
      <c r="M14" s="26"/>
      <c r="N14" s="49" t="s">
        <v>75</v>
      </c>
      <c r="O14" s="30"/>
      <c r="P14" s="30"/>
      <c r="Q14" s="30">
        <f>SUM(Q4:Q13)</f>
        <v>39622.839999999997</v>
      </c>
      <c r="S14" s="7"/>
      <c r="T14" s="26"/>
      <c r="U14" s="30"/>
      <c r="V14" s="26"/>
      <c r="W14" s="49" t="s">
        <v>75</v>
      </c>
      <c r="X14" s="30"/>
      <c r="Y14" s="30"/>
      <c r="Z14" s="30">
        <f>SUM(Z4:Z13)</f>
        <v>39022.839999999997</v>
      </c>
    </row>
    <row r="17" spans="1:17" ht="14.4" customHeight="1" x14ac:dyDescent="0.3">
      <c r="A17" s="324" t="s">
        <v>681</v>
      </c>
      <c r="B17" s="302"/>
      <c r="C17" s="302"/>
      <c r="D17" s="302"/>
      <c r="E17" s="302"/>
      <c r="F17" s="302"/>
      <c r="G17" s="302"/>
      <c r="H17" s="302"/>
      <c r="J17" s="324" t="s">
        <v>682</v>
      </c>
      <c r="K17" s="302"/>
      <c r="L17" s="302"/>
      <c r="M17" s="302"/>
      <c r="N17" s="302"/>
      <c r="O17" s="302"/>
      <c r="P17" s="302"/>
      <c r="Q17" s="302"/>
    </row>
    <row r="18" spans="1:17" ht="14.4" customHeight="1" x14ac:dyDescent="0.3">
      <c r="A18" s="47" t="s">
        <v>4</v>
      </c>
      <c r="B18" s="48" t="s">
        <v>5</v>
      </c>
      <c r="C18" s="49" t="s">
        <v>6</v>
      </c>
      <c r="D18" s="48" t="s">
        <v>7</v>
      </c>
      <c r="E18" s="49" t="s">
        <v>8</v>
      </c>
      <c r="F18" s="49" t="s">
        <v>9</v>
      </c>
      <c r="G18" s="49" t="s">
        <v>10</v>
      </c>
      <c r="H18" s="49" t="s">
        <v>11</v>
      </c>
      <c r="J18" s="47" t="s">
        <v>4</v>
      </c>
      <c r="K18" s="48" t="s">
        <v>5</v>
      </c>
      <c r="L18" s="49" t="s">
        <v>6</v>
      </c>
      <c r="M18" s="48" t="s">
        <v>7</v>
      </c>
      <c r="N18" s="49" t="s">
        <v>8</v>
      </c>
      <c r="O18" s="49" t="s">
        <v>9</v>
      </c>
      <c r="P18" s="49" t="s">
        <v>10</v>
      </c>
      <c r="Q18" s="49" t="s">
        <v>11</v>
      </c>
    </row>
    <row r="19" spans="1:17" ht="14.4" customHeight="1" x14ac:dyDescent="0.3">
      <c r="A19" s="7"/>
      <c r="B19" s="26"/>
      <c r="C19" s="30"/>
      <c r="D19" s="26"/>
      <c r="E19" s="30"/>
      <c r="F19" s="30"/>
      <c r="G19" s="30"/>
      <c r="H19" s="30"/>
      <c r="J19" s="7"/>
      <c r="K19" s="26"/>
      <c r="L19" s="30"/>
      <c r="M19" s="26"/>
      <c r="N19" s="30"/>
      <c r="O19" s="30"/>
      <c r="P19" s="30"/>
      <c r="Q19" s="30"/>
    </row>
    <row r="20" spans="1:17" ht="14.4" customHeight="1" x14ac:dyDescent="0.3">
      <c r="A20" s="7">
        <v>1</v>
      </c>
      <c r="B20" s="4" t="s">
        <v>683</v>
      </c>
      <c r="C20" s="30">
        <v>51</v>
      </c>
      <c r="D20" s="26" t="s">
        <v>13</v>
      </c>
      <c r="E20" s="30">
        <v>70</v>
      </c>
      <c r="F20" s="30">
        <f t="shared" ref="F20:F29" si="1">C20*E20</f>
        <v>3570</v>
      </c>
      <c r="G20" s="30">
        <v>2760</v>
      </c>
      <c r="H20" s="30">
        <f t="shared" ref="H20:H28" si="2">F20+G20</f>
        <v>6330</v>
      </c>
      <c r="J20" s="7">
        <v>1</v>
      </c>
      <c r="K20" s="4" t="s">
        <v>683</v>
      </c>
      <c r="L20" s="30">
        <v>30</v>
      </c>
      <c r="M20" s="26" t="s">
        <v>13</v>
      </c>
      <c r="N20" s="30">
        <f>Rates!K5</f>
        <v>100</v>
      </c>
      <c r="O20" s="30">
        <f t="shared" ref="O20:O29" si="3">L20*N20</f>
        <v>3000</v>
      </c>
      <c r="P20" s="30">
        <v>2760</v>
      </c>
      <c r="Q20" s="30">
        <f t="shared" ref="Q20:Q28" si="4">O20+P20</f>
        <v>5760</v>
      </c>
    </row>
    <row r="21" spans="1:17" ht="15.75" customHeight="1" x14ac:dyDescent="0.3">
      <c r="A21" s="7">
        <v>2</v>
      </c>
      <c r="B21" s="4" t="s">
        <v>684</v>
      </c>
      <c r="C21" s="30">
        <v>24</v>
      </c>
      <c r="D21" s="26" t="s">
        <v>13</v>
      </c>
      <c r="E21" s="30">
        <v>70</v>
      </c>
      <c r="F21" s="30">
        <f t="shared" si="1"/>
        <v>1680</v>
      </c>
      <c r="G21" s="30">
        <v>1500</v>
      </c>
      <c r="H21" s="30">
        <f t="shared" si="2"/>
        <v>3180</v>
      </c>
      <c r="J21" s="7">
        <v>2</v>
      </c>
      <c r="K21" s="4" t="s">
        <v>684</v>
      </c>
      <c r="L21" s="30">
        <v>22</v>
      </c>
      <c r="M21" s="26" t="s">
        <v>13</v>
      </c>
      <c r="N21" s="30">
        <f>N20</f>
        <v>100</v>
      </c>
      <c r="O21" s="30">
        <f t="shared" si="3"/>
        <v>2200</v>
      </c>
      <c r="P21" s="30">
        <v>1500</v>
      </c>
      <c r="Q21" s="30">
        <f t="shared" si="4"/>
        <v>3700</v>
      </c>
    </row>
    <row r="22" spans="1:17" ht="15.75" customHeight="1" x14ac:dyDescent="0.3">
      <c r="A22" s="7">
        <v>3</v>
      </c>
      <c r="B22" s="4" t="s">
        <v>685</v>
      </c>
      <c r="C22" s="30">
        <v>8</v>
      </c>
      <c r="D22" s="26" t="s">
        <v>13</v>
      </c>
      <c r="E22" s="30">
        <v>70</v>
      </c>
      <c r="F22" s="30">
        <f t="shared" si="1"/>
        <v>560</v>
      </c>
      <c r="G22" s="30">
        <v>750</v>
      </c>
      <c r="H22" s="30">
        <f t="shared" si="2"/>
        <v>1310</v>
      </c>
      <c r="J22" s="7">
        <v>3</v>
      </c>
      <c r="K22" s="4" t="s">
        <v>685</v>
      </c>
      <c r="L22" s="30">
        <v>8</v>
      </c>
      <c r="M22" s="26" t="s">
        <v>13</v>
      </c>
      <c r="N22" s="30">
        <f>N21</f>
        <v>100</v>
      </c>
      <c r="O22" s="30">
        <f t="shared" si="3"/>
        <v>800</v>
      </c>
      <c r="P22" s="30">
        <v>750</v>
      </c>
      <c r="Q22" s="30">
        <f t="shared" si="4"/>
        <v>1550</v>
      </c>
    </row>
    <row r="23" spans="1:17" ht="15.75" customHeight="1" x14ac:dyDescent="0.3">
      <c r="A23" s="7">
        <v>4</v>
      </c>
      <c r="B23" s="4" t="s">
        <v>686</v>
      </c>
      <c r="C23" s="30">
        <v>3</v>
      </c>
      <c r="D23" s="26" t="s">
        <v>13</v>
      </c>
      <c r="E23" s="30">
        <v>240</v>
      </c>
      <c r="F23" s="30">
        <f t="shared" si="1"/>
        <v>720</v>
      </c>
      <c r="G23" s="30"/>
      <c r="H23" s="30">
        <f t="shared" si="2"/>
        <v>720</v>
      </c>
      <c r="J23" s="7">
        <v>4</v>
      </c>
      <c r="K23" s="4" t="s">
        <v>686</v>
      </c>
      <c r="L23" s="30">
        <v>3</v>
      </c>
      <c r="M23" s="26" t="s">
        <v>13</v>
      </c>
      <c r="N23" s="30">
        <f>N4</f>
        <v>330</v>
      </c>
      <c r="O23" s="30">
        <f t="shared" si="3"/>
        <v>990</v>
      </c>
      <c r="P23" s="30"/>
      <c r="Q23" s="30">
        <f t="shared" si="4"/>
        <v>990</v>
      </c>
    </row>
    <row r="24" spans="1:17" ht="15.75" customHeight="1" x14ac:dyDescent="0.3">
      <c r="A24" s="7">
        <v>5</v>
      </c>
      <c r="B24" s="4" t="s">
        <v>687</v>
      </c>
      <c r="C24" s="30">
        <v>10</v>
      </c>
      <c r="D24" s="26" t="s">
        <v>13</v>
      </c>
      <c r="E24" s="30">
        <v>70</v>
      </c>
      <c r="F24" s="30">
        <f t="shared" si="1"/>
        <v>700</v>
      </c>
      <c r="G24" s="30">
        <v>400</v>
      </c>
      <c r="H24" s="30">
        <f t="shared" si="2"/>
        <v>1100</v>
      </c>
      <c r="J24" s="7">
        <v>5</v>
      </c>
      <c r="K24" s="4" t="s">
        <v>687</v>
      </c>
      <c r="L24" s="30">
        <v>10</v>
      </c>
      <c r="M24" s="26" t="s">
        <v>13</v>
      </c>
      <c r="N24" s="30">
        <f>N5</f>
        <v>51.02</v>
      </c>
      <c r="O24" s="30">
        <f t="shared" si="3"/>
        <v>510.20000000000005</v>
      </c>
      <c r="P24" s="30">
        <v>400</v>
      </c>
      <c r="Q24" s="30">
        <f t="shared" si="4"/>
        <v>910.2</v>
      </c>
    </row>
    <row r="25" spans="1:17" ht="15.75" customHeight="1" x14ac:dyDescent="0.3">
      <c r="A25" s="7">
        <v>6</v>
      </c>
      <c r="B25" s="4" t="s">
        <v>676</v>
      </c>
      <c r="C25" s="30">
        <v>1</v>
      </c>
      <c r="D25" s="26" t="s">
        <v>25</v>
      </c>
      <c r="E25" s="30">
        <v>3000</v>
      </c>
      <c r="F25" s="30">
        <f t="shared" si="1"/>
        <v>3000</v>
      </c>
      <c r="G25" s="30"/>
      <c r="H25" s="30">
        <f t="shared" si="2"/>
        <v>3000</v>
      </c>
      <c r="J25" s="7">
        <v>6</v>
      </c>
      <c r="K25" s="4" t="s">
        <v>676</v>
      </c>
      <c r="L25" s="30">
        <v>1</v>
      </c>
      <c r="M25" s="26" t="s">
        <v>25</v>
      </c>
      <c r="N25" s="30">
        <f>N7</f>
        <v>4500</v>
      </c>
      <c r="O25" s="30">
        <f t="shared" si="3"/>
        <v>4500</v>
      </c>
      <c r="P25" s="30"/>
      <c r="Q25" s="30">
        <f t="shared" si="4"/>
        <v>4500</v>
      </c>
    </row>
    <row r="26" spans="1:17" ht="15.75" customHeight="1" x14ac:dyDescent="0.3">
      <c r="A26" s="7">
        <v>7</v>
      </c>
      <c r="B26" s="4" t="s">
        <v>677</v>
      </c>
      <c r="C26" s="30">
        <v>1</v>
      </c>
      <c r="D26" s="26" t="s">
        <v>25</v>
      </c>
      <c r="E26" s="30">
        <v>2050</v>
      </c>
      <c r="F26" s="30">
        <f t="shared" si="1"/>
        <v>2050</v>
      </c>
      <c r="G26" s="30"/>
      <c r="H26" s="30">
        <f t="shared" si="2"/>
        <v>2050</v>
      </c>
      <c r="J26" s="7">
        <v>7</v>
      </c>
      <c r="K26" s="4" t="s">
        <v>677</v>
      </c>
      <c r="L26" s="30">
        <v>1</v>
      </c>
      <c r="M26" s="26" t="s">
        <v>25</v>
      </c>
      <c r="N26" s="30">
        <f>W8</f>
        <v>2500</v>
      </c>
      <c r="O26" s="30">
        <f t="shared" si="3"/>
        <v>2500</v>
      </c>
      <c r="P26" s="30"/>
      <c r="Q26" s="30">
        <f t="shared" si="4"/>
        <v>2500</v>
      </c>
    </row>
    <row r="27" spans="1:17" ht="15.75" customHeight="1" x14ac:dyDescent="0.3">
      <c r="A27" s="7">
        <v>8</v>
      </c>
      <c r="B27" s="4" t="s">
        <v>678</v>
      </c>
      <c r="C27" s="30">
        <v>1</v>
      </c>
      <c r="D27" s="26" t="s">
        <v>25</v>
      </c>
      <c r="E27" s="30">
        <v>1750</v>
      </c>
      <c r="F27" s="30">
        <f t="shared" si="1"/>
        <v>1750</v>
      </c>
      <c r="G27" s="30"/>
      <c r="H27" s="30">
        <f t="shared" si="2"/>
        <v>1750</v>
      </c>
      <c r="J27" s="7">
        <v>8</v>
      </c>
      <c r="K27" s="4" t="s">
        <v>678</v>
      </c>
      <c r="L27" s="30">
        <v>1</v>
      </c>
      <c r="M27" s="26" t="s">
        <v>25</v>
      </c>
      <c r="N27" s="30">
        <f>W9</f>
        <v>1500</v>
      </c>
      <c r="O27" s="30">
        <f t="shared" si="3"/>
        <v>1500</v>
      </c>
      <c r="P27" s="30"/>
      <c r="Q27" s="30">
        <f t="shared" si="4"/>
        <v>1500</v>
      </c>
    </row>
    <row r="28" spans="1:17" ht="15.75" customHeight="1" x14ac:dyDescent="0.3">
      <c r="A28" s="7">
        <v>9</v>
      </c>
      <c r="B28" s="4" t="s">
        <v>679</v>
      </c>
      <c r="C28" s="30">
        <v>50</v>
      </c>
      <c r="D28" s="26" t="s">
        <v>13</v>
      </c>
      <c r="E28" s="30">
        <v>70</v>
      </c>
      <c r="F28" s="30">
        <f t="shared" si="1"/>
        <v>3500</v>
      </c>
      <c r="G28" s="30"/>
      <c r="H28" s="30">
        <f t="shared" si="2"/>
        <v>3500</v>
      </c>
      <c r="J28" s="7">
        <v>9</v>
      </c>
      <c r="K28" s="4" t="s">
        <v>679</v>
      </c>
      <c r="L28" s="30">
        <v>50</v>
      </c>
      <c r="M28" s="26" t="s">
        <v>13</v>
      </c>
      <c r="N28" s="30">
        <f>N10</f>
        <v>100</v>
      </c>
      <c r="O28" s="30">
        <f t="shared" si="3"/>
        <v>5000</v>
      </c>
      <c r="P28" s="30"/>
      <c r="Q28" s="30">
        <f t="shared" si="4"/>
        <v>5000</v>
      </c>
    </row>
    <row r="29" spans="1:17" ht="15.75" customHeight="1" x14ac:dyDescent="0.3">
      <c r="A29" s="7">
        <v>10</v>
      </c>
      <c r="B29" s="4" t="s">
        <v>680</v>
      </c>
      <c r="C29" s="30">
        <v>110</v>
      </c>
      <c r="D29" s="26" t="s">
        <v>13</v>
      </c>
      <c r="E29" s="30">
        <v>41</v>
      </c>
      <c r="F29" s="30">
        <f t="shared" si="1"/>
        <v>4510</v>
      </c>
      <c r="G29" s="30"/>
      <c r="H29" s="30">
        <v>4760</v>
      </c>
      <c r="J29" s="7">
        <v>10</v>
      </c>
      <c r="K29" s="4" t="s">
        <v>680</v>
      </c>
      <c r="L29" s="30">
        <v>110</v>
      </c>
      <c r="M29" s="26" t="s">
        <v>13</v>
      </c>
      <c r="N29" s="30">
        <f>N11</f>
        <v>70</v>
      </c>
      <c r="O29" s="30">
        <f t="shared" si="3"/>
        <v>7700</v>
      </c>
      <c r="P29" s="30"/>
      <c r="Q29" s="30">
        <v>4760</v>
      </c>
    </row>
    <row r="30" spans="1:17" ht="15.75" customHeight="1" x14ac:dyDescent="0.3">
      <c r="A30" s="7">
        <v>11</v>
      </c>
      <c r="B30" s="4" t="s">
        <v>71</v>
      </c>
      <c r="C30" s="30"/>
      <c r="D30" s="26"/>
      <c r="E30" s="30"/>
      <c r="F30" s="30"/>
      <c r="G30" s="30"/>
      <c r="H30" s="30">
        <v>500</v>
      </c>
      <c r="J30" s="7">
        <v>11</v>
      </c>
      <c r="K30" s="4" t="s">
        <v>71</v>
      </c>
      <c r="L30" s="30"/>
      <c r="M30" s="26"/>
      <c r="N30" s="30"/>
      <c r="O30" s="30"/>
      <c r="P30" s="30"/>
      <c r="Q30" s="30">
        <v>500</v>
      </c>
    </row>
    <row r="31" spans="1:17" ht="15.75" customHeight="1" x14ac:dyDescent="0.3">
      <c r="A31" s="7">
        <v>12</v>
      </c>
      <c r="B31" s="4" t="s">
        <v>73</v>
      </c>
      <c r="C31" s="30"/>
      <c r="D31" s="26"/>
      <c r="E31" s="30"/>
      <c r="F31" s="30"/>
      <c r="G31" s="30"/>
      <c r="H31" s="30">
        <v>400</v>
      </c>
      <c r="J31" s="7">
        <v>12</v>
      </c>
      <c r="K31" s="4" t="s">
        <v>73</v>
      </c>
      <c r="L31" s="30"/>
      <c r="M31" s="26"/>
      <c r="N31" s="30"/>
      <c r="O31" s="30"/>
      <c r="P31" s="30"/>
      <c r="Q31" s="30">
        <v>400</v>
      </c>
    </row>
    <row r="32" spans="1:17" ht="15.75" customHeight="1" x14ac:dyDescent="0.3">
      <c r="A32" s="7"/>
      <c r="B32" s="26"/>
      <c r="C32" s="30"/>
      <c r="D32" s="26"/>
      <c r="E32" s="49" t="s">
        <v>75</v>
      </c>
      <c r="F32" s="30"/>
      <c r="G32" s="30"/>
      <c r="H32" s="30">
        <f>SUM(H20:H31)</f>
        <v>28600</v>
      </c>
      <c r="J32" s="7"/>
      <c r="K32" s="26"/>
      <c r="L32" s="30"/>
      <c r="M32" s="26"/>
      <c r="N32" s="49" t="s">
        <v>75</v>
      </c>
      <c r="O32" s="30"/>
      <c r="P32" s="30"/>
      <c r="Q32" s="30">
        <f>SUM(Q20:Q31)</f>
        <v>32070.2</v>
      </c>
    </row>
    <row r="33" spans="2:2" ht="15.75" customHeight="1" x14ac:dyDescent="0.3"/>
    <row r="34" spans="2:2" ht="15.75" customHeight="1" x14ac:dyDescent="0.3"/>
    <row r="35" spans="2:2" ht="15.75" customHeight="1" x14ac:dyDescent="0.3">
      <c r="B35" s="97" t="s">
        <v>688</v>
      </c>
    </row>
    <row r="36" spans="2:2" ht="15.75" customHeight="1" x14ac:dyDescent="0.3">
      <c r="B36" s="97" t="s">
        <v>689</v>
      </c>
    </row>
    <row r="37" spans="2:2" ht="15.75" customHeight="1" x14ac:dyDescent="0.3">
      <c r="B37" s="97" t="s">
        <v>690</v>
      </c>
    </row>
    <row r="38" spans="2:2" ht="15.75" customHeight="1" x14ac:dyDescent="0.3">
      <c r="B38" s="97" t="s">
        <v>691</v>
      </c>
    </row>
    <row r="39" spans="2:2" ht="15.75" customHeight="1" x14ac:dyDescent="0.3">
      <c r="B39" s="97" t="s">
        <v>692</v>
      </c>
    </row>
    <row r="40" spans="2:2" ht="15.75" customHeight="1" x14ac:dyDescent="0.3">
      <c r="B40" s="97" t="s">
        <v>693</v>
      </c>
    </row>
    <row r="41" spans="2:2" ht="15.75" customHeight="1" x14ac:dyDescent="0.3">
      <c r="B41" s="97"/>
    </row>
    <row r="42" spans="2:2" ht="15.75" customHeight="1" x14ac:dyDescent="0.3"/>
    <row r="43" spans="2:2" ht="15.75" customHeight="1" x14ac:dyDescent="0.3"/>
    <row r="44" spans="2:2" ht="15.75" customHeight="1" x14ac:dyDescent="0.3"/>
    <row r="45" spans="2:2" ht="15.75" customHeight="1" x14ac:dyDescent="0.3"/>
    <row r="46" spans="2:2" ht="15.75" customHeight="1" x14ac:dyDescent="0.3"/>
    <row r="47" spans="2:2" ht="15.75" customHeight="1" x14ac:dyDescent="0.3"/>
    <row r="48" spans="2: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J1:Q1"/>
    <mergeCell ref="S1:Z1"/>
    <mergeCell ref="A17:H17"/>
    <mergeCell ref="A1:H1"/>
    <mergeCell ref="J17:Q1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Z1000"/>
  <sheetViews>
    <sheetView tabSelected="1" workbookViewId="0">
      <selection activeCell="K4" sqref="K4"/>
    </sheetView>
  </sheetViews>
  <sheetFormatPr defaultColWidth="14.44140625" defaultRowHeight="15" customHeight="1" x14ac:dyDescent="0.3"/>
  <cols>
    <col min="1" max="1" width="23.44140625" customWidth="1"/>
    <col min="2" max="2" width="24.33203125" customWidth="1"/>
    <col min="3" max="3" width="18.6640625" customWidth="1"/>
    <col min="4" max="4" width="16.6640625" customWidth="1"/>
    <col min="5" max="5" width="21" customWidth="1"/>
    <col min="6" max="6" width="23.6640625" customWidth="1"/>
    <col min="7" max="7" width="20.88671875" customWidth="1"/>
    <col min="8" max="8" width="15" customWidth="1"/>
    <col min="9" max="9" width="14.33203125" customWidth="1"/>
    <col min="10" max="10" width="14.5546875" customWidth="1"/>
    <col min="11" max="11" width="17.33203125" customWidth="1"/>
    <col min="12" max="12" width="18.88671875" customWidth="1"/>
    <col min="13" max="13" width="21.6640625" customWidth="1"/>
    <col min="14" max="14" width="14.88671875" customWidth="1"/>
    <col min="15" max="15" width="16.6640625" customWidth="1"/>
    <col min="16" max="16" width="23.5546875" customWidth="1"/>
    <col min="17" max="17" width="10" customWidth="1"/>
    <col min="18" max="18" width="10.5546875" customWidth="1"/>
    <col min="19" max="19" width="12.109375" customWidth="1"/>
    <col min="20" max="20" width="17.6640625" customWidth="1"/>
    <col min="21" max="21" width="16.88671875" customWidth="1"/>
    <col min="22" max="22" width="16" customWidth="1"/>
    <col min="23" max="26" width="9.109375" customWidth="1"/>
  </cols>
  <sheetData>
    <row r="1" spans="1:26" ht="17.399999999999999" customHeight="1" x14ac:dyDescent="0.3">
      <c r="A1" s="329" t="s">
        <v>694</v>
      </c>
      <c r="B1" s="321"/>
      <c r="C1" s="321"/>
      <c r="D1" s="321"/>
      <c r="E1" s="321"/>
      <c r="F1" s="321"/>
      <c r="G1" s="321"/>
      <c r="H1" s="321"/>
      <c r="I1" s="321"/>
      <c r="J1" s="321"/>
      <c r="K1" s="321"/>
      <c r="L1" s="98"/>
      <c r="M1" s="98"/>
      <c r="N1" s="98"/>
      <c r="O1" s="98"/>
      <c r="P1" s="98"/>
      <c r="Q1" s="3"/>
      <c r="R1" s="3"/>
      <c r="S1" s="3"/>
      <c r="T1" s="3"/>
      <c r="U1" s="3"/>
      <c r="V1" s="3"/>
      <c r="W1" s="3"/>
      <c r="X1" s="3"/>
      <c r="Y1" s="3"/>
      <c r="Z1" s="3"/>
    </row>
    <row r="2" spans="1:26" ht="15.6" customHeight="1" x14ac:dyDescent="0.3">
      <c r="A2" s="325" t="s">
        <v>695</v>
      </c>
      <c r="B2" s="326"/>
      <c r="C2" s="326"/>
      <c r="D2" s="326"/>
      <c r="E2" s="326"/>
      <c r="F2" s="326"/>
      <c r="G2" s="326"/>
      <c r="H2" s="99" t="s">
        <v>696</v>
      </c>
      <c r="I2" s="100"/>
      <c r="J2" s="64"/>
      <c r="K2" s="64"/>
      <c r="L2" s="3"/>
      <c r="M2" s="3"/>
      <c r="N2" s="3"/>
      <c r="O2" s="3"/>
      <c r="P2" s="3"/>
      <c r="Q2" s="3"/>
      <c r="R2" s="3"/>
      <c r="S2" s="3"/>
      <c r="T2" s="3"/>
      <c r="U2" s="3"/>
      <c r="V2" s="3"/>
      <c r="W2" s="3"/>
      <c r="X2" s="3"/>
      <c r="Y2" s="3"/>
      <c r="Z2" s="3"/>
    </row>
    <row r="3" spans="1:26" ht="31.2" customHeight="1" x14ac:dyDescent="0.3">
      <c r="A3" s="101" t="s">
        <v>697</v>
      </c>
      <c r="B3" s="102" t="s">
        <v>698</v>
      </c>
      <c r="C3" s="102" t="s">
        <v>699</v>
      </c>
      <c r="D3" s="102" t="s">
        <v>700</v>
      </c>
      <c r="E3" s="102" t="s">
        <v>701</v>
      </c>
      <c r="F3" s="102" t="s">
        <v>702</v>
      </c>
      <c r="G3" s="103" t="s">
        <v>703</v>
      </c>
      <c r="H3" s="104" t="s">
        <v>704</v>
      </c>
      <c r="I3" s="105" t="s">
        <v>705</v>
      </c>
      <c r="J3" s="105" t="s">
        <v>706</v>
      </c>
      <c r="K3" s="105" t="s">
        <v>707</v>
      </c>
      <c r="L3" s="106" t="s">
        <v>708</v>
      </c>
      <c r="M3" s="105" t="s">
        <v>703</v>
      </c>
      <c r="N3" s="3"/>
      <c r="O3" s="107" t="s">
        <v>709</v>
      </c>
      <c r="P3" s="3"/>
      <c r="Q3" s="3"/>
      <c r="R3" s="3"/>
      <c r="S3" s="3"/>
      <c r="T3" s="3"/>
      <c r="U3" s="3"/>
      <c r="V3" s="3"/>
      <c r="W3" s="3"/>
      <c r="X3" s="3"/>
      <c r="Y3" s="3"/>
      <c r="Z3" s="3"/>
    </row>
    <row r="4" spans="1:26" ht="15.6" customHeight="1" x14ac:dyDescent="0.3">
      <c r="A4" s="108" t="s">
        <v>710</v>
      </c>
      <c r="B4" s="109">
        <v>3</v>
      </c>
      <c r="C4" s="109">
        <v>300</v>
      </c>
      <c r="D4" s="109">
        <v>510</v>
      </c>
      <c r="E4" s="110" t="s">
        <v>711</v>
      </c>
      <c r="F4" s="111">
        <v>50400</v>
      </c>
      <c r="G4" s="112">
        <v>69000</v>
      </c>
      <c r="H4" s="113">
        <v>130</v>
      </c>
      <c r="I4" s="114"/>
      <c r="J4" s="114">
        <v>28000</v>
      </c>
      <c r="K4" s="114">
        <v>12500</v>
      </c>
      <c r="L4" s="114">
        <f t="shared" ref="L4:L14" si="0">J4*1.8</f>
        <v>50400</v>
      </c>
      <c r="M4" s="114">
        <f t="shared" ref="M4:M14" si="1">K4*1.5+L4</f>
        <v>69150</v>
      </c>
      <c r="N4" s="3"/>
      <c r="O4" s="3">
        <v>12320</v>
      </c>
      <c r="P4" s="28">
        <f t="shared" ref="P4:P14" si="2">J4/H4</f>
        <v>215.38461538461539</v>
      </c>
      <c r="Q4" s="3">
        <v>45000</v>
      </c>
      <c r="R4" s="28">
        <f t="shared" ref="R4:R14" si="3">Q4/(H4*1.8)</f>
        <v>192.30769230769232</v>
      </c>
      <c r="S4" s="115">
        <f t="shared" ref="S4:S14" si="4">P4/R4-1</f>
        <v>0.11999999999999988</v>
      </c>
      <c r="T4" s="3"/>
      <c r="U4" s="3">
        <v>57000</v>
      </c>
      <c r="V4" s="115">
        <f t="shared" ref="V4:V14" si="5">G4/U4-1</f>
        <v>0.21052631578947367</v>
      </c>
      <c r="W4" s="3"/>
      <c r="X4" s="3">
        <f t="shared" ref="X4:X14" si="6">M4-L4</f>
        <v>18750</v>
      </c>
      <c r="Y4" s="3">
        <f t="shared" ref="Y4:Y14" si="7">X4/O4</f>
        <v>1.5219155844155845</v>
      </c>
      <c r="Z4" s="3"/>
    </row>
    <row r="5" spans="1:26" ht="15.6" customHeight="1" x14ac:dyDescent="0.3">
      <c r="A5" s="116" t="s">
        <v>712</v>
      </c>
      <c r="B5" s="117">
        <v>5</v>
      </c>
      <c r="C5" s="117">
        <v>550</v>
      </c>
      <c r="D5" s="117">
        <v>930</v>
      </c>
      <c r="E5" s="118" t="s">
        <v>711</v>
      </c>
      <c r="F5" s="119">
        <v>51500</v>
      </c>
      <c r="G5" s="120">
        <v>76000</v>
      </c>
      <c r="H5" s="113">
        <v>160</v>
      </c>
      <c r="I5" s="114"/>
      <c r="J5" s="114">
        <v>28622</v>
      </c>
      <c r="K5" s="114">
        <v>16200</v>
      </c>
      <c r="L5" s="114">
        <f t="shared" si="0"/>
        <v>51519.6</v>
      </c>
      <c r="M5" s="114">
        <f t="shared" si="1"/>
        <v>75819.600000000006</v>
      </c>
      <c r="N5" s="3"/>
      <c r="O5" s="3">
        <v>16170</v>
      </c>
      <c r="P5" s="28">
        <f t="shared" si="2"/>
        <v>178.88749999999999</v>
      </c>
      <c r="Q5" s="3">
        <v>46000</v>
      </c>
      <c r="R5" s="28">
        <f t="shared" si="3"/>
        <v>159.72222222222223</v>
      </c>
      <c r="S5" s="115">
        <f t="shared" si="4"/>
        <v>0.11999130434782601</v>
      </c>
      <c r="T5" s="3"/>
      <c r="U5" s="3">
        <v>66000</v>
      </c>
      <c r="V5" s="115">
        <f t="shared" si="5"/>
        <v>0.1515151515151516</v>
      </c>
      <c r="W5" s="3"/>
      <c r="X5" s="3">
        <f t="shared" si="6"/>
        <v>24300.000000000007</v>
      </c>
      <c r="Y5" s="3">
        <f t="shared" si="7"/>
        <v>1.5027829313543604</v>
      </c>
      <c r="Z5" s="3"/>
    </row>
    <row r="6" spans="1:26" ht="15.6" customHeight="1" x14ac:dyDescent="0.3">
      <c r="A6" s="116" t="s">
        <v>713</v>
      </c>
      <c r="B6" s="117">
        <v>7.5</v>
      </c>
      <c r="C6" s="117">
        <v>850</v>
      </c>
      <c r="D6" s="117">
        <v>1450</v>
      </c>
      <c r="E6" s="118" t="s">
        <v>711</v>
      </c>
      <c r="F6" s="119">
        <v>56500</v>
      </c>
      <c r="G6" s="120">
        <v>95200</v>
      </c>
      <c r="H6" s="113">
        <v>180</v>
      </c>
      <c r="I6" s="114"/>
      <c r="J6" s="114">
        <v>31360</v>
      </c>
      <c r="K6" s="114">
        <v>25800</v>
      </c>
      <c r="L6" s="114">
        <f t="shared" si="0"/>
        <v>56448</v>
      </c>
      <c r="M6" s="114">
        <f t="shared" si="1"/>
        <v>95148</v>
      </c>
      <c r="N6" s="3"/>
      <c r="O6" s="3">
        <v>25795</v>
      </c>
      <c r="P6" s="28">
        <f t="shared" si="2"/>
        <v>174.22222222222223</v>
      </c>
      <c r="Q6" s="3">
        <v>50400</v>
      </c>
      <c r="R6" s="28">
        <f t="shared" si="3"/>
        <v>155.55555555555554</v>
      </c>
      <c r="S6" s="115">
        <f t="shared" si="4"/>
        <v>0.12000000000000011</v>
      </c>
      <c r="T6" s="3"/>
      <c r="U6" s="3">
        <v>87000</v>
      </c>
      <c r="V6" s="115">
        <f t="shared" si="5"/>
        <v>9.4252873563218431E-2</v>
      </c>
      <c r="W6" s="3"/>
      <c r="X6" s="3">
        <f t="shared" si="6"/>
        <v>38700</v>
      </c>
      <c r="Y6" s="3">
        <f t="shared" si="7"/>
        <v>1.5002907540220973</v>
      </c>
      <c r="Z6" s="3"/>
    </row>
    <row r="7" spans="1:26" ht="15.6" customHeight="1" x14ac:dyDescent="0.3">
      <c r="A7" s="116" t="s">
        <v>714</v>
      </c>
      <c r="B7" s="117">
        <v>10</v>
      </c>
      <c r="C7" s="117">
        <v>1200</v>
      </c>
      <c r="D7" s="117">
        <v>2040</v>
      </c>
      <c r="E7" s="118" t="s">
        <v>711</v>
      </c>
      <c r="F7" s="119">
        <v>60500</v>
      </c>
      <c r="G7" s="120">
        <v>101000</v>
      </c>
      <c r="H7" s="113">
        <v>190</v>
      </c>
      <c r="I7" s="114"/>
      <c r="J7" s="114">
        <v>33600</v>
      </c>
      <c r="K7" s="114">
        <v>27000</v>
      </c>
      <c r="L7" s="114">
        <f t="shared" si="0"/>
        <v>60480</v>
      </c>
      <c r="M7" s="114">
        <f t="shared" si="1"/>
        <v>100980</v>
      </c>
      <c r="N7" s="3"/>
      <c r="O7" s="3">
        <v>26950</v>
      </c>
      <c r="P7" s="28">
        <f t="shared" si="2"/>
        <v>176.84210526315789</v>
      </c>
      <c r="Q7" s="3">
        <v>54000</v>
      </c>
      <c r="R7" s="28">
        <f t="shared" si="3"/>
        <v>157.89473684210526</v>
      </c>
      <c r="S7" s="115">
        <f t="shared" si="4"/>
        <v>0.11999999999999988</v>
      </c>
      <c r="T7" s="3"/>
      <c r="U7" s="3">
        <v>92000</v>
      </c>
      <c r="V7" s="115">
        <f t="shared" si="5"/>
        <v>9.7826086956521729E-2</v>
      </c>
      <c r="W7" s="3"/>
      <c r="X7" s="3">
        <f t="shared" si="6"/>
        <v>40500</v>
      </c>
      <c r="Y7" s="3">
        <f t="shared" si="7"/>
        <v>1.5027829313543599</v>
      </c>
      <c r="Z7" s="3"/>
    </row>
    <row r="8" spans="1:26" ht="15.6" customHeight="1" x14ac:dyDescent="0.3">
      <c r="A8" s="116" t="s">
        <v>715</v>
      </c>
      <c r="B8" s="117">
        <v>15</v>
      </c>
      <c r="C8" s="117">
        <v>1700</v>
      </c>
      <c r="D8" s="117">
        <v>2890</v>
      </c>
      <c r="E8" s="118" t="s">
        <v>711</v>
      </c>
      <c r="F8" s="119">
        <v>76000</v>
      </c>
      <c r="G8" s="120">
        <v>148000</v>
      </c>
      <c r="H8" s="113">
        <v>200</v>
      </c>
      <c r="I8" s="114"/>
      <c r="J8" s="114">
        <v>39200</v>
      </c>
      <c r="K8" s="114">
        <v>51500</v>
      </c>
      <c r="L8" s="114">
        <f t="shared" si="0"/>
        <v>70560</v>
      </c>
      <c r="M8" s="114">
        <f t="shared" si="1"/>
        <v>147810</v>
      </c>
      <c r="N8" s="3"/>
      <c r="O8" s="3">
        <v>51310</v>
      </c>
      <c r="P8" s="28">
        <f t="shared" si="2"/>
        <v>196</v>
      </c>
      <c r="Q8" s="3">
        <v>63000</v>
      </c>
      <c r="R8" s="28">
        <f t="shared" si="3"/>
        <v>175</v>
      </c>
      <c r="S8" s="115">
        <f t="shared" si="4"/>
        <v>0.12000000000000011</v>
      </c>
      <c r="T8" s="3"/>
      <c r="U8" s="3">
        <v>136000</v>
      </c>
      <c r="V8" s="115">
        <f t="shared" si="5"/>
        <v>8.8235294117646967E-2</v>
      </c>
      <c r="W8" s="3"/>
      <c r="X8" s="3">
        <f t="shared" si="6"/>
        <v>77250</v>
      </c>
      <c r="Y8" s="3">
        <f t="shared" si="7"/>
        <v>1.5055544728123174</v>
      </c>
      <c r="Z8" s="3"/>
    </row>
    <row r="9" spans="1:26" ht="15.6" customHeight="1" x14ac:dyDescent="0.3">
      <c r="A9" s="116" t="s">
        <v>716</v>
      </c>
      <c r="B9" s="117">
        <v>20</v>
      </c>
      <c r="C9" s="117">
        <v>2200</v>
      </c>
      <c r="D9" s="117">
        <v>3740</v>
      </c>
      <c r="E9" s="118" t="s">
        <v>711</v>
      </c>
      <c r="F9" s="119">
        <v>87000</v>
      </c>
      <c r="G9" s="120">
        <v>168000</v>
      </c>
      <c r="H9" s="113">
        <v>210</v>
      </c>
      <c r="I9" s="114"/>
      <c r="J9" s="114">
        <v>44800</v>
      </c>
      <c r="K9" s="114">
        <v>58000</v>
      </c>
      <c r="L9" s="114">
        <f t="shared" si="0"/>
        <v>80640</v>
      </c>
      <c r="M9" s="114">
        <f t="shared" si="1"/>
        <v>167640</v>
      </c>
      <c r="N9" s="3"/>
      <c r="O9" s="3">
        <v>57995</v>
      </c>
      <c r="P9" s="28">
        <f t="shared" si="2"/>
        <v>213.33333333333334</v>
      </c>
      <c r="Q9" s="3">
        <v>72000</v>
      </c>
      <c r="R9" s="28">
        <f t="shared" si="3"/>
        <v>190.47619047619048</v>
      </c>
      <c r="S9" s="115">
        <f t="shared" si="4"/>
        <v>0.12000000000000011</v>
      </c>
      <c r="T9" s="3"/>
      <c r="U9" s="3">
        <v>155000</v>
      </c>
      <c r="V9" s="115">
        <f t="shared" si="5"/>
        <v>8.3870967741935587E-2</v>
      </c>
      <c r="W9" s="3"/>
      <c r="X9" s="3">
        <f t="shared" si="6"/>
        <v>87000</v>
      </c>
      <c r="Y9" s="3">
        <f t="shared" si="7"/>
        <v>1.5001293214932321</v>
      </c>
      <c r="Z9" s="3"/>
    </row>
    <row r="10" spans="1:26" ht="15.6" customHeight="1" x14ac:dyDescent="0.3">
      <c r="A10" s="116" t="s">
        <v>717</v>
      </c>
      <c r="B10" s="117">
        <v>25</v>
      </c>
      <c r="C10" s="117">
        <v>3000</v>
      </c>
      <c r="D10" s="117">
        <v>5100</v>
      </c>
      <c r="E10" s="118" t="s">
        <v>711</v>
      </c>
      <c r="F10" s="121">
        <v>91000</v>
      </c>
      <c r="G10" s="122">
        <v>195000</v>
      </c>
      <c r="H10" s="113">
        <v>220</v>
      </c>
      <c r="I10" s="114"/>
      <c r="J10" s="114">
        <v>50400</v>
      </c>
      <c r="K10" s="114">
        <v>69500</v>
      </c>
      <c r="L10" s="114">
        <f t="shared" si="0"/>
        <v>90720</v>
      </c>
      <c r="M10" s="114">
        <f t="shared" si="1"/>
        <v>194970</v>
      </c>
      <c r="N10" s="3"/>
      <c r="O10" s="3">
        <v>69230</v>
      </c>
      <c r="P10" s="28">
        <f t="shared" si="2"/>
        <v>229.09090909090909</v>
      </c>
      <c r="Q10" s="3">
        <v>81000</v>
      </c>
      <c r="R10" s="28">
        <f t="shared" si="3"/>
        <v>204.54545454545453</v>
      </c>
      <c r="S10" s="115">
        <f t="shared" si="4"/>
        <v>0.12000000000000011</v>
      </c>
      <c r="T10" s="3"/>
      <c r="U10" s="3">
        <v>180000</v>
      </c>
      <c r="V10" s="115">
        <f t="shared" si="5"/>
        <v>8.3333333333333259E-2</v>
      </c>
      <c r="W10" s="3"/>
      <c r="X10" s="3">
        <f t="shared" si="6"/>
        <v>104250</v>
      </c>
      <c r="Y10" s="3">
        <f t="shared" si="7"/>
        <v>1.5058500650007223</v>
      </c>
      <c r="Z10" s="3"/>
    </row>
    <row r="11" spans="1:26" ht="15.6" customHeight="1" x14ac:dyDescent="0.3">
      <c r="A11" s="116" t="s">
        <v>718</v>
      </c>
      <c r="B11" s="117">
        <v>30</v>
      </c>
      <c r="C11" s="117">
        <v>3500</v>
      </c>
      <c r="D11" s="117">
        <v>5950</v>
      </c>
      <c r="E11" s="118" t="s">
        <v>711</v>
      </c>
      <c r="F11" s="121">
        <v>111000</v>
      </c>
      <c r="G11" s="122">
        <v>230000</v>
      </c>
      <c r="H11" s="113">
        <v>275</v>
      </c>
      <c r="I11" s="114"/>
      <c r="J11" s="114">
        <v>61600</v>
      </c>
      <c r="K11" s="114">
        <v>79000</v>
      </c>
      <c r="L11" s="114">
        <f t="shared" si="0"/>
        <v>110880</v>
      </c>
      <c r="M11" s="114">
        <f t="shared" si="1"/>
        <v>229380</v>
      </c>
      <c r="N11" s="3"/>
      <c r="O11" s="3">
        <v>78925</v>
      </c>
      <c r="P11" s="28">
        <f t="shared" si="2"/>
        <v>224</v>
      </c>
      <c r="Q11" s="3">
        <v>99000</v>
      </c>
      <c r="R11" s="28">
        <f t="shared" si="3"/>
        <v>200</v>
      </c>
      <c r="S11" s="115">
        <f t="shared" si="4"/>
        <v>0.12000000000000011</v>
      </c>
      <c r="T11" s="3"/>
      <c r="U11" s="3">
        <v>210000</v>
      </c>
      <c r="V11" s="115">
        <f t="shared" si="5"/>
        <v>9.5238095238095344E-2</v>
      </c>
      <c r="W11" s="3"/>
      <c r="X11" s="3">
        <f t="shared" si="6"/>
        <v>118500</v>
      </c>
      <c r="Y11" s="3">
        <f t="shared" si="7"/>
        <v>1.5014254038644284</v>
      </c>
      <c r="Z11" s="3"/>
    </row>
    <row r="12" spans="1:26" ht="15.6" customHeight="1" x14ac:dyDescent="0.3">
      <c r="A12" s="116" t="s">
        <v>719</v>
      </c>
      <c r="B12" s="117">
        <v>40</v>
      </c>
      <c r="C12" s="117">
        <v>4800</v>
      </c>
      <c r="D12" s="117">
        <v>7900</v>
      </c>
      <c r="E12" s="118" t="s">
        <v>711</v>
      </c>
      <c r="F12" s="121">
        <v>131000</v>
      </c>
      <c r="G12" s="122">
        <v>296000</v>
      </c>
      <c r="H12" s="113">
        <v>330</v>
      </c>
      <c r="I12" s="114"/>
      <c r="J12" s="114">
        <v>72800</v>
      </c>
      <c r="K12" s="114">
        <v>110000</v>
      </c>
      <c r="L12" s="114">
        <f t="shared" si="0"/>
        <v>131040</v>
      </c>
      <c r="M12" s="114">
        <f t="shared" si="1"/>
        <v>296040</v>
      </c>
      <c r="N12" s="3"/>
      <c r="O12" s="3">
        <v>109620</v>
      </c>
      <c r="P12" s="28">
        <f t="shared" si="2"/>
        <v>220.60606060606059</v>
      </c>
      <c r="Q12" s="3">
        <v>117000</v>
      </c>
      <c r="R12" s="28">
        <f t="shared" si="3"/>
        <v>196.96969696969697</v>
      </c>
      <c r="S12" s="115">
        <f t="shared" si="4"/>
        <v>0.11999999999999988</v>
      </c>
      <c r="T12" s="3"/>
      <c r="U12" s="3">
        <v>274000</v>
      </c>
      <c r="V12" s="115">
        <f t="shared" si="5"/>
        <v>8.0291970802919721E-2</v>
      </c>
      <c r="W12" s="3"/>
      <c r="X12" s="3">
        <f t="shared" si="6"/>
        <v>165000</v>
      </c>
      <c r="Y12" s="3">
        <f t="shared" si="7"/>
        <v>1.50519978106185</v>
      </c>
      <c r="Z12" s="3"/>
    </row>
    <row r="13" spans="1:26" ht="15.6" customHeight="1" x14ac:dyDescent="0.3">
      <c r="A13" s="116" t="s">
        <v>720</v>
      </c>
      <c r="B13" s="117">
        <v>50</v>
      </c>
      <c r="C13" s="117">
        <v>5950</v>
      </c>
      <c r="D13" s="117">
        <v>9850</v>
      </c>
      <c r="E13" s="118" t="s">
        <v>711</v>
      </c>
      <c r="F13" s="121">
        <v>151500</v>
      </c>
      <c r="G13" s="122">
        <v>339000</v>
      </c>
      <c r="H13" s="113">
        <v>370</v>
      </c>
      <c r="I13" s="114"/>
      <c r="J13" s="114">
        <v>84000</v>
      </c>
      <c r="K13" s="114">
        <v>125000</v>
      </c>
      <c r="L13" s="114">
        <f t="shared" si="0"/>
        <v>151200</v>
      </c>
      <c r="M13" s="114">
        <f t="shared" si="1"/>
        <v>338700</v>
      </c>
      <c r="N13" s="3"/>
      <c r="O13" s="3">
        <v>124215</v>
      </c>
      <c r="P13" s="28">
        <f t="shared" si="2"/>
        <v>227.02702702702703</v>
      </c>
      <c r="Q13" s="3">
        <v>135000</v>
      </c>
      <c r="R13" s="28">
        <f t="shared" si="3"/>
        <v>202.70270270270271</v>
      </c>
      <c r="S13" s="115">
        <f t="shared" si="4"/>
        <v>0.11999999999999988</v>
      </c>
      <c r="T13" s="3"/>
      <c r="U13" s="3">
        <v>318000</v>
      </c>
      <c r="V13" s="115">
        <f t="shared" si="5"/>
        <v>6.60377358490567E-2</v>
      </c>
      <c r="W13" s="3"/>
      <c r="X13" s="3">
        <f t="shared" si="6"/>
        <v>187500</v>
      </c>
      <c r="Y13" s="3">
        <f t="shared" si="7"/>
        <v>1.5094795314575535</v>
      </c>
      <c r="Z13" s="3"/>
    </row>
    <row r="14" spans="1:26" ht="15.6" customHeight="1" x14ac:dyDescent="0.3">
      <c r="A14" s="123" t="s">
        <v>721</v>
      </c>
      <c r="B14" s="124">
        <v>60</v>
      </c>
      <c r="C14" s="124">
        <v>7100</v>
      </c>
      <c r="D14" s="124">
        <v>11750</v>
      </c>
      <c r="E14" s="125" t="s">
        <v>711</v>
      </c>
      <c r="F14" s="126">
        <v>175000</v>
      </c>
      <c r="G14" s="127">
        <v>417000</v>
      </c>
      <c r="H14" s="113">
        <v>475</v>
      </c>
      <c r="I14" s="114"/>
      <c r="J14" s="114">
        <v>96320</v>
      </c>
      <c r="K14" s="114">
        <v>162000</v>
      </c>
      <c r="L14" s="114">
        <f t="shared" si="0"/>
        <v>173376</v>
      </c>
      <c r="M14" s="114">
        <f t="shared" si="1"/>
        <v>416376</v>
      </c>
      <c r="N14" s="3"/>
      <c r="O14" s="3">
        <v>161630</v>
      </c>
      <c r="P14" s="28">
        <f t="shared" si="2"/>
        <v>202.77894736842106</v>
      </c>
      <c r="Q14" s="3">
        <v>154800</v>
      </c>
      <c r="R14" s="28">
        <f t="shared" si="3"/>
        <v>181.05263157894737</v>
      </c>
      <c r="S14" s="115">
        <f t="shared" si="4"/>
        <v>0.12000000000000011</v>
      </c>
      <c r="T14" s="3"/>
      <c r="U14" s="3">
        <v>395000</v>
      </c>
      <c r="V14" s="115">
        <f t="shared" si="5"/>
        <v>5.5696202531645644E-2</v>
      </c>
      <c r="W14" s="3"/>
      <c r="X14" s="3">
        <f t="shared" si="6"/>
        <v>243000</v>
      </c>
      <c r="Y14" s="3">
        <f t="shared" si="7"/>
        <v>1.5034337684835737</v>
      </c>
      <c r="Z14" s="3"/>
    </row>
    <row r="15" spans="1:26" ht="17.399999999999999" customHeight="1" x14ac:dyDescent="0.3">
      <c r="A15" s="128" t="s">
        <v>722</v>
      </c>
      <c r="B15" s="64"/>
      <c r="C15" s="64"/>
      <c r="D15" s="64"/>
      <c r="E15" s="64"/>
      <c r="F15" s="64"/>
      <c r="G15" s="64"/>
      <c r="H15" s="99" t="s">
        <v>696</v>
      </c>
      <c r="I15" s="100"/>
      <c r="J15" s="64"/>
      <c r="K15" s="64"/>
      <c r="L15" s="3"/>
      <c r="M15" s="3"/>
      <c r="N15" s="3"/>
      <c r="O15" s="3"/>
      <c r="P15" s="3"/>
      <c r="Q15" s="3"/>
      <c r="R15" s="3"/>
      <c r="S15" s="3"/>
      <c r="T15" s="3"/>
      <c r="U15" s="3"/>
      <c r="V15" s="3"/>
      <c r="W15" s="3"/>
      <c r="X15" s="3"/>
      <c r="Y15" s="3"/>
      <c r="Z15" s="3"/>
    </row>
    <row r="16" spans="1:26" ht="31.2" customHeight="1" x14ac:dyDescent="0.3">
      <c r="A16" s="129" t="s">
        <v>697</v>
      </c>
      <c r="B16" s="130" t="s">
        <v>698</v>
      </c>
      <c r="C16" s="130" t="s">
        <v>699</v>
      </c>
      <c r="D16" s="130" t="s">
        <v>700</v>
      </c>
      <c r="E16" s="130" t="s">
        <v>701</v>
      </c>
      <c r="F16" s="130" t="s">
        <v>702</v>
      </c>
      <c r="G16" s="131" t="s">
        <v>703</v>
      </c>
      <c r="H16" s="132" t="s">
        <v>704</v>
      </c>
      <c r="I16" s="133" t="s">
        <v>705</v>
      </c>
      <c r="J16" s="133" t="s">
        <v>706</v>
      </c>
      <c r="K16" s="133" t="s">
        <v>707</v>
      </c>
      <c r="L16" s="106" t="s">
        <v>708</v>
      </c>
      <c r="M16" s="105" t="s">
        <v>703</v>
      </c>
      <c r="N16" s="3"/>
      <c r="O16" s="107" t="s">
        <v>709</v>
      </c>
      <c r="P16" s="3"/>
      <c r="Q16" s="3"/>
      <c r="R16" s="3"/>
      <c r="S16" s="3"/>
      <c r="T16" s="3"/>
      <c r="U16" s="3"/>
      <c r="V16" s="3"/>
      <c r="W16" s="3"/>
      <c r="X16" s="3"/>
      <c r="Y16" s="3"/>
      <c r="Z16" s="3"/>
    </row>
    <row r="17" spans="1:26" ht="15.6" customHeight="1" x14ac:dyDescent="0.3">
      <c r="A17" s="116" t="s">
        <v>723</v>
      </c>
      <c r="B17" s="117">
        <v>5</v>
      </c>
      <c r="C17" s="117">
        <v>400</v>
      </c>
      <c r="D17" s="117">
        <v>680</v>
      </c>
      <c r="E17" s="117" t="s">
        <v>724</v>
      </c>
      <c r="F17" s="119">
        <v>56500</v>
      </c>
      <c r="G17" s="120">
        <v>81000</v>
      </c>
      <c r="H17" s="114">
        <v>160</v>
      </c>
      <c r="I17" s="114"/>
      <c r="J17" s="114">
        <v>31360</v>
      </c>
      <c r="K17" s="114">
        <v>16200</v>
      </c>
      <c r="L17" s="114">
        <f t="shared" ref="L17:L26" si="8">J17*1.8</f>
        <v>56448</v>
      </c>
      <c r="M17" s="114">
        <f t="shared" ref="M17:M26" si="9">K17*1.5+L17</f>
        <v>80748</v>
      </c>
      <c r="N17" s="3"/>
      <c r="O17" s="3"/>
      <c r="P17" s="28">
        <f t="shared" ref="P17:P26" si="10">J17/H17</f>
        <v>196</v>
      </c>
      <c r="Q17" s="3">
        <v>50400</v>
      </c>
      <c r="R17" s="28">
        <f t="shared" ref="R17:R26" si="11">Q17/(H17*1.8)</f>
        <v>175</v>
      </c>
      <c r="S17" s="115">
        <f t="shared" ref="S17:S26" si="12">P17/R17-1</f>
        <v>0.12000000000000011</v>
      </c>
      <c r="T17" s="3"/>
      <c r="U17" s="3">
        <v>74000</v>
      </c>
      <c r="V17" s="115">
        <f t="shared" ref="V17:V26" si="13">G17/U17-1</f>
        <v>9.4594594594594517E-2</v>
      </c>
      <c r="W17" s="3"/>
      <c r="X17" s="3"/>
      <c r="Y17" s="3"/>
      <c r="Z17" s="3"/>
    </row>
    <row r="18" spans="1:26" ht="15.6" customHeight="1" x14ac:dyDescent="0.3">
      <c r="A18" s="116" t="s">
        <v>725</v>
      </c>
      <c r="B18" s="117">
        <v>7.5</v>
      </c>
      <c r="C18" s="117">
        <v>600</v>
      </c>
      <c r="D18" s="117">
        <v>1020</v>
      </c>
      <c r="E18" s="117" t="s">
        <v>724</v>
      </c>
      <c r="F18" s="119">
        <v>60500</v>
      </c>
      <c r="G18" s="120">
        <v>99500</v>
      </c>
      <c r="H18" s="114">
        <v>180</v>
      </c>
      <c r="I18" s="114"/>
      <c r="J18" s="114">
        <v>33600</v>
      </c>
      <c r="K18" s="114">
        <v>25800</v>
      </c>
      <c r="L18" s="114">
        <f t="shared" si="8"/>
        <v>60480</v>
      </c>
      <c r="M18" s="114">
        <f t="shared" si="9"/>
        <v>99180</v>
      </c>
      <c r="N18" s="3"/>
      <c r="O18" s="3"/>
      <c r="P18" s="28">
        <f t="shared" si="10"/>
        <v>186.66666666666666</v>
      </c>
      <c r="Q18" s="3">
        <v>54000</v>
      </c>
      <c r="R18" s="28">
        <f t="shared" si="11"/>
        <v>166.66666666666666</v>
      </c>
      <c r="S18" s="115">
        <f t="shared" si="12"/>
        <v>0.12000000000000011</v>
      </c>
      <c r="T18" s="3"/>
      <c r="U18" s="3">
        <v>91000</v>
      </c>
      <c r="V18" s="115">
        <f t="shared" si="13"/>
        <v>9.3406593406593297E-2</v>
      </c>
      <c r="W18" s="3"/>
      <c r="X18" s="3"/>
      <c r="Y18" s="3"/>
      <c r="Z18" s="3"/>
    </row>
    <row r="19" spans="1:26" ht="15.6" customHeight="1" x14ac:dyDescent="0.3">
      <c r="A19" s="116" t="s">
        <v>726</v>
      </c>
      <c r="B19" s="117">
        <v>10</v>
      </c>
      <c r="C19" s="117">
        <v>800</v>
      </c>
      <c r="D19" s="117">
        <v>1360</v>
      </c>
      <c r="E19" s="117" t="s">
        <v>724</v>
      </c>
      <c r="F19" s="119">
        <v>76000</v>
      </c>
      <c r="G19" s="120">
        <v>111000</v>
      </c>
      <c r="H19" s="114">
        <v>190</v>
      </c>
      <c r="I19" s="114"/>
      <c r="J19" s="114">
        <v>39200</v>
      </c>
      <c r="K19" s="114">
        <v>27000</v>
      </c>
      <c r="L19" s="114">
        <f t="shared" si="8"/>
        <v>70560</v>
      </c>
      <c r="M19" s="114">
        <f t="shared" si="9"/>
        <v>111060</v>
      </c>
      <c r="N19" s="3"/>
      <c r="O19" s="3"/>
      <c r="P19" s="28">
        <f t="shared" si="10"/>
        <v>206.31578947368422</v>
      </c>
      <c r="Q19" s="3">
        <v>63000</v>
      </c>
      <c r="R19" s="28">
        <f t="shared" si="11"/>
        <v>184.21052631578948</v>
      </c>
      <c r="S19" s="115">
        <f t="shared" si="12"/>
        <v>0.12000000000000011</v>
      </c>
      <c r="T19" s="3"/>
      <c r="U19" s="3">
        <v>101000</v>
      </c>
      <c r="V19" s="115">
        <f t="shared" si="13"/>
        <v>9.9009900990099098E-2</v>
      </c>
      <c r="W19" s="3"/>
      <c r="X19" s="3"/>
      <c r="Y19" s="3"/>
      <c r="Z19" s="3"/>
    </row>
    <row r="20" spans="1:26" ht="15.6" customHeight="1" x14ac:dyDescent="0.3">
      <c r="A20" s="116" t="s">
        <v>727</v>
      </c>
      <c r="B20" s="117">
        <v>15</v>
      </c>
      <c r="C20" s="117">
        <v>1200</v>
      </c>
      <c r="D20" s="117">
        <v>2040</v>
      </c>
      <c r="E20" s="117" t="s">
        <v>724</v>
      </c>
      <c r="F20" s="121">
        <v>87000</v>
      </c>
      <c r="G20" s="122">
        <v>158000</v>
      </c>
      <c r="H20" s="114">
        <v>200</v>
      </c>
      <c r="I20" s="114"/>
      <c r="J20" s="114">
        <v>44800</v>
      </c>
      <c r="K20" s="114">
        <v>51500</v>
      </c>
      <c r="L20" s="114">
        <f t="shared" si="8"/>
        <v>80640</v>
      </c>
      <c r="M20" s="114">
        <f t="shared" si="9"/>
        <v>157890</v>
      </c>
      <c r="N20" s="3"/>
      <c r="O20" s="3"/>
      <c r="P20" s="28">
        <f t="shared" si="10"/>
        <v>224</v>
      </c>
      <c r="Q20" s="3">
        <v>72000</v>
      </c>
      <c r="R20" s="28">
        <f t="shared" si="11"/>
        <v>200</v>
      </c>
      <c r="S20" s="115">
        <f t="shared" si="12"/>
        <v>0.12000000000000011</v>
      </c>
      <c r="T20" s="3"/>
      <c r="U20" s="3">
        <v>145000</v>
      </c>
      <c r="V20" s="115">
        <f t="shared" si="13"/>
        <v>8.9655172413793061E-2</v>
      </c>
      <c r="W20" s="3"/>
      <c r="X20" s="3"/>
      <c r="Y20" s="3"/>
      <c r="Z20" s="3"/>
    </row>
    <row r="21" spans="1:26" ht="15.75" customHeight="1" x14ac:dyDescent="0.3">
      <c r="A21" s="116" t="s">
        <v>728</v>
      </c>
      <c r="B21" s="117">
        <v>20</v>
      </c>
      <c r="C21" s="117">
        <v>1600</v>
      </c>
      <c r="D21" s="117">
        <v>2730</v>
      </c>
      <c r="E21" s="117" t="s">
        <v>724</v>
      </c>
      <c r="F21" s="121">
        <v>91000</v>
      </c>
      <c r="G21" s="122">
        <v>178000</v>
      </c>
      <c r="H21" s="114">
        <v>210</v>
      </c>
      <c r="I21" s="114"/>
      <c r="J21" s="114">
        <v>50400</v>
      </c>
      <c r="K21" s="114">
        <v>58000</v>
      </c>
      <c r="L21" s="114">
        <f t="shared" si="8"/>
        <v>90720</v>
      </c>
      <c r="M21" s="134">
        <f t="shared" si="9"/>
        <v>177720</v>
      </c>
      <c r="N21" s="3"/>
      <c r="O21" s="3"/>
      <c r="P21" s="28">
        <f t="shared" si="10"/>
        <v>240</v>
      </c>
      <c r="Q21" s="3">
        <v>81000</v>
      </c>
      <c r="R21" s="28">
        <f t="shared" si="11"/>
        <v>214.28571428571428</v>
      </c>
      <c r="S21" s="115">
        <f t="shared" si="12"/>
        <v>0.12000000000000011</v>
      </c>
      <c r="T21" s="3"/>
      <c r="U21" s="3">
        <v>164000</v>
      </c>
      <c r="V21" s="115">
        <f t="shared" si="13"/>
        <v>8.5365853658536661E-2</v>
      </c>
      <c r="W21" s="3"/>
      <c r="X21" s="3"/>
      <c r="Y21" s="3"/>
      <c r="Z21" s="3"/>
    </row>
    <row r="22" spans="1:26" ht="15.75" customHeight="1" x14ac:dyDescent="0.3">
      <c r="A22" s="116" t="s">
        <v>729</v>
      </c>
      <c r="B22" s="117">
        <v>25</v>
      </c>
      <c r="C22" s="117">
        <v>2000</v>
      </c>
      <c r="D22" s="117">
        <v>3400</v>
      </c>
      <c r="E22" s="117" t="s">
        <v>724</v>
      </c>
      <c r="F22" s="121">
        <v>111000</v>
      </c>
      <c r="G22" s="122">
        <v>215000</v>
      </c>
      <c r="H22" s="114">
        <v>220</v>
      </c>
      <c r="I22" s="114"/>
      <c r="J22" s="114">
        <v>61600</v>
      </c>
      <c r="K22" s="114">
        <v>69500</v>
      </c>
      <c r="L22" s="114">
        <f t="shared" si="8"/>
        <v>110880</v>
      </c>
      <c r="M22" s="114">
        <f t="shared" si="9"/>
        <v>215130</v>
      </c>
      <c r="N22" s="3"/>
      <c r="O22" s="3"/>
      <c r="P22" s="28">
        <f t="shared" si="10"/>
        <v>280</v>
      </c>
      <c r="Q22" s="3">
        <v>99000</v>
      </c>
      <c r="R22" s="28">
        <f t="shared" si="11"/>
        <v>250</v>
      </c>
      <c r="S22" s="115">
        <f t="shared" si="12"/>
        <v>0.12000000000000011</v>
      </c>
      <c r="T22" s="3"/>
      <c r="U22" s="3">
        <v>198000</v>
      </c>
      <c r="V22" s="115">
        <f t="shared" si="13"/>
        <v>8.5858585858585856E-2</v>
      </c>
      <c r="W22" s="3"/>
      <c r="X22" s="3"/>
      <c r="Y22" s="3"/>
      <c r="Z22" s="3"/>
    </row>
    <row r="23" spans="1:26" ht="15.75" customHeight="1" x14ac:dyDescent="0.3">
      <c r="A23" s="116" t="s">
        <v>730</v>
      </c>
      <c r="B23" s="117">
        <v>30</v>
      </c>
      <c r="C23" s="117">
        <v>2400</v>
      </c>
      <c r="D23" s="117">
        <v>4000</v>
      </c>
      <c r="E23" s="117" t="s">
        <v>724</v>
      </c>
      <c r="F23" s="121">
        <v>131000</v>
      </c>
      <c r="G23" s="122">
        <v>250000</v>
      </c>
      <c r="H23" s="114">
        <v>275</v>
      </c>
      <c r="I23" s="114"/>
      <c r="J23" s="114">
        <v>72800</v>
      </c>
      <c r="K23" s="114">
        <v>79000</v>
      </c>
      <c r="L23" s="114">
        <f t="shared" si="8"/>
        <v>131040</v>
      </c>
      <c r="M23" s="114">
        <f t="shared" si="9"/>
        <v>249540</v>
      </c>
      <c r="N23" s="3"/>
      <c r="O23" s="3"/>
      <c r="P23" s="28">
        <f t="shared" si="10"/>
        <v>264.72727272727275</v>
      </c>
      <c r="Q23" s="3">
        <v>117000</v>
      </c>
      <c r="R23" s="28">
        <f t="shared" si="11"/>
        <v>236.36363636363637</v>
      </c>
      <c r="S23" s="115">
        <f t="shared" si="12"/>
        <v>0.12000000000000011</v>
      </c>
      <c r="T23" s="3"/>
      <c r="U23" s="3">
        <v>228000</v>
      </c>
      <c r="V23" s="115">
        <f t="shared" si="13"/>
        <v>9.6491228070175517E-2</v>
      </c>
      <c r="W23" s="3"/>
      <c r="X23" s="3"/>
      <c r="Y23" s="3"/>
      <c r="Z23" s="3"/>
    </row>
    <row r="24" spans="1:26" ht="15.75" customHeight="1" x14ac:dyDescent="0.3">
      <c r="A24" s="116" t="s">
        <v>731</v>
      </c>
      <c r="B24" s="117">
        <v>40</v>
      </c>
      <c r="C24" s="117">
        <v>3200</v>
      </c>
      <c r="D24" s="117">
        <v>5200</v>
      </c>
      <c r="E24" s="117" t="s">
        <v>724</v>
      </c>
      <c r="F24" s="121">
        <v>151500</v>
      </c>
      <c r="G24" s="122">
        <v>316500</v>
      </c>
      <c r="H24" s="114">
        <v>330</v>
      </c>
      <c r="I24" s="114"/>
      <c r="J24" s="114">
        <v>84000</v>
      </c>
      <c r="K24" s="114">
        <v>110000</v>
      </c>
      <c r="L24" s="114">
        <f t="shared" si="8"/>
        <v>151200</v>
      </c>
      <c r="M24" s="114">
        <f t="shared" si="9"/>
        <v>316200</v>
      </c>
      <c r="N24" s="3"/>
      <c r="O24" s="3"/>
      <c r="P24" s="28">
        <f t="shared" si="10"/>
        <v>254.54545454545453</v>
      </c>
      <c r="Q24" s="3">
        <v>135000</v>
      </c>
      <c r="R24" s="28">
        <f t="shared" si="11"/>
        <v>227.27272727272728</v>
      </c>
      <c r="S24" s="115">
        <f t="shared" si="12"/>
        <v>0.11999999999999988</v>
      </c>
      <c r="T24" s="3"/>
      <c r="U24" s="3">
        <v>292000</v>
      </c>
      <c r="V24" s="115">
        <f t="shared" si="13"/>
        <v>8.3904109589041154E-2</v>
      </c>
      <c r="W24" s="3"/>
      <c r="X24" s="3"/>
      <c r="Y24" s="3"/>
      <c r="Z24" s="3"/>
    </row>
    <row r="25" spans="1:26" ht="15.75" customHeight="1" x14ac:dyDescent="0.3">
      <c r="A25" s="116" t="s">
        <v>732</v>
      </c>
      <c r="B25" s="117">
        <v>50</v>
      </c>
      <c r="C25" s="117">
        <v>4000</v>
      </c>
      <c r="D25" s="117">
        <v>6500</v>
      </c>
      <c r="E25" s="117" t="s">
        <v>724</v>
      </c>
      <c r="F25" s="135">
        <v>175000</v>
      </c>
      <c r="G25" s="122">
        <v>361000</v>
      </c>
      <c r="H25" s="114">
        <v>370</v>
      </c>
      <c r="I25" s="114"/>
      <c r="J25" s="114">
        <v>96320</v>
      </c>
      <c r="K25" s="114">
        <v>125000</v>
      </c>
      <c r="L25" s="114">
        <f t="shared" si="8"/>
        <v>173376</v>
      </c>
      <c r="M25" s="114">
        <f t="shared" si="9"/>
        <v>360876</v>
      </c>
      <c r="N25" s="3"/>
      <c r="O25" s="3"/>
      <c r="P25" s="28">
        <f t="shared" si="10"/>
        <v>260.32432432432432</v>
      </c>
      <c r="Q25" s="3">
        <v>155000</v>
      </c>
      <c r="R25" s="28">
        <f t="shared" si="11"/>
        <v>232.73273273273273</v>
      </c>
      <c r="S25" s="115">
        <f t="shared" si="12"/>
        <v>0.11855483870967753</v>
      </c>
      <c r="T25" s="3"/>
      <c r="U25" s="3">
        <v>334000</v>
      </c>
      <c r="V25" s="115">
        <f t="shared" si="13"/>
        <v>8.083832335329344E-2</v>
      </c>
      <c r="W25" s="3"/>
      <c r="X25" s="3"/>
      <c r="Y25" s="3"/>
      <c r="Z25" s="3"/>
    </row>
    <row r="26" spans="1:26" ht="15.75" customHeight="1" x14ac:dyDescent="0.3">
      <c r="A26" s="123" t="s">
        <v>733</v>
      </c>
      <c r="B26" s="124">
        <v>60</v>
      </c>
      <c r="C26" s="124">
        <v>4800</v>
      </c>
      <c r="D26" s="124">
        <v>7800</v>
      </c>
      <c r="E26" s="124" t="s">
        <v>724</v>
      </c>
      <c r="F26" s="126">
        <v>198000</v>
      </c>
      <c r="G26" s="127">
        <v>441000</v>
      </c>
      <c r="H26" s="114">
        <v>475</v>
      </c>
      <c r="I26" s="114"/>
      <c r="J26" s="114">
        <v>109760</v>
      </c>
      <c r="K26" s="114">
        <v>162000</v>
      </c>
      <c r="L26" s="114">
        <f t="shared" si="8"/>
        <v>197568</v>
      </c>
      <c r="M26" s="114">
        <f t="shared" si="9"/>
        <v>440568</v>
      </c>
      <c r="N26" s="3"/>
      <c r="O26" s="3"/>
      <c r="P26" s="28">
        <f t="shared" si="10"/>
        <v>231.07368421052632</v>
      </c>
      <c r="Q26" s="3">
        <v>177000</v>
      </c>
      <c r="R26" s="28">
        <f t="shared" si="11"/>
        <v>207.01754385964912</v>
      </c>
      <c r="S26" s="115">
        <f t="shared" si="12"/>
        <v>0.1162033898305086</v>
      </c>
      <c r="T26" s="3"/>
      <c r="U26" s="3">
        <v>417000</v>
      </c>
      <c r="V26" s="115">
        <f t="shared" si="13"/>
        <v>5.755395683453246E-2</v>
      </c>
      <c r="W26" s="3"/>
      <c r="X26" s="3"/>
      <c r="Y26" s="3"/>
      <c r="Z26" s="3"/>
    </row>
    <row r="27" spans="1:26" ht="15.75" customHeight="1" x14ac:dyDescent="0.35">
      <c r="A27" s="136" t="s">
        <v>734</v>
      </c>
      <c r="B27" s="64"/>
      <c r="C27" s="64"/>
      <c r="D27" s="64"/>
      <c r="E27" s="64"/>
      <c r="F27" s="64"/>
      <c r="G27" s="64"/>
      <c r="H27" s="330"/>
      <c r="I27" s="321"/>
      <c r="J27" s="64"/>
      <c r="K27" s="3"/>
      <c r="L27" s="64"/>
      <c r="M27" s="64"/>
      <c r="N27" s="64"/>
      <c r="O27" s="64"/>
      <c r="P27" s="64"/>
      <c r="Q27" s="3"/>
      <c r="R27" s="28"/>
      <c r="S27" s="115"/>
      <c r="T27" s="3"/>
      <c r="U27" s="3"/>
      <c r="V27" s="3"/>
      <c r="W27" s="3"/>
      <c r="X27" s="3"/>
      <c r="Y27" s="3"/>
      <c r="Z27" s="3"/>
    </row>
    <row r="28" spans="1:26" ht="15.75" customHeight="1" x14ac:dyDescent="0.3">
      <c r="A28" s="327" t="s">
        <v>735</v>
      </c>
      <c r="B28" s="321"/>
      <c r="C28" s="321"/>
      <c r="D28" s="321"/>
      <c r="E28" s="321"/>
      <c r="F28" s="321"/>
      <c r="G28" s="321"/>
      <c r="H28" s="321"/>
      <c r="I28" s="321"/>
      <c r="J28" s="321"/>
      <c r="K28" s="321"/>
      <c r="L28" s="64"/>
      <c r="M28" s="64"/>
      <c r="N28" s="64"/>
      <c r="O28" s="64"/>
      <c r="P28" s="64"/>
      <c r="Q28" s="3"/>
      <c r="R28" s="3"/>
      <c r="S28" s="3"/>
      <c r="T28" s="3"/>
      <c r="U28" s="3"/>
      <c r="V28" s="3"/>
      <c r="W28" s="3"/>
      <c r="X28" s="3"/>
      <c r="Y28" s="3"/>
      <c r="Z28" s="3"/>
    </row>
    <row r="29" spans="1:26" ht="15.75" customHeight="1" x14ac:dyDescent="0.3">
      <c r="A29" s="328" t="s">
        <v>736</v>
      </c>
      <c r="B29" s="321"/>
      <c r="C29" s="321"/>
      <c r="D29" s="321"/>
      <c r="E29" s="321"/>
      <c r="F29" s="321"/>
      <c r="G29" s="321"/>
      <c r="H29" s="64"/>
      <c r="I29" s="64"/>
      <c r="J29" s="64"/>
      <c r="K29" s="64"/>
      <c r="L29" s="64"/>
      <c r="M29" s="64"/>
      <c r="N29" s="64"/>
      <c r="O29" s="64"/>
      <c r="P29" s="64"/>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51" t="s">
        <v>737</v>
      </c>
      <c r="B37" s="52"/>
      <c r="C37" s="52"/>
      <c r="D37" s="52"/>
      <c r="E37" s="52"/>
      <c r="F37" s="52"/>
      <c r="G37" s="52"/>
      <c r="H37" s="52"/>
      <c r="I37" s="52"/>
      <c r="J37" s="52"/>
      <c r="K37" s="53"/>
      <c r="L37" s="2" t="s">
        <v>738</v>
      </c>
      <c r="M37" s="3"/>
      <c r="N37" s="3"/>
      <c r="O37" s="3"/>
      <c r="P37" s="3"/>
      <c r="Q37" s="3"/>
      <c r="R37" s="3"/>
      <c r="S37" s="3"/>
      <c r="T37" s="3"/>
      <c r="U37" s="3"/>
      <c r="V37" s="3"/>
      <c r="W37" s="3"/>
      <c r="X37" s="3"/>
      <c r="Y37" s="3"/>
      <c r="Z37" s="3"/>
    </row>
    <row r="38" spans="1:26" ht="15.75" customHeight="1" x14ac:dyDescent="0.3">
      <c r="A38" s="138" t="s">
        <v>637</v>
      </c>
      <c r="B38" s="26" t="s">
        <v>739</v>
      </c>
      <c r="C38" s="26" t="s">
        <v>740</v>
      </c>
      <c r="D38" s="26" t="s">
        <v>741</v>
      </c>
      <c r="E38" s="26" t="s">
        <v>742</v>
      </c>
      <c r="F38" s="26" t="s">
        <v>743</v>
      </c>
      <c r="G38" s="26" t="s">
        <v>744</v>
      </c>
      <c r="H38" s="26" t="s">
        <v>745</v>
      </c>
      <c r="I38" s="26" t="s">
        <v>647</v>
      </c>
      <c r="J38" s="3"/>
      <c r="K38" s="67"/>
      <c r="L38" s="139" t="s">
        <v>637</v>
      </c>
      <c r="M38" s="26" t="s">
        <v>746</v>
      </c>
      <c r="N38" s="26" t="s">
        <v>747</v>
      </c>
      <c r="O38" s="26" t="s">
        <v>748</v>
      </c>
      <c r="P38" s="26" t="s">
        <v>749</v>
      </c>
      <c r="Q38" s="26" t="s">
        <v>750</v>
      </c>
      <c r="R38" s="140" t="s">
        <v>744</v>
      </c>
      <c r="S38" s="26" t="s">
        <v>751</v>
      </c>
      <c r="T38" s="26" t="s">
        <v>647</v>
      </c>
      <c r="U38" s="3"/>
      <c r="V38" s="3"/>
      <c r="W38" s="3"/>
      <c r="X38" s="3"/>
      <c r="Y38" s="3"/>
      <c r="Z38" s="3"/>
    </row>
    <row r="39" spans="1:26" ht="15.75" customHeight="1" x14ac:dyDescent="0.3">
      <c r="A39" s="141" t="s">
        <v>752</v>
      </c>
      <c r="B39" s="26">
        <v>14</v>
      </c>
      <c r="C39" s="26">
        <v>34</v>
      </c>
      <c r="D39" s="26">
        <v>50</v>
      </c>
      <c r="E39" s="26">
        <v>15</v>
      </c>
      <c r="F39" s="26">
        <v>6</v>
      </c>
      <c r="G39" s="26">
        <v>1</v>
      </c>
      <c r="H39" s="26">
        <v>3</v>
      </c>
      <c r="I39" s="66">
        <f t="shared" ref="I39:I45" si="14">K49</f>
        <v>19719.648000000001</v>
      </c>
      <c r="J39" s="3"/>
      <c r="K39" s="67"/>
      <c r="L39" s="142" t="s">
        <v>753</v>
      </c>
      <c r="M39" s="26">
        <v>12</v>
      </c>
      <c r="N39" s="26">
        <v>32</v>
      </c>
      <c r="O39" s="26">
        <v>51</v>
      </c>
      <c r="P39" s="26">
        <v>11</v>
      </c>
      <c r="Q39" s="26">
        <v>3</v>
      </c>
      <c r="R39" s="26">
        <v>1</v>
      </c>
      <c r="S39" s="26">
        <v>3</v>
      </c>
      <c r="T39" s="66">
        <f t="shared" ref="T39:T45" si="15">V49</f>
        <v>18178.524000000001</v>
      </c>
      <c r="U39" s="3"/>
      <c r="V39" s="3"/>
      <c r="W39" s="3"/>
      <c r="X39" s="3"/>
      <c r="Y39" s="3"/>
      <c r="Z39" s="3"/>
    </row>
    <row r="40" spans="1:26" ht="15.75" customHeight="1" x14ac:dyDescent="0.3">
      <c r="A40" s="141" t="s">
        <v>754</v>
      </c>
      <c r="B40" s="26">
        <v>14</v>
      </c>
      <c r="C40" s="26">
        <v>39</v>
      </c>
      <c r="D40" s="26">
        <v>61</v>
      </c>
      <c r="E40" s="26">
        <v>15</v>
      </c>
      <c r="F40" s="26">
        <v>8</v>
      </c>
      <c r="G40" s="26">
        <v>1</v>
      </c>
      <c r="H40" s="26">
        <v>3</v>
      </c>
      <c r="I40" s="66">
        <f t="shared" si="14"/>
        <v>22489.506000000001</v>
      </c>
      <c r="J40" s="3"/>
      <c r="K40" s="67"/>
      <c r="L40" s="142" t="s">
        <v>755</v>
      </c>
      <c r="M40" s="26">
        <v>13</v>
      </c>
      <c r="N40" s="26">
        <v>34</v>
      </c>
      <c r="O40" s="26">
        <v>48</v>
      </c>
      <c r="P40" s="26">
        <v>13</v>
      </c>
      <c r="Q40" s="26">
        <v>3</v>
      </c>
      <c r="R40" s="26">
        <v>1</v>
      </c>
      <c r="S40" s="26">
        <v>3</v>
      </c>
      <c r="T40" s="66">
        <f t="shared" si="15"/>
        <v>17701.959600000002</v>
      </c>
      <c r="U40" s="3"/>
      <c r="V40" s="3"/>
      <c r="W40" s="3"/>
      <c r="X40" s="3"/>
      <c r="Y40" s="3"/>
      <c r="Z40" s="3"/>
    </row>
    <row r="41" spans="1:26" ht="15.75" customHeight="1" x14ac:dyDescent="0.3">
      <c r="A41" s="141" t="s">
        <v>756</v>
      </c>
      <c r="B41" s="26">
        <v>14</v>
      </c>
      <c r="C41" s="26">
        <v>40</v>
      </c>
      <c r="D41" s="26">
        <v>62</v>
      </c>
      <c r="E41" s="26">
        <v>15</v>
      </c>
      <c r="F41" s="26">
        <v>8</v>
      </c>
      <c r="G41" s="26">
        <v>1</v>
      </c>
      <c r="H41" s="26">
        <v>3</v>
      </c>
      <c r="I41" s="66">
        <f t="shared" si="14"/>
        <v>22774.845600000001</v>
      </c>
      <c r="J41" s="3"/>
      <c r="K41" s="67"/>
      <c r="L41" s="142" t="s">
        <v>757</v>
      </c>
      <c r="M41" s="26">
        <v>13</v>
      </c>
      <c r="N41" s="26">
        <v>39</v>
      </c>
      <c r="O41" s="26">
        <v>50</v>
      </c>
      <c r="P41" s="26">
        <v>15</v>
      </c>
      <c r="Q41" s="26">
        <v>3</v>
      </c>
      <c r="R41" s="26">
        <v>1</v>
      </c>
      <c r="S41" s="26">
        <v>3</v>
      </c>
      <c r="T41" s="66">
        <f t="shared" si="15"/>
        <v>18971.409600000003</v>
      </c>
      <c r="U41" s="3"/>
      <c r="V41" s="3"/>
      <c r="W41" s="3"/>
      <c r="X41" s="3"/>
      <c r="Y41" s="3"/>
      <c r="Z41" s="3"/>
    </row>
    <row r="42" spans="1:26" ht="15.75" customHeight="1" x14ac:dyDescent="0.3">
      <c r="A42" s="141" t="s">
        <v>758</v>
      </c>
      <c r="B42" s="26">
        <v>25</v>
      </c>
      <c r="C42" s="26">
        <v>43</v>
      </c>
      <c r="D42" s="26">
        <v>62</v>
      </c>
      <c r="E42" s="26">
        <v>19</v>
      </c>
      <c r="F42" s="26">
        <v>8</v>
      </c>
      <c r="G42" s="26">
        <v>1</v>
      </c>
      <c r="H42" s="26">
        <v>3</v>
      </c>
      <c r="I42" s="66">
        <f t="shared" si="14"/>
        <v>25175.872800000005</v>
      </c>
      <c r="J42" s="3"/>
      <c r="K42" s="67"/>
      <c r="L42" s="142" t="s">
        <v>759</v>
      </c>
      <c r="M42" s="26">
        <v>24</v>
      </c>
      <c r="N42" s="26">
        <v>47</v>
      </c>
      <c r="O42" s="26">
        <v>61</v>
      </c>
      <c r="P42" s="26">
        <v>15</v>
      </c>
      <c r="Q42" s="26">
        <v>4</v>
      </c>
      <c r="R42" s="26">
        <v>1</v>
      </c>
      <c r="S42" s="26">
        <v>3</v>
      </c>
      <c r="T42" s="66">
        <f t="shared" si="15"/>
        <v>23256.323999999997</v>
      </c>
      <c r="U42" s="3"/>
      <c r="V42" s="3"/>
      <c r="W42" s="3"/>
      <c r="X42" s="3"/>
      <c r="Y42" s="3"/>
      <c r="Z42" s="3"/>
    </row>
    <row r="43" spans="1:26" ht="15.75" customHeight="1" x14ac:dyDescent="0.3">
      <c r="A43" s="141" t="s">
        <v>760</v>
      </c>
      <c r="B43" s="26">
        <v>30</v>
      </c>
      <c r="C43" s="26">
        <v>46</v>
      </c>
      <c r="D43" s="26">
        <v>63</v>
      </c>
      <c r="E43" s="26">
        <v>20</v>
      </c>
      <c r="F43" s="26">
        <v>9</v>
      </c>
      <c r="G43" s="26">
        <v>1</v>
      </c>
      <c r="H43" s="26">
        <v>3</v>
      </c>
      <c r="I43" s="66">
        <f t="shared" si="14"/>
        <v>26645.673600000006</v>
      </c>
      <c r="J43" s="3"/>
      <c r="K43" s="67"/>
      <c r="L43" s="142" t="s">
        <v>761</v>
      </c>
      <c r="M43" s="26">
        <v>25</v>
      </c>
      <c r="N43" s="26">
        <v>49</v>
      </c>
      <c r="O43" s="26">
        <v>62</v>
      </c>
      <c r="P43" s="26">
        <v>15</v>
      </c>
      <c r="Q43" s="26">
        <v>4</v>
      </c>
      <c r="R43" s="26">
        <v>1</v>
      </c>
      <c r="S43" s="26">
        <v>3</v>
      </c>
      <c r="T43" s="66">
        <f t="shared" si="15"/>
        <v>23776.646400000001</v>
      </c>
      <c r="U43" s="3"/>
      <c r="V43" s="3"/>
      <c r="W43" s="3"/>
      <c r="X43" s="3"/>
      <c r="Y43" s="3"/>
      <c r="Z43" s="3"/>
    </row>
    <row r="44" spans="1:26" ht="15.75" customHeight="1" x14ac:dyDescent="0.3">
      <c r="A44" s="141" t="s">
        <v>762</v>
      </c>
      <c r="B44" s="26">
        <v>30</v>
      </c>
      <c r="C44" s="26">
        <v>46</v>
      </c>
      <c r="D44" s="26">
        <v>63</v>
      </c>
      <c r="E44" s="26">
        <v>20</v>
      </c>
      <c r="F44" s="26">
        <v>9</v>
      </c>
      <c r="G44" s="26">
        <v>1</v>
      </c>
      <c r="H44" s="26">
        <v>3</v>
      </c>
      <c r="I44" s="66">
        <f t="shared" si="14"/>
        <v>26645.673600000006</v>
      </c>
      <c r="J44" s="3"/>
      <c r="K44" s="67"/>
      <c r="L44" s="142" t="s">
        <v>763</v>
      </c>
      <c r="M44" s="26">
        <v>25</v>
      </c>
      <c r="N44" s="26">
        <v>50</v>
      </c>
      <c r="O44" s="26">
        <v>65</v>
      </c>
      <c r="P44" s="26">
        <v>17</v>
      </c>
      <c r="Q44" s="26">
        <v>4</v>
      </c>
      <c r="R44" s="26">
        <v>1</v>
      </c>
      <c r="S44" s="26">
        <v>3</v>
      </c>
      <c r="T44" s="66">
        <f t="shared" si="15"/>
        <v>24896.43</v>
      </c>
      <c r="U44" s="3"/>
      <c r="V44" s="3"/>
      <c r="W44" s="3"/>
      <c r="X44" s="3"/>
      <c r="Y44" s="3"/>
      <c r="Z44" s="3"/>
    </row>
    <row r="45" spans="1:26" ht="15.75" customHeight="1" x14ac:dyDescent="0.3">
      <c r="A45" s="141" t="s">
        <v>764</v>
      </c>
      <c r="B45" s="26">
        <v>30</v>
      </c>
      <c r="C45" s="26">
        <v>48</v>
      </c>
      <c r="D45" s="26">
        <v>65</v>
      </c>
      <c r="E45" s="26">
        <v>21</v>
      </c>
      <c r="F45" s="26">
        <v>8</v>
      </c>
      <c r="G45" s="26">
        <v>1</v>
      </c>
      <c r="H45" s="26">
        <v>3</v>
      </c>
      <c r="I45" s="66">
        <f t="shared" si="14"/>
        <v>27230.392800000001</v>
      </c>
      <c r="J45" s="3"/>
      <c r="K45" s="67"/>
      <c r="L45" s="142" t="s">
        <v>765</v>
      </c>
      <c r="M45" s="26">
        <v>25</v>
      </c>
      <c r="N45" s="26">
        <v>50</v>
      </c>
      <c r="O45" s="26">
        <v>66</v>
      </c>
      <c r="P45" s="26">
        <v>17</v>
      </c>
      <c r="Q45" s="26">
        <v>4</v>
      </c>
      <c r="R45" s="26">
        <v>1</v>
      </c>
      <c r="S45" s="26">
        <v>3</v>
      </c>
      <c r="T45" s="66">
        <f t="shared" si="15"/>
        <v>24924.650400000002</v>
      </c>
      <c r="U45" s="3"/>
      <c r="V45" s="3"/>
      <c r="W45" s="3"/>
      <c r="X45" s="3"/>
      <c r="Y45" s="3"/>
      <c r="Z45" s="3"/>
    </row>
    <row r="46" spans="1:26" ht="15.75" customHeight="1" x14ac:dyDescent="0.3">
      <c r="A46" s="143"/>
      <c r="B46" s="3"/>
      <c r="C46" s="3"/>
      <c r="D46" s="3"/>
      <c r="E46" s="3"/>
      <c r="F46" s="3"/>
      <c r="G46" s="3"/>
      <c r="H46" s="3"/>
      <c r="I46" s="3"/>
      <c r="J46" s="3"/>
      <c r="K46" s="67"/>
      <c r="L46" s="144"/>
      <c r="M46" s="3"/>
      <c r="N46" s="3"/>
      <c r="O46" s="3"/>
      <c r="P46" s="3"/>
      <c r="Q46" s="3"/>
      <c r="R46" s="145"/>
      <c r="S46" s="3"/>
      <c r="T46" s="3"/>
      <c r="U46" s="3"/>
      <c r="V46" s="3"/>
      <c r="W46" s="3"/>
      <c r="X46" s="3"/>
      <c r="Y46" s="3"/>
      <c r="Z46" s="3"/>
    </row>
    <row r="47" spans="1:26" ht="15.75" customHeight="1" x14ac:dyDescent="0.3">
      <c r="A47" s="143"/>
      <c r="B47" s="3"/>
      <c r="C47" s="3"/>
      <c r="D47" s="3"/>
      <c r="E47" s="3"/>
      <c r="F47" s="3"/>
      <c r="G47" s="3"/>
      <c r="H47" s="3"/>
      <c r="I47" s="3"/>
      <c r="J47" s="3"/>
      <c r="K47" s="67"/>
      <c r="L47" s="144"/>
      <c r="M47" s="3"/>
      <c r="N47" s="3"/>
      <c r="O47" s="3"/>
      <c r="P47" s="3"/>
      <c r="Q47" s="3"/>
      <c r="R47" s="145"/>
      <c r="S47" s="3"/>
      <c r="T47" s="3"/>
      <c r="U47" s="3"/>
      <c r="V47" s="3"/>
      <c r="W47" s="3"/>
      <c r="X47" s="3"/>
      <c r="Y47" s="3"/>
      <c r="Z47" s="3"/>
    </row>
    <row r="48" spans="1:26" ht="15.75" customHeight="1" x14ac:dyDescent="0.3">
      <c r="A48" s="138" t="s">
        <v>637</v>
      </c>
      <c r="B48" s="26" t="s">
        <v>739</v>
      </c>
      <c r="C48" s="26" t="s">
        <v>766</v>
      </c>
      <c r="D48" s="26" t="s">
        <v>767</v>
      </c>
      <c r="E48" s="26" t="s">
        <v>742</v>
      </c>
      <c r="F48" s="26" t="s">
        <v>743</v>
      </c>
      <c r="G48" s="26" t="s">
        <v>744</v>
      </c>
      <c r="H48" s="26" t="s">
        <v>745</v>
      </c>
      <c r="I48" s="76"/>
      <c r="J48" s="76">
        <v>0.3</v>
      </c>
      <c r="K48" s="77">
        <v>0.8</v>
      </c>
      <c r="L48" s="139" t="s">
        <v>637</v>
      </c>
      <c r="M48" s="26" t="s">
        <v>746</v>
      </c>
      <c r="N48" s="26" t="s">
        <v>766</v>
      </c>
      <c r="O48" s="26" t="s">
        <v>768</v>
      </c>
      <c r="P48" s="26" t="s">
        <v>769</v>
      </c>
      <c r="Q48" s="26" t="s">
        <v>750</v>
      </c>
      <c r="R48" s="140" t="s">
        <v>744</v>
      </c>
      <c r="S48" s="26" t="s">
        <v>751</v>
      </c>
      <c r="T48" s="26"/>
      <c r="U48" s="76">
        <v>0.3</v>
      </c>
      <c r="V48" s="76">
        <v>0.8</v>
      </c>
      <c r="W48" s="3"/>
      <c r="X48" s="3"/>
      <c r="Y48" s="3"/>
      <c r="Z48" s="3"/>
    </row>
    <row r="49" spans="1:26" ht="15.75" customHeight="1" x14ac:dyDescent="0.3">
      <c r="A49" s="141" t="s">
        <v>752</v>
      </c>
      <c r="B49" s="26">
        <f>B39*Rates!$C$9</f>
        <v>723.24</v>
      </c>
      <c r="C49" s="26">
        <f>C39*Rates!$C$21</f>
        <v>1697.96</v>
      </c>
      <c r="D49" s="26">
        <f>D39*Rates!$C$19</f>
        <v>3600</v>
      </c>
      <c r="E49" s="26">
        <f>E39*Rates!$C$17</f>
        <v>1155</v>
      </c>
      <c r="F49" s="26">
        <f>F39*Rates!$C$11</f>
        <v>426</v>
      </c>
      <c r="G49" s="26">
        <f>G39*Rates!$C$4</f>
        <v>375</v>
      </c>
      <c r="H49" s="26">
        <f>H39*Rates!$C$6</f>
        <v>450</v>
      </c>
      <c r="I49" s="66">
        <f t="shared" ref="I49:I55" si="16">SUM(B49:H49)</f>
        <v>8427.2000000000007</v>
      </c>
      <c r="J49" s="66">
        <f t="shared" ref="J49:J55" si="17">I49*1.3</f>
        <v>10955.36</v>
      </c>
      <c r="K49" s="79">
        <f t="shared" ref="K49:K55" si="18">J49*1.8</f>
        <v>19719.648000000001</v>
      </c>
      <c r="L49" s="142" t="s">
        <v>753</v>
      </c>
      <c r="M49" s="26">
        <f>M39*Rates!$C$9</f>
        <v>619.91999999999996</v>
      </c>
      <c r="N49" s="26">
        <f>N39*Rates!$C$14</f>
        <v>1591.68</v>
      </c>
      <c r="O49" s="26">
        <f>O39*Rates!$C$19</f>
        <v>3672</v>
      </c>
      <c r="P49" s="26">
        <f>P39*Rates!$C$17</f>
        <v>847</v>
      </c>
      <c r="Q49" s="26">
        <f>Q39*Rates!$C$11</f>
        <v>213</v>
      </c>
      <c r="R49" s="140">
        <f>R39*Rates!$C$4</f>
        <v>375</v>
      </c>
      <c r="S49" s="26">
        <f>S39*Rates!$C$6</f>
        <v>450</v>
      </c>
      <c r="T49" s="66">
        <f t="shared" ref="T49:T55" si="19">SUM(M49:S49)</f>
        <v>7768.6</v>
      </c>
      <c r="U49" s="66">
        <f t="shared" ref="U49:U55" si="20">T49*1.3</f>
        <v>10099.18</v>
      </c>
      <c r="V49" s="66">
        <f t="shared" ref="V49:V55" si="21">U49*1.8</f>
        <v>18178.524000000001</v>
      </c>
      <c r="W49" s="3"/>
      <c r="X49" s="3"/>
      <c r="Y49" s="3"/>
      <c r="Z49" s="3"/>
    </row>
    <row r="50" spans="1:26" ht="15.75" customHeight="1" x14ac:dyDescent="0.3">
      <c r="A50" s="141" t="s">
        <v>754</v>
      </c>
      <c r="B50" s="26">
        <f>B40*Rates!$C$9</f>
        <v>723.24</v>
      </c>
      <c r="C50" s="26">
        <f>C40*Rates!$C$21</f>
        <v>1947.6599999999999</v>
      </c>
      <c r="D50" s="26">
        <f>D40*Rates!$C$19</f>
        <v>4392</v>
      </c>
      <c r="E50" s="26">
        <f>E40*Rates!$C$17</f>
        <v>1155</v>
      </c>
      <c r="F50" s="26">
        <f>F40*Rates!$C$11</f>
        <v>568</v>
      </c>
      <c r="G50" s="26">
        <f>G40*Rates!$C$4</f>
        <v>375</v>
      </c>
      <c r="H50" s="26">
        <f>H40*Rates!$C$6</f>
        <v>450</v>
      </c>
      <c r="I50" s="66">
        <f t="shared" si="16"/>
        <v>9610.9</v>
      </c>
      <c r="J50" s="66">
        <f t="shared" si="17"/>
        <v>12494.17</v>
      </c>
      <c r="K50" s="79">
        <f t="shared" si="18"/>
        <v>22489.506000000001</v>
      </c>
      <c r="L50" s="142" t="s">
        <v>755</v>
      </c>
      <c r="M50" s="26">
        <f>M40*Rates!$C$9</f>
        <v>671.57999999999993</v>
      </c>
      <c r="N50" s="26">
        <f>N40*Rates!$C$14</f>
        <v>1691.16</v>
      </c>
      <c r="O50" s="26">
        <f>O40*Rates!$C$19</f>
        <v>3456</v>
      </c>
      <c r="P50" s="26">
        <f>P40*Rates!$C$17</f>
        <v>1001</v>
      </c>
      <c r="Q50" s="26">
        <f>Q40*Rates!$C$11</f>
        <v>213</v>
      </c>
      <c r="R50" s="140">
        <f>R40*Rates!$C$4</f>
        <v>375</v>
      </c>
      <c r="S50" s="26">
        <f>S40*Rates!C7</f>
        <v>157.19999999999999</v>
      </c>
      <c r="T50" s="66">
        <f t="shared" si="19"/>
        <v>7564.94</v>
      </c>
      <c r="U50" s="66">
        <f t="shared" si="20"/>
        <v>9834.4220000000005</v>
      </c>
      <c r="V50" s="66">
        <f t="shared" si="21"/>
        <v>17701.959600000002</v>
      </c>
      <c r="W50" s="3"/>
      <c r="X50" s="3"/>
      <c r="Y50" s="3"/>
      <c r="Z50" s="3"/>
    </row>
    <row r="51" spans="1:26" ht="15.75" customHeight="1" x14ac:dyDescent="0.3">
      <c r="A51" s="141" t="s">
        <v>756</v>
      </c>
      <c r="B51" s="26">
        <f>B41*Rates!$C$9</f>
        <v>723.24</v>
      </c>
      <c r="C51" s="26">
        <f>C41*Rates!$C$21</f>
        <v>1997.6</v>
      </c>
      <c r="D51" s="26">
        <f>D41*Rates!$C$19</f>
        <v>4464</v>
      </c>
      <c r="E51" s="26">
        <f>E41*Rates!$C$17</f>
        <v>1155</v>
      </c>
      <c r="F51" s="26">
        <f>F41*Rates!$C$11</f>
        <v>568</v>
      </c>
      <c r="G51" s="26">
        <f>G41*Rates!$C$4</f>
        <v>375</v>
      </c>
      <c r="H51" s="26">
        <f>H41*Rates!$C$6</f>
        <v>450</v>
      </c>
      <c r="I51" s="66">
        <f t="shared" si="16"/>
        <v>9732.84</v>
      </c>
      <c r="J51" s="66">
        <f t="shared" si="17"/>
        <v>12652.692000000001</v>
      </c>
      <c r="K51" s="79">
        <f t="shared" si="18"/>
        <v>22774.845600000001</v>
      </c>
      <c r="L51" s="142" t="s">
        <v>757</v>
      </c>
      <c r="M51" s="26">
        <f>M41*Rates!$C$9</f>
        <v>671.57999999999993</v>
      </c>
      <c r="N51" s="26">
        <f>N41*Rates!$C$14</f>
        <v>1939.8600000000001</v>
      </c>
      <c r="O51" s="26">
        <f>O41*Rates!$C$19</f>
        <v>3600</v>
      </c>
      <c r="P51" s="26">
        <f>P41*Rates!$C$17</f>
        <v>1155</v>
      </c>
      <c r="Q51" s="26">
        <f>Q41*Rates!$C$11</f>
        <v>213</v>
      </c>
      <c r="R51" s="140">
        <f>R41*Rates!$C$4</f>
        <v>375</v>
      </c>
      <c r="S51" s="26">
        <f>S41*Rates!C8</f>
        <v>153</v>
      </c>
      <c r="T51" s="66">
        <f t="shared" si="19"/>
        <v>8107.4400000000005</v>
      </c>
      <c r="U51" s="66">
        <f t="shared" si="20"/>
        <v>10539.672</v>
      </c>
      <c r="V51" s="66">
        <f t="shared" si="21"/>
        <v>18971.409600000003</v>
      </c>
      <c r="W51" s="3"/>
      <c r="X51" s="3"/>
      <c r="Y51" s="3"/>
      <c r="Z51" s="3"/>
    </row>
    <row r="52" spans="1:26" ht="15.75" customHeight="1" x14ac:dyDescent="0.3">
      <c r="A52" s="141" t="s">
        <v>758</v>
      </c>
      <c r="B52" s="26">
        <f>B42*Rates!$C$9</f>
        <v>1291.5</v>
      </c>
      <c r="C52" s="26">
        <f>C42*Rates!$C$21</f>
        <v>2147.42</v>
      </c>
      <c r="D52" s="26">
        <f>D42*Rates!$C$19</f>
        <v>4464</v>
      </c>
      <c r="E52" s="26">
        <f>E42*Rates!$C$17</f>
        <v>1463</v>
      </c>
      <c r="F52" s="26">
        <f>F42*Rates!$C$11</f>
        <v>568</v>
      </c>
      <c r="G52" s="26">
        <f>G42*Rates!$C$4</f>
        <v>375</v>
      </c>
      <c r="H52" s="26">
        <f>H42*Rates!$C$6</f>
        <v>450</v>
      </c>
      <c r="I52" s="66">
        <f t="shared" si="16"/>
        <v>10758.92</v>
      </c>
      <c r="J52" s="66">
        <f t="shared" si="17"/>
        <v>13986.596000000001</v>
      </c>
      <c r="K52" s="79">
        <f t="shared" si="18"/>
        <v>25175.872800000005</v>
      </c>
      <c r="L52" s="142" t="s">
        <v>759</v>
      </c>
      <c r="M52" s="26">
        <f>M42*Rates!$C$9</f>
        <v>1239.8399999999999</v>
      </c>
      <c r="N52" s="26">
        <f>N42*Rates!$C$14</f>
        <v>2337.7800000000002</v>
      </c>
      <c r="O52" s="26">
        <f>O42*Rates!$C$19</f>
        <v>4392</v>
      </c>
      <c r="P52" s="26">
        <f>P42*Rates!$C$17</f>
        <v>1155</v>
      </c>
      <c r="Q52" s="26">
        <f>Q42*Rates!$C$11</f>
        <v>284</v>
      </c>
      <c r="R52" s="140">
        <f>R42*Rates!$C$4</f>
        <v>375</v>
      </c>
      <c r="S52" s="26">
        <f>S42*Rates!C9</f>
        <v>154.97999999999999</v>
      </c>
      <c r="T52" s="66">
        <f t="shared" si="19"/>
        <v>9938.5999999999985</v>
      </c>
      <c r="U52" s="66">
        <f t="shared" si="20"/>
        <v>12920.179999999998</v>
      </c>
      <c r="V52" s="66">
        <f t="shared" si="21"/>
        <v>23256.323999999997</v>
      </c>
      <c r="W52" s="3"/>
      <c r="X52" s="3"/>
      <c r="Y52" s="3"/>
      <c r="Z52" s="3"/>
    </row>
    <row r="53" spans="1:26" ht="15.75" customHeight="1" x14ac:dyDescent="0.3">
      <c r="A53" s="141" t="s">
        <v>760</v>
      </c>
      <c r="B53" s="26">
        <f>B43*Rates!$C$9</f>
        <v>1549.8</v>
      </c>
      <c r="C53" s="26">
        <f>C43*Rates!$C$21</f>
        <v>2297.2399999999998</v>
      </c>
      <c r="D53" s="26">
        <f>D43*Rates!$C$19</f>
        <v>4536</v>
      </c>
      <c r="E53" s="26">
        <f>E43*Rates!$C$17</f>
        <v>1540</v>
      </c>
      <c r="F53" s="26">
        <f>F43*Rates!$C$11</f>
        <v>639</v>
      </c>
      <c r="G53" s="26">
        <f>G43*Rates!$C$4</f>
        <v>375</v>
      </c>
      <c r="H53" s="26">
        <f>H43*Rates!$C$6</f>
        <v>450</v>
      </c>
      <c r="I53" s="66">
        <f t="shared" si="16"/>
        <v>11387.04</v>
      </c>
      <c r="J53" s="66">
        <f t="shared" si="17"/>
        <v>14803.152000000002</v>
      </c>
      <c r="K53" s="79">
        <f t="shared" si="18"/>
        <v>26645.673600000006</v>
      </c>
      <c r="L53" s="142" t="s">
        <v>761</v>
      </c>
      <c r="M53" s="26">
        <f>M43*Rates!$C$9</f>
        <v>1291.5</v>
      </c>
      <c r="N53" s="26">
        <f>N43*Rates!$C$14</f>
        <v>2437.2600000000002</v>
      </c>
      <c r="O53" s="26">
        <f>O43*Rates!$C$19</f>
        <v>4464</v>
      </c>
      <c r="P53" s="26">
        <f>P43*Rates!$C$17</f>
        <v>1155</v>
      </c>
      <c r="Q53" s="26">
        <f>Q43*Rates!$C$11</f>
        <v>284</v>
      </c>
      <c r="R53" s="140">
        <f>R43*Rates!$C$4</f>
        <v>375</v>
      </c>
      <c r="S53" s="26">
        <f>S43*Rates!C10</f>
        <v>154.19999999999999</v>
      </c>
      <c r="T53" s="66">
        <f t="shared" si="19"/>
        <v>10160.960000000001</v>
      </c>
      <c r="U53" s="66">
        <f t="shared" si="20"/>
        <v>13209.248000000001</v>
      </c>
      <c r="V53" s="66">
        <f t="shared" si="21"/>
        <v>23776.646400000001</v>
      </c>
      <c r="W53" s="3"/>
      <c r="X53" s="3"/>
      <c r="Y53" s="3"/>
      <c r="Z53" s="3"/>
    </row>
    <row r="54" spans="1:26" ht="15.75" customHeight="1" x14ac:dyDescent="0.3">
      <c r="A54" s="141" t="s">
        <v>762</v>
      </c>
      <c r="B54" s="26">
        <f>B44*Rates!$C$9</f>
        <v>1549.8</v>
      </c>
      <c r="C54" s="26">
        <f>C44*Rates!$C$21</f>
        <v>2297.2399999999998</v>
      </c>
      <c r="D54" s="26">
        <f>D44*Rates!$C$19</f>
        <v>4536</v>
      </c>
      <c r="E54" s="26">
        <f>E44*Rates!$C$17</f>
        <v>1540</v>
      </c>
      <c r="F54" s="26">
        <f>F44*Rates!$C$11</f>
        <v>639</v>
      </c>
      <c r="G54" s="26">
        <f>G44*Rates!$C$4</f>
        <v>375</v>
      </c>
      <c r="H54" s="26">
        <f>H44*Rates!$C$6</f>
        <v>450</v>
      </c>
      <c r="I54" s="66">
        <f t="shared" si="16"/>
        <v>11387.04</v>
      </c>
      <c r="J54" s="66">
        <f t="shared" si="17"/>
        <v>14803.152000000002</v>
      </c>
      <c r="K54" s="79">
        <f t="shared" si="18"/>
        <v>26645.673600000006</v>
      </c>
      <c r="L54" s="142" t="s">
        <v>763</v>
      </c>
      <c r="M54" s="26">
        <f>M44*Rates!$C$9</f>
        <v>1291.5</v>
      </c>
      <c r="N54" s="26">
        <f>N44*Rates!$C$14</f>
        <v>2487</v>
      </c>
      <c r="O54" s="26">
        <f>O44*Rates!$C$19</f>
        <v>4680</v>
      </c>
      <c r="P54" s="26">
        <f>P44*Rates!$C$17</f>
        <v>1309</v>
      </c>
      <c r="Q54" s="26">
        <f>Q44*Rates!$C$11</f>
        <v>284</v>
      </c>
      <c r="R54" s="140">
        <f>R44*Rates!$C$4</f>
        <v>375</v>
      </c>
      <c r="S54" s="26">
        <f>S44*Rates!C11</f>
        <v>213</v>
      </c>
      <c r="T54" s="66">
        <f t="shared" si="19"/>
        <v>10639.5</v>
      </c>
      <c r="U54" s="66">
        <f t="shared" si="20"/>
        <v>13831.35</v>
      </c>
      <c r="V54" s="66">
        <f t="shared" si="21"/>
        <v>24896.43</v>
      </c>
      <c r="W54" s="3"/>
      <c r="X54" s="3"/>
      <c r="Y54" s="3"/>
      <c r="Z54" s="3"/>
    </row>
    <row r="55" spans="1:26" ht="15.75" customHeight="1" x14ac:dyDescent="0.3">
      <c r="A55" s="146" t="s">
        <v>764</v>
      </c>
      <c r="B55" s="37">
        <f>B45*Rates!$C$9</f>
        <v>1549.8</v>
      </c>
      <c r="C55" s="37">
        <f>C45*Rates!$C$21</f>
        <v>2397.12</v>
      </c>
      <c r="D55" s="37">
        <f>D45*Rates!$C$19</f>
        <v>4680</v>
      </c>
      <c r="E55" s="37">
        <f>E45*Rates!$C$17</f>
        <v>1617</v>
      </c>
      <c r="F55" s="37">
        <f>F45*Rates!$C$11</f>
        <v>568</v>
      </c>
      <c r="G55" s="37">
        <f>G45*Rates!$C$4</f>
        <v>375</v>
      </c>
      <c r="H55" s="37">
        <f>H45*Rates!$C$6</f>
        <v>450</v>
      </c>
      <c r="I55" s="80">
        <f t="shared" si="16"/>
        <v>11636.92</v>
      </c>
      <c r="J55" s="80">
        <f t="shared" si="17"/>
        <v>15127.996000000001</v>
      </c>
      <c r="K55" s="81">
        <f t="shared" si="18"/>
        <v>27230.392800000001</v>
      </c>
      <c r="L55" s="142" t="s">
        <v>765</v>
      </c>
      <c r="M55" s="26">
        <f>M45*Rates!$C$9</f>
        <v>1291.5</v>
      </c>
      <c r="N55" s="26">
        <f>N45*Rates!$C$14</f>
        <v>2487</v>
      </c>
      <c r="O55" s="26">
        <f>O45*Rates!$C$19</f>
        <v>4752</v>
      </c>
      <c r="P55" s="26">
        <f>P45*Rates!$C$17</f>
        <v>1309</v>
      </c>
      <c r="Q55" s="26">
        <f>Q45*Rates!$C$11</f>
        <v>284</v>
      </c>
      <c r="R55" s="140">
        <f>R45*Rates!$C$4</f>
        <v>375</v>
      </c>
      <c r="S55" s="26">
        <f>S45*Rates!C12</f>
        <v>153.06</v>
      </c>
      <c r="T55" s="66">
        <f t="shared" si="19"/>
        <v>10651.56</v>
      </c>
      <c r="U55" s="66">
        <f t="shared" si="20"/>
        <v>13847.028</v>
      </c>
      <c r="V55" s="66">
        <f t="shared" si="21"/>
        <v>24924.650400000002</v>
      </c>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147" t="s">
        <v>770</v>
      </c>
      <c r="B57" s="52"/>
      <c r="C57" s="52"/>
      <c r="D57" s="52"/>
      <c r="E57" s="52"/>
      <c r="F57" s="52"/>
      <c r="G57" s="52"/>
      <c r="H57" s="52"/>
      <c r="I57" s="52"/>
      <c r="J57" s="52"/>
      <c r="K57" s="52"/>
      <c r="L57" s="52"/>
      <c r="M57" s="52"/>
      <c r="N57" s="52"/>
      <c r="O57" s="53"/>
      <c r="P57" s="3"/>
      <c r="Q57" s="3"/>
      <c r="R57" s="3"/>
      <c r="S57" s="3"/>
      <c r="T57" s="3"/>
      <c r="U57" s="3"/>
      <c r="V57" s="3"/>
      <c r="W57" s="3"/>
      <c r="X57" s="3"/>
      <c r="Y57" s="3"/>
      <c r="Z57" s="3"/>
    </row>
    <row r="58" spans="1:26" ht="15.75" customHeight="1" x14ac:dyDescent="0.3">
      <c r="A58" s="29" t="s">
        <v>637</v>
      </c>
      <c r="B58" s="26" t="s">
        <v>746</v>
      </c>
      <c r="C58" s="26" t="s">
        <v>771</v>
      </c>
      <c r="D58" s="26" t="s">
        <v>748</v>
      </c>
      <c r="E58" s="26" t="s">
        <v>772</v>
      </c>
      <c r="F58" s="26" t="s">
        <v>750</v>
      </c>
      <c r="G58" s="26" t="s">
        <v>773</v>
      </c>
      <c r="H58" s="26" t="s">
        <v>751</v>
      </c>
      <c r="I58" s="26" t="s">
        <v>774</v>
      </c>
      <c r="J58" s="26" t="s">
        <v>775</v>
      </c>
      <c r="K58" s="26" t="s">
        <v>776</v>
      </c>
      <c r="L58" s="26" t="s">
        <v>777</v>
      </c>
      <c r="M58" s="26" t="s">
        <v>647</v>
      </c>
      <c r="N58" s="3"/>
      <c r="O58" s="67"/>
      <c r="P58" s="3"/>
      <c r="Q58" s="3"/>
      <c r="R58" s="3"/>
      <c r="S58" s="3"/>
      <c r="T58" s="3"/>
      <c r="U58" s="3"/>
      <c r="V58" s="3"/>
      <c r="W58" s="3"/>
      <c r="X58" s="3"/>
      <c r="Y58" s="3"/>
      <c r="Z58" s="3"/>
    </row>
    <row r="59" spans="1:26" ht="15.75" customHeight="1" x14ac:dyDescent="0.3">
      <c r="A59" s="141" t="s">
        <v>778</v>
      </c>
      <c r="B59" s="26">
        <v>42</v>
      </c>
      <c r="C59" s="26">
        <v>106</v>
      </c>
      <c r="D59" s="26">
        <v>70</v>
      </c>
      <c r="E59" s="26">
        <v>17</v>
      </c>
      <c r="F59" s="26">
        <v>4</v>
      </c>
      <c r="G59" s="26">
        <v>1</v>
      </c>
      <c r="H59" s="26">
        <v>3.5</v>
      </c>
      <c r="I59" s="26">
        <v>34</v>
      </c>
      <c r="J59" s="26">
        <v>2</v>
      </c>
      <c r="K59" s="26">
        <v>1</v>
      </c>
      <c r="L59" s="26">
        <v>15</v>
      </c>
      <c r="M59" s="66">
        <f>O67</f>
        <v>103009.98240000001</v>
      </c>
      <c r="N59" s="3"/>
      <c r="O59" s="67"/>
      <c r="P59" s="3"/>
      <c r="Q59" s="3"/>
      <c r="R59" s="3"/>
      <c r="S59" s="3"/>
      <c r="T59" s="3"/>
      <c r="U59" s="3"/>
      <c r="V59" s="3"/>
      <c r="W59" s="3"/>
      <c r="X59" s="3"/>
      <c r="Y59" s="3"/>
      <c r="Z59" s="3"/>
    </row>
    <row r="60" spans="1:26" ht="15.75" customHeight="1" x14ac:dyDescent="0.3">
      <c r="A60" s="141" t="s">
        <v>779</v>
      </c>
      <c r="B60" s="26">
        <v>40</v>
      </c>
      <c r="C60" s="26">
        <v>238</v>
      </c>
      <c r="D60" s="26">
        <v>10</v>
      </c>
      <c r="E60" s="26">
        <v>10</v>
      </c>
      <c r="F60" s="26">
        <v>4</v>
      </c>
      <c r="G60" s="26">
        <v>1</v>
      </c>
      <c r="H60" s="26">
        <v>3.5</v>
      </c>
      <c r="I60" s="26">
        <v>36</v>
      </c>
      <c r="J60" s="26">
        <v>2</v>
      </c>
      <c r="K60" s="26">
        <v>1</v>
      </c>
      <c r="L60" s="26">
        <v>15</v>
      </c>
      <c r="M60" s="66">
        <f>O68</f>
        <v>107085.70079999999</v>
      </c>
      <c r="N60" s="3"/>
      <c r="O60" s="67"/>
      <c r="P60" s="3"/>
      <c r="Q60" s="3"/>
      <c r="R60" s="3"/>
      <c r="S60" s="3"/>
      <c r="T60" s="3"/>
      <c r="U60" s="3"/>
      <c r="V60" s="3"/>
      <c r="W60" s="3"/>
      <c r="X60" s="3"/>
      <c r="Y60" s="3"/>
      <c r="Z60" s="3"/>
    </row>
    <row r="61" spans="1:26" ht="15.75" customHeight="1" x14ac:dyDescent="0.3">
      <c r="A61" s="141" t="s">
        <v>780</v>
      </c>
      <c r="B61" s="26">
        <v>30</v>
      </c>
      <c r="C61" s="26">
        <v>191</v>
      </c>
      <c r="D61" s="26">
        <v>10</v>
      </c>
      <c r="E61" s="26">
        <v>11</v>
      </c>
      <c r="F61" s="26">
        <v>10</v>
      </c>
      <c r="G61" s="26">
        <v>1</v>
      </c>
      <c r="H61" s="26">
        <v>3.5</v>
      </c>
      <c r="I61" s="26">
        <v>38</v>
      </c>
      <c r="J61" s="26">
        <v>2</v>
      </c>
      <c r="K61" s="26"/>
      <c r="L61" s="26">
        <v>47</v>
      </c>
      <c r="M61" s="66">
        <f>O69</f>
        <v>104853.3876</v>
      </c>
      <c r="N61" s="3"/>
      <c r="O61" s="67"/>
      <c r="P61" s="3"/>
      <c r="Q61" s="3"/>
      <c r="R61" s="3"/>
      <c r="S61" s="3"/>
      <c r="T61" s="3"/>
      <c r="U61" s="3"/>
      <c r="V61" s="3"/>
      <c r="W61" s="3"/>
      <c r="X61" s="3"/>
      <c r="Y61" s="3"/>
      <c r="Z61" s="3"/>
    </row>
    <row r="62" spans="1:26" ht="15.75" customHeight="1" x14ac:dyDescent="0.3">
      <c r="A62" s="141" t="s">
        <v>764</v>
      </c>
      <c r="B62" s="26">
        <v>27</v>
      </c>
      <c r="C62" s="26">
        <v>47</v>
      </c>
      <c r="D62" s="26">
        <v>63</v>
      </c>
      <c r="E62" s="26">
        <v>22</v>
      </c>
      <c r="F62" s="26">
        <v>9</v>
      </c>
      <c r="G62" s="26">
        <v>1</v>
      </c>
      <c r="H62" s="26">
        <v>3.5</v>
      </c>
      <c r="I62" s="26">
        <v>33</v>
      </c>
      <c r="J62" s="26">
        <v>2</v>
      </c>
      <c r="K62" s="26"/>
      <c r="L62" s="26">
        <v>35</v>
      </c>
      <c r="M62" s="66">
        <f>O70</f>
        <v>96309.72</v>
      </c>
      <c r="N62" s="3"/>
      <c r="O62" s="67"/>
      <c r="P62" s="3"/>
      <c r="Q62" s="3"/>
      <c r="R62" s="3"/>
      <c r="S62" s="3"/>
      <c r="T62" s="3"/>
      <c r="U62" s="3"/>
      <c r="V62" s="3"/>
      <c r="W62" s="3"/>
      <c r="X62" s="3"/>
      <c r="Y62" s="3"/>
      <c r="Z62" s="3"/>
    </row>
    <row r="63" spans="1:26" ht="15.75" customHeight="1" x14ac:dyDescent="0.3">
      <c r="A63" s="141" t="s">
        <v>781</v>
      </c>
      <c r="B63" s="26">
        <v>30</v>
      </c>
      <c r="C63" s="26">
        <v>60</v>
      </c>
      <c r="D63" s="26">
        <v>97</v>
      </c>
      <c r="E63" s="26">
        <v>23</v>
      </c>
      <c r="F63" s="26">
        <v>9</v>
      </c>
      <c r="G63" s="26">
        <v>1</v>
      </c>
      <c r="H63" s="26">
        <v>3.5</v>
      </c>
      <c r="I63" s="26">
        <v>33</v>
      </c>
      <c r="J63" s="26">
        <v>2</v>
      </c>
      <c r="K63" s="26"/>
      <c r="L63" s="26">
        <v>35</v>
      </c>
      <c r="M63" s="66">
        <f>O71</f>
        <v>104100.04800000001</v>
      </c>
      <c r="N63" s="3"/>
      <c r="O63" s="67"/>
      <c r="P63" s="3"/>
      <c r="Q63" s="3"/>
      <c r="R63" s="3"/>
      <c r="S63" s="3"/>
      <c r="T63" s="3"/>
      <c r="U63" s="3"/>
      <c r="V63" s="3"/>
      <c r="W63" s="3"/>
      <c r="X63" s="3"/>
      <c r="Y63" s="3"/>
      <c r="Z63" s="3"/>
    </row>
    <row r="64" spans="1:26" ht="15.75" customHeight="1" x14ac:dyDescent="0.3">
      <c r="A64" s="143"/>
      <c r="B64" s="3"/>
      <c r="C64" s="3"/>
      <c r="D64" s="3"/>
      <c r="E64" s="3"/>
      <c r="F64" s="3"/>
      <c r="G64" s="3"/>
      <c r="H64" s="3"/>
      <c r="I64" s="3"/>
      <c r="J64" s="3"/>
      <c r="K64" s="3"/>
      <c r="L64" s="3"/>
      <c r="M64" s="3"/>
      <c r="N64" s="3"/>
      <c r="O64" s="67"/>
      <c r="P64" s="3"/>
      <c r="Q64" s="3"/>
      <c r="R64" s="3"/>
      <c r="S64" s="3"/>
      <c r="T64" s="3"/>
      <c r="U64" s="3"/>
      <c r="V64" s="3"/>
      <c r="W64" s="3"/>
      <c r="X64" s="3"/>
      <c r="Y64" s="3"/>
      <c r="Z64" s="3"/>
    </row>
    <row r="65" spans="1:26" ht="15.75" customHeight="1" x14ac:dyDescent="0.3">
      <c r="A65" s="143"/>
      <c r="B65" s="3"/>
      <c r="C65" s="3"/>
      <c r="D65" s="3"/>
      <c r="E65" s="3"/>
      <c r="F65" s="3"/>
      <c r="G65" s="3"/>
      <c r="H65" s="3"/>
      <c r="I65" s="3"/>
      <c r="J65" s="3"/>
      <c r="K65" s="3"/>
      <c r="L65" s="3"/>
      <c r="M65" s="3"/>
      <c r="N65" s="3"/>
      <c r="O65" s="67"/>
      <c r="P65" s="3"/>
      <c r="Q65" s="3"/>
      <c r="R65" s="3"/>
      <c r="S65" s="3"/>
      <c r="T65" s="3"/>
      <c r="U65" s="3"/>
      <c r="V65" s="3"/>
      <c r="W65" s="3"/>
      <c r="X65" s="3"/>
      <c r="Y65" s="3"/>
      <c r="Z65" s="3"/>
    </row>
    <row r="66" spans="1:26" ht="15.75" customHeight="1" x14ac:dyDescent="0.3">
      <c r="A66" s="29" t="s">
        <v>637</v>
      </c>
      <c r="B66" s="26" t="s">
        <v>746</v>
      </c>
      <c r="C66" s="26" t="s">
        <v>771</v>
      </c>
      <c r="D66" s="26" t="s">
        <v>748</v>
      </c>
      <c r="E66" s="26" t="s">
        <v>772</v>
      </c>
      <c r="F66" s="26" t="s">
        <v>750</v>
      </c>
      <c r="G66" s="26" t="s">
        <v>773</v>
      </c>
      <c r="H66" s="26" t="s">
        <v>751</v>
      </c>
      <c r="I66" s="26" t="s">
        <v>774</v>
      </c>
      <c r="J66" s="26" t="s">
        <v>775</v>
      </c>
      <c r="K66" s="26" t="s">
        <v>776</v>
      </c>
      <c r="L66" s="26" t="s">
        <v>777</v>
      </c>
      <c r="M66" s="26" t="s">
        <v>782</v>
      </c>
      <c r="N66" s="76">
        <v>0.3</v>
      </c>
      <c r="O66" s="77">
        <v>0.8</v>
      </c>
      <c r="P66" s="3"/>
      <c r="Q66" s="3"/>
      <c r="R66" s="3"/>
      <c r="S66" s="3"/>
      <c r="T66" s="3"/>
      <c r="U66" s="3"/>
      <c r="V66" s="3"/>
      <c r="W66" s="3"/>
      <c r="X66" s="3"/>
      <c r="Y66" s="3"/>
      <c r="Z66" s="3"/>
    </row>
    <row r="67" spans="1:26" ht="15.75" customHeight="1" x14ac:dyDescent="0.3">
      <c r="A67" s="141" t="s">
        <v>778</v>
      </c>
      <c r="B67" s="26">
        <f>B59*Rates!$C$9</f>
        <v>2169.7199999999998</v>
      </c>
      <c r="C67" s="26">
        <f>C59*Rates!$C$21</f>
        <v>5293.6399999999994</v>
      </c>
      <c r="D67" s="26">
        <f>D59*Rates!$C$19</f>
        <v>5040</v>
      </c>
      <c r="E67" s="26">
        <f>E59*Rates!$C$17</f>
        <v>1309</v>
      </c>
      <c r="F67" s="26">
        <f>F59*Rates!$C$11</f>
        <v>284</v>
      </c>
      <c r="G67" s="26">
        <f>G59*Rates!$C$4</f>
        <v>375</v>
      </c>
      <c r="H67" s="26">
        <f>H59*Rates!$C$6</f>
        <v>525</v>
      </c>
      <c r="I67" s="26">
        <f>I59*Rates!$C$16</f>
        <v>1904</v>
      </c>
      <c r="J67" s="26">
        <f>J59*Rates!$C$25</f>
        <v>26000</v>
      </c>
      <c r="K67" s="26">
        <f>K59*Rates!$C$5</f>
        <v>350</v>
      </c>
      <c r="L67" s="26">
        <f>L59*Rates!$C$24</f>
        <v>771</v>
      </c>
      <c r="M67" s="66">
        <f>SUM(B67:L67)</f>
        <v>44021.36</v>
      </c>
      <c r="N67" s="66">
        <f>M67*1.3</f>
        <v>57227.768000000004</v>
      </c>
      <c r="O67" s="79">
        <f>N67*1.8</f>
        <v>103009.98240000001</v>
      </c>
      <c r="P67" s="3"/>
      <c r="Q67" s="3"/>
      <c r="R67" s="3"/>
      <c r="S67" s="3"/>
      <c r="T67" s="3"/>
      <c r="U67" s="3"/>
      <c r="V67" s="3"/>
      <c r="W67" s="3"/>
      <c r="X67" s="3"/>
      <c r="Y67" s="3"/>
      <c r="Z67" s="3"/>
    </row>
    <row r="68" spans="1:26" ht="15.75" customHeight="1" x14ac:dyDescent="0.3">
      <c r="A68" s="141" t="s">
        <v>779</v>
      </c>
      <c r="B68" s="26">
        <f>B60*Rates!$C$9</f>
        <v>2066.3999999999996</v>
      </c>
      <c r="C68" s="26">
        <f>C60*Rates!$C$21</f>
        <v>11885.72</v>
      </c>
      <c r="D68" s="26">
        <f>D60*Rates!$C$19</f>
        <v>720</v>
      </c>
      <c r="E68" s="26">
        <f>E60*Rates!$C$17</f>
        <v>770</v>
      </c>
      <c r="F68" s="26">
        <f>F60*Rates!$C$11</f>
        <v>284</v>
      </c>
      <c r="G68" s="26">
        <f>G60*Rates!$C$4</f>
        <v>375</v>
      </c>
      <c r="H68" s="26">
        <f>H60*Rates!$C$6</f>
        <v>525</v>
      </c>
      <c r="I68" s="26">
        <f>I60*Rates!$C$16</f>
        <v>2016</v>
      </c>
      <c r="J68" s="26">
        <f>J60*Rates!$C$25</f>
        <v>26000</v>
      </c>
      <c r="K68" s="26">
        <f>K60*Rates!$C$5</f>
        <v>350</v>
      </c>
      <c r="L68" s="26">
        <f>L60*Rates!$C$24</f>
        <v>771</v>
      </c>
      <c r="M68" s="66">
        <f>SUM(B68:L68)</f>
        <v>45763.119999999995</v>
      </c>
      <c r="N68" s="66">
        <f>M68*1.3</f>
        <v>59492.055999999997</v>
      </c>
      <c r="O68" s="79">
        <f>N68*1.8</f>
        <v>107085.70079999999</v>
      </c>
      <c r="P68" s="3"/>
      <c r="Q68" s="3"/>
      <c r="R68" s="3"/>
      <c r="S68" s="3"/>
      <c r="T68" s="3"/>
      <c r="U68" s="3"/>
      <c r="V68" s="3"/>
      <c r="W68" s="3"/>
      <c r="X68" s="3"/>
      <c r="Y68" s="3"/>
      <c r="Z68" s="3"/>
    </row>
    <row r="69" spans="1:26" ht="15.75" customHeight="1" x14ac:dyDescent="0.3">
      <c r="A69" s="141" t="s">
        <v>780</v>
      </c>
      <c r="B69" s="26">
        <f>B61*Rates!$C$9</f>
        <v>1549.8</v>
      </c>
      <c r="C69" s="26">
        <f>C61*Rates!$C$21</f>
        <v>9538.5399999999991</v>
      </c>
      <c r="D69" s="26">
        <f>D61*Rates!$C$19</f>
        <v>720</v>
      </c>
      <c r="E69" s="26">
        <f>E61*Rates!$C$17</f>
        <v>847</v>
      </c>
      <c r="F69" s="26">
        <f>F61*Rates!$C$11</f>
        <v>710</v>
      </c>
      <c r="G69" s="26">
        <f>G61*Rates!$C$4</f>
        <v>375</v>
      </c>
      <c r="H69" s="26">
        <f>H61*Rates!$C$6</f>
        <v>525</v>
      </c>
      <c r="I69" s="26">
        <f>I61*Rates!$C$16</f>
        <v>2128</v>
      </c>
      <c r="J69" s="26">
        <f>J61*Rates!$C$25</f>
        <v>26000</v>
      </c>
      <c r="K69" s="26">
        <f>K61*Rates!$C$5</f>
        <v>0</v>
      </c>
      <c r="L69" s="26">
        <f>L61*Rates!$C$24</f>
        <v>2415.7999999999997</v>
      </c>
      <c r="M69" s="66">
        <f>SUM(B69:L69)</f>
        <v>44809.14</v>
      </c>
      <c r="N69" s="66">
        <f>M69*1.3</f>
        <v>58251.881999999998</v>
      </c>
      <c r="O69" s="79">
        <f>N69*1.8</f>
        <v>104853.3876</v>
      </c>
      <c r="P69" s="3"/>
      <c r="Q69" s="3"/>
      <c r="R69" s="3"/>
      <c r="S69" s="3"/>
      <c r="T69" s="3"/>
      <c r="U69" s="3"/>
      <c r="V69" s="3"/>
      <c r="W69" s="3"/>
      <c r="X69" s="3"/>
      <c r="Y69" s="3"/>
      <c r="Z69" s="3"/>
    </row>
    <row r="70" spans="1:26" ht="15.75" customHeight="1" x14ac:dyDescent="0.3">
      <c r="A70" s="141" t="s">
        <v>764</v>
      </c>
      <c r="B70" s="26">
        <f>B62*Rates!$C$9</f>
        <v>1394.82</v>
      </c>
      <c r="C70" s="26">
        <f>C62*Rates!$C$21</f>
        <v>2347.1799999999998</v>
      </c>
      <c r="D70" s="26">
        <f>D62*Rates!$C$19</f>
        <v>4536</v>
      </c>
      <c r="E70" s="26">
        <f>E62*Rates!$C$17</f>
        <v>1694</v>
      </c>
      <c r="F70" s="26">
        <f>F62*Rates!$C$11</f>
        <v>639</v>
      </c>
      <c r="G70" s="26">
        <f>G62*Rates!$C$4</f>
        <v>375</v>
      </c>
      <c r="H70" s="26">
        <f>H62*Rates!$C$6</f>
        <v>525</v>
      </c>
      <c r="I70" s="26">
        <f>I62*Rates!$C$16</f>
        <v>1848</v>
      </c>
      <c r="J70" s="26">
        <f>J62*Rates!$C$25</f>
        <v>26000</v>
      </c>
      <c r="K70" s="26">
        <f>K62*Rates!$C$5</f>
        <v>0</v>
      </c>
      <c r="L70" s="26">
        <f>L62*Rates!$C$24</f>
        <v>1799</v>
      </c>
      <c r="M70" s="66">
        <f>SUM(B70:L70)</f>
        <v>41158</v>
      </c>
      <c r="N70" s="66">
        <f>M70*1.3</f>
        <v>53505.4</v>
      </c>
      <c r="O70" s="79">
        <f>N70*1.8</f>
        <v>96309.72</v>
      </c>
      <c r="P70" s="3"/>
      <c r="Q70" s="3"/>
      <c r="R70" s="3"/>
      <c r="S70" s="3"/>
      <c r="T70" s="3"/>
      <c r="U70" s="3"/>
      <c r="V70" s="3"/>
      <c r="W70" s="3"/>
      <c r="X70" s="3"/>
      <c r="Y70" s="3"/>
      <c r="Z70" s="3"/>
    </row>
    <row r="71" spans="1:26" ht="15.75" customHeight="1" x14ac:dyDescent="0.3">
      <c r="A71" s="146" t="s">
        <v>781</v>
      </c>
      <c r="B71" s="37">
        <f>B63*Rates!$C$9</f>
        <v>1549.8</v>
      </c>
      <c r="C71" s="37">
        <f>C63*Rates!$C$21</f>
        <v>2996.3999999999996</v>
      </c>
      <c r="D71" s="37">
        <f>D63*Rates!$C$19</f>
        <v>6984</v>
      </c>
      <c r="E71" s="37">
        <f>E63*Rates!$C$17</f>
        <v>1771</v>
      </c>
      <c r="F71" s="37">
        <f>F63*Rates!$C$11</f>
        <v>639</v>
      </c>
      <c r="G71" s="37">
        <f>G63*Rates!$C$4</f>
        <v>375</v>
      </c>
      <c r="H71" s="37">
        <f>H63*Rates!$C$6</f>
        <v>525</v>
      </c>
      <c r="I71" s="37">
        <f>I63*Rates!$C$16</f>
        <v>1848</v>
      </c>
      <c r="J71" s="37">
        <f>J63*Rates!$C$25</f>
        <v>26000</v>
      </c>
      <c r="K71" s="37">
        <f>K63*Rates!$C$5</f>
        <v>0</v>
      </c>
      <c r="L71" s="37">
        <f>L63*Rates!$C$24</f>
        <v>1799</v>
      </c>
      <c r="M71" s="80">
        <f>SUM(B71:L71)</f>
        <v>44487.199999999997</v>
      </c>
      <c r="N71" s="80">
        <f>M71*1.3</f>
        <v>57833.36</v>
      </c>
      <c r="O71" s="81">
        <f>N71*1.8</f>
        <v>104100.04800000001</v>
      </c>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G2"/>
    <mergeCell ref="A28:K28"/>
    <mergeCell ref="A29:G29"/>
    <mergeCell ref="A1:K1"/>
    <mergeCell ref="H27:I27"/>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FL1000"/>
  <sheetViews>
    <sheetView workbookViewId="0">
      <pane xSplit="1" ySplit="2" topLeftCell="AQ3" activePane="bottomRight" state="frozen"/>
      <selection pane="topRight" activeCell="B1" sqref="B1"/>
      <selection pane="bottomLeft" activeCell="A3" sqref="A3"/>
      <selection pane="bottomRight" activeCell="BB5" sqref="BB5"/>
    </sheetView>
  </sheetViews>
  <sheetFormatPr defaultColWidth="14.44140625" defaultRowHeight="15" customHeight="1" x14ac:dyDescent="0.3"/>
  <cols>
    <col min="1" max="1" width="5.5546875" customWidth="1"/>
    <col min="2" max="2" width="31.88671875" customWidth="1"/>
    <col min="3" max="3" width="5" customWidth="1"/>
    <col min="4" max="4" width="4.88671875" customWidth="1"/>
    <col min="5" max="5" width="6.44140625" customWidth="1"/>
    <col min="6" max="6" width="8.109375" customWidth="1"/>
    <col min="7" max="7" width="5" customWidth="1"/>
    <col min="8" max="8" width="4.88671875" customWidth="1"/>
    <col min="9" max="9" width="5.88671875" customWidth="1"/>
    <col min="10" max="10" width="8.109375" customWidth="1"/>
    <col min="11" max="11" width="4.6640625" customWidth="1"/>
    <col min="12" max="12" width="4.88671875" customWidth="1"/>
    <col min="13" max="13" width="9" customWidth="1"/>
    <col min="14" max="14" width="8.109375" customWidth="1"/>
    <col min="15" max="15" width="10" customWidth="1"/>
    <col min="16" max="16" width="2" customWidth="1"/>
    <col min="17" max="17" width="5.5546875" customWidth="1"/>
    <col min="18" max="18" width="31.88671875" customWidth="1"/>
    <col min="19" max="19" width="5" customWidth="1"/>
    <col min="20" max="20" width="4.88671875" customWidth="1"/>
    <col min="21" max="21" width="6.5546875" customWidth="1"/>
    <col min="22" max="22" width="8.109375" customWidth="1"/>
    <col min="23" max="23" width="5" customWidth="1"/>
    <col min="24" max="24" width="4.88671875" customWidth="1"/>
    <col min="25" max="25" width="6.109375" customWidth="1"/>
    <col min="26" max="26" width="8.109375" customWidth="1"/>
    <col min="27" max="27" width="5" customWidth="1"/>
    <col min="28" max="28" width="4.88671875" customWidth="1"/>
    <col min="29" max="29" width="6.44140625" customWidth="1"/>
    <col min="30" max="30" width="8.109375" customWidth="1"/>
    <col min="31" max="31" width="12.109375" customWidth="1"/>
    <col min="32" max="32" width="3" customWidth="1"/>
    <col min="33" max="33" width="5.5546875" customWidth="1"/>
    <col min="34" max="34" width="31.88671875" customWidth="1"/>
    <col min="35" max="35" width="5" customWidth="1"/>
    <col min="36" max="36" width="4.88671875" customWidth="1"/>
    <col min="37" max="37" width="6.44140625" customWidth="1"/>
    <col min="38" max="38" width="8.109375" customWidth="1"/>
    <col min="39" max="39" width="5" customWidth="1"/>
    <col min="40" max="40" width="4.88671875" customWidth="1"/>
    <col min="41" max="41" width="6.44140625" customWidth="1"/>
    <col min="42" max="42" width="8.109375" customWidth="1"/>
    <col min="43" max="43" width="5" customWidth="1"/>
    <col min="44" max="44" width="4.88671875" customWidth="1"/>
    <col min="45" max="45" width="7" customWidth="1"/>
    <col min="46" max="46" width="8.109375" customWidth="1"/>
    <col min="47" max="47" width="13" customWidth="1"/>
    <col min="48" max="48" width="3.109375" customWidth="1"/>
    <col min="49" max="49" width="5.5546875" customWidth="1"/>
    <col min="50" max="50" width="31.88671875" customWidth="1"/>
    <col min="51" max="51" width="5" customWidth="1"/>
    <col min="52" max="52" width="4.88671875" customWidth="1"/>
    <col min="53" max="53" width="7" customWidth="1"/>
    <col min="54" max="54" width="8.109375" customWidth="1"/>
    <col min="55" max="55" width="5" customWidth="1"/>
    <col min="56" max="56" width="4.88671875" customWidth="1"/>
    <col min="57" max="57" width="7.88671875" customWidth="1"/>
    <col min="58" max="58" width="8.109375" customWidth="1"/>
    <col min="59" max="59" width="5" customWidth="1"/>
    <col min="60" max="60" width="4.88671875" customWidth="1"/>
    <col min="61" max="61" width="6.5546875" customWidth="1"/>
    <col min="62" max="62" width="8.109375" customWidth="1"/>
    <col min="63" max="63" width="11.88671875" customWidth="1"/>
    <col min="64" max="64" width="2.88671875" customWidth="1"/>
    <col min="65" max="65" width="5.5546875" customWidth="1"/>
    <col min="66" max="66" width="31.88671875" customWidth="1"/>
    <col min="67" max="67" width="5" customWidth="1"/>
    <col min="68" max="68" width="4.88671875" customWidth="1"/>
    <col min="69" max="69" width="5.5546875" customWidth="1"/>
    <col min="70" max="70" width="8.109375" customWidth="1"/>
    <col min="71" max="71" width="5" customWidth="1"/>
    <col min="72" max="72" width="4.88671875" customWidth="1"/>
    <col min="73" max="73" width="5.5546875" customWidth="1"/>
    <col min="74" max="74" width="8.109375" customWidth="1"/>
    <col min="75" max="75" width="5" customWidth="1"/>
    <col min="76" max="76" width="4.88671875" customWidth="1"/>
    <col min="77" max="77" width="7.33203125" customWidth="1"/>
    <col min="78" max="78" width="8.109375" customWidth="1"/>
    <col min="79" max="79" width="12.5546875" customWidth="1"/>
    <col min="80" max="80" width="2.88671875" customWidth="1"/>
    <col min="81" max="81" width="5.5546875" customWidth="1"/>
    <col min="82" max="82" width="31.88671875" customWidth="1"/>
    <col min="83" max="83" width="5" customWidth="1"/>
    <col min="84" max="84" width="4.88671875" customWidth="1"/>
    <col min="85" max="85" width="5.5546875" customWidth="1"/>
    <col min="86" max="86" width="8.109375" customWidth="1"/>
    <col min="87" max="87" width="5" customWidth="1"/>
    <col min="88" max="88" width="4.88671875" customWidth="1"/>
    <col min="89" max="89" width="5.5546875" customWidth="1"/>
    <col min="90" max="90" width="8.109375" customWidth="1"/>
    <col min="91" max="91" width="5" customWidth="1"/>
    <col min="92" max="92" width="4.88671875" customWidth="1"/>
    <col min="93" max="93" width="5.5546875" customWidth="1"/>
    <col min="94" max="94" width="8.109375" customWidth="1"/>
    <col min="95" max="95" width="14.33203125" customWidth="1"/>
    <col min="96" max="96" width="2.44140625" customWidth="1"/>
    <col min="97" max="97" width="5.5546875" customWidth="1"/>
    <col min="98" max="98" width="31.88671875" customWidth="1"/>
    <col min="99" max="99" width="5" customWidth="1"/>
    <col min="100" max="100" width="4.88671875" customWidth="1"/>
    <col min="101" max="101" width="5.5546875" customWidth="1"/>
    <col min="102" max="102" width="8.109375" customWidth="1"/>
    <col min="103" max="103" width="5" customWidth="1"/>
    <col min="104" max="104" width="4.88671875" customWidth="1"/>
    <col min="105" max="105" width="5.5546875" customWidth="1"/>
    <col min="106" max="106" width="8.109375" customWidth="1"/>
    <col min="107" max="107" width="5" customWidth="1"/>
    <col min="108" max="108" width="4.88671875" customWidth="1"/>
    <col min="109" max="109" width="5.5546875" customWidth="1"/>
    <col min="110" max="110" width="8.109375" customWidth="1"/>
    <col min="111" max="111" width="8.6640625" customWidth="1"/>
    <col min="112" max="112" width="5.5546875" customWidth="1"/>
    <col min="113" max="113" width="32.88671875" customWidth="1"/>
    <col min="114" max="114" width="5" customWidth="1"/>
    <col min="115" max="115" width="4.88671875" customWidth="1"/>
    <col min="116" max="116" width="5.5546875" customWidth="1"/>
    <col min="117" max="117" width="8.109375" customWidth="1"/>
    <col min="118" max="118" width="5" customWidth="1"/>
    <col min="119" max="119" width="4.88671875" customWidth="1"/>
    <col min="120" max="120" width="5.5546875" customWidth="1"/>
    <col min="121" max="121" width="9" customWidth="1"/>
    <col min="122" max="122" width="5" customWidth="1"/>
    <col min="123" max="123" width="4.88671875" customWidth="1"/>
    <col min="124" max="124" width="6.5546875" customWidth="1"/>
    <col min="125" max="125" width="8.109375" customWidth="1"/>
    <col min="126" max="126" width="13.88671875" customWidth="1"/>
    <col min="127" max="127" width="2.5546875" customWidth="1"/>
    <col min="128" max="128" width="5.5546875" customWidth="1"/>
    <col min="129" max="129" width="32.88671875" customWidth="1"/>
    <col min="130" max="130" width="5" customWidth="1"/>
    <col min="131" max="131" width="4.88671875" customWidth="1"/>
    <col min="132" max="132" width="5.5546875" customWidth="1"/>
    <col min="133" max="133" width="8.109375" customWidth="1"/>
    <col min="134" max="134" width="6" customWidth="1"/>
    <col min="135" max="135" width="4.88671875" customWidth="1"/>
    <col min="136" max="136" width="6.33203125" customWidth="1"/>
    <col min="137" max="137" width="9" customWidth="1"/>
    <col min="138" max="138" width="5" customWidth="1"/>
    <col min="139" max="139" width="4.88671875" customWidth="1"/>
    <col min="140" max="140" width="7.5546875" customWidth="1"/>
    <col min="141" max="141" width="8.109375" customWidth="1"/>
    <col min="142" max="142" width="12.44140625" customWidth="1"/>
    <col min="143" max="143" width="3" customWidth="1"/>
    <col min="144" max="144" width="5.5546875" customWidth="1"/>
    <col min="145" max="145" width="32.88671875" customWidth="1"/>
    <col min="146" max="146" width="5" customWidth="1"/>
    <col min="147" max="147" width="4.88671875" customWidth="1"/>
    <col min="148" max="148" width="7.33203125" customWidth="1"/>
    <col min="149" max="149" width="8.109375" customWidth="1"/>
    <col min="150" max="150" width="5" customWidth="1"/>
    <col min="151" max="151" width="4.88671875" customWidth="1"/>
    <col min="152" max="152" width="6.6640625" customWidth="1"/>
    <col min="153" max="153" width="8.109375" customWidth="1"/>
    <col min="154" max="154" width="5" customWidth="1"/>
    <col min="155" max="155" width="4.88671875" customWidth="1"/>
    <col min="156" max="156" width="8" customWidth="1"/>
    <col min="157" max="157" width="8.109375" customWidth="1"/>
    <col min="158" max="158" width="15.33203125" customWidth="1"/>
    <col min="159" max="160" width="8.6640625" customWidth="1"/>
    <col min="161" max="168" width="11.6640625" customWidth="1"/>
  </cols>
  <sheetData>
    <row r="1" spans="1:168" ht="14.4" customHeight="1" x14ac:dyDescent="0.3">
      <c r="A1" s="334" t="s">
        <v>783</v>
      </c>
      <c r="B1" s="309"/>
      <c r="C1" s="309"/>
      <c r="D1" s="309"/>
      <c r="E1" s="309"/>
      <c r="F1" s="309"/>
      <c r="G1" s="309"/>
      <c r="H1" s="309"/>
      <c r="I1" s="309"/>
      <c r="J1" s="309"/>
      <c r="K1" s="309"/>
      <c r="L1" s="309"/>
      <c r="M1" s="309"/>
      <c r="N1" s="309"/>
      <c r="O1" s="310"/>
      <c r="Q1" s="334" t="s">
        <v>784</v>
      </c>
      <c r="R1" s="309"/>
      <c r="S1" s="309"/>
      <c r="T1" s="309"/>
      <c r="U1" s="309"/>
      <c r="V1" s="309"/>
      <c r="W1" s="309"/>
      <c r="X1" s="309"/>
      <c r="Y1" s="309"/>
      <c r="Z1" s="309"/>
      <c r="AA1" s="309"/>
      <c r="AB1" s="309"/>
      <c r="AC1" s="309"/>
      <c r="AD1" s="309"/>
      <c r="AE1" s="310"/>
      <c r="AG1" s="334" t="s">
        <v>785</v>
      </c>
      <c r="AH1" s="309"/>
      <c r="AI1" s="309"/>
      <c r="AJ1" s="309"/>
      <c r="AK1" s="309"/>
      <c r="AL1" s="309"/>
      <c r="AM1" s="309"/>
      <c r="AN1" s="309"/>
      <c r="AO1" s="309"/>
      <c r="AP1" s="309"/>
      <c r="AQ1" s="309"/>
      <c r="AR1" s="309"/>
      <c r="AS1" s="309"/>
      <c r="AT1" s="309"/>
      <c r="AU1" s="310"/>
      <c r="AW1" s="334" t="s">
        <v>786</v>
      </c>
      <c r="AX1" s="309"/>
      <c r="AY1" s="309"/>
      <c r="AZ1" s="309"/>
      <c r="BA1" s="309"/>
      <c r="BB1" s="309"/>
      <c r="BC1" s="309"/>
      <c r="BD1" s="309"/>
      <c r="BE1" s="309"/>
      <c r="BF1" s="309"/>
      <c r="BG1" s="309"/>
      <c r="BH1" s="309"/>
      <c r="BI1" s="309"/>
      <c r="BJ1" s="309"/>
      <c r="BK1" s="310"/>
      <c r="BM1" s="335" t="s">
        <v>787</v>
      </c>
      <c r="BN1" s="309"/>
      <c r="BO1" s="309"/>
      <c r="BP1" s="309"/>
      <c r="BQ1" s="309"/>
      <c r="BR1" s="309"/>
      <c r="BS1" s="309"/>
      <c r="BT1" s="309"/>
      <c r="BU1" s="309"/>
      <c r="BV1" s="309"/>
      <c r="BW1" s="309"/>
      <c r="BX1" s="309"/>
      <c r="BY1" s="309"/>
      <c r="BZ1" s="309"/>
      <c r="CA1" s="148"/>
      <c r="CC1" s="334" t="s">
        <v>788</v>
      </c>
      <c r="CD1" s="309"/>
      <c r="CE1" s="309"/>
      <c r="CF1" s="309"/>
      <c r="CG1" s="309"/>
      <c r="CH1" s="309"/>
      <c r="CI1" s="309"/>
      <c r="CJ1" s="309"/>
      <c r="CK1" s="309"/>
      <c r="CL1" s="309"/>
      <c r="CM1" s="309"/>
      <c r="CN1" s="309"/>
      <c r="CO1" s="309"/>
      <c r="CP1" s="309"/>
      <c r="CQ1" s="310"/>
      <c r="CS1" s="334" t="s">
        <v>789</v>
      </c>
      <c r="CT1" s="309"/>
      <c r="CU1" s="309"/>
      <c r="CV1" s="309"/>
      <c r="CW1" s="309"/>
      <c r="CX1" s="309"/>
      <c r="CY1" s="309"/>
      <c r="CZ1" s="309"/>
      <c r="DA1" s="309"/>
      <c r="DB1" s="309"/>
      <c r="DC1" s="309"/>
      <c r="DD1" s="309"/>
      <c r="DE1" s="309"/>
      <c r="DF1" s="309"/>
      <c r="DG1" s="310"/>
      <c r="DH1" s="334" t="s">
        <v>790</v>
      </c>
      <c r="DI1" s="309"/>
      <c r="DJ1" s="309"/>
      <c r="DK1" s="309"/>
      <c r="DL1" s="309"/>
      <c r="DM1" s="309"/>
      <c r="DN1" s="309"/>
      <c r="DO1" s="309"/>
      <c r="DP1" s="309"/>
      <c r="DQ1" s="309"/>
      <c r="DR1" s="309"/>
      <c r="DS1" s="309"/>
      <c r="DT1" s="309"/>
      <c r="DU1" s="309"/>
      <c r="DV1" s="310"/>
      <c r="DX1" s="334" t="s">
        <v>791</v>
      </c>
      <c r="DY1" s="309"/>
      <c r="DZ1" s="309"/>
      <c r="EA1" s="309"/>
      <c r="EB1" s="309"/>
      <c r="EC1" s="309"/>
      <c r="ED1" s="309"/>
      <c r="EE1" s="309"/>
      <c r="EF1" s="309"/>
      <c r="EG1" s="309"/>
      <c r="EH1" s="309"/>
      <c r="EI1" s="309"/>
      <c r="EJ1" s="309"/>
      <c r="EK1" s="309"/>
      <c r="EL1" s="310"/>
      <c r="EN1" s="334" t="s">
        <v>792</v>
      </c>
      <c r="EO1" s="309"/>
      <c r="EP1" s="309"/>
      <c r="EQ1" s="309"/>
      <c r="ER1" s="309"/>
      <c r="ES1" s="309"/>
      <c r="ET1" s="309"/>
      <c r="EU1" s="309"/>
      <c r="EV1" s="309"/>
      <c r="EW1" s="309"/>
      <c r="EX1" s="309"/>
      <c r="EY1" s="309"/>
      <c r="EZ1" s="309"/>
      <c r="FA1" s="309"/>
      <c r="FB1" s="310"/>
    </row>
    <row r="2" spans="1:168" ht="14.4" customHeight="1" x14ac:dyDescent="0.3">
      <c r="A2" s="32" t="s">
        <v>793</v>
      </c>
      <c r="B2" s="32"/>
      <c r="C2" s="32"/>
      <c r="D2" s="32"/>
      <c r="E2" s="32"/>
      <c r="F2" s="32"/>
      <c r="G2" s="34" t="s">
        <v>794</v>
      </c>
      <c r="H2" s="34"/>
      <c r="I2" s="34"/>
      <c r="J2" s="34"/>
      <c r="K2" s="34" t="s">
        <v>795</v>
      </c>
      <c r="L2" s="34"/>
      <c r="M2" s="34"/>
      <c r="N2" s="34"/>
      <c r="O2" s="30"/>
      <c r="Q2" s="331" t="s">
        <v>793</v>
      </c>
      <c r="R2" s="309"/>
      <c r="S2" s="309"/>
      <c r="T2" s="309"/>
      <c r="U2" s="309"/>
      <c r="V2" s="310"/>
      <c r="W2" s="331" t="s">
        <v>794</v>
      </c>
      <c r="X2" s="309"/>
      <c r="Y2" s="309"/>
      <c r="Z2" s="310"/>
      <c r="AA2" s="331" t="s">
        <v>795</v>
      </c>
      <c r="AB2" s="309"/>
      <c r="AC2" s="309"/>
      <c r="AD2" s="310"/>
      <c r="AE2" s="26"/>
      <c r="AG2" s="331" t="s">
        <v>793</v>
      </c>
      <c r="AH2" s="309"/>
      <c r="AI2" s="309"/>
      <c r="AJ2" s="309"/>
      <c r="AK2" s="309"/>
      <c r="AL2" s="310"/>
      <c r="AM2" s="331" t="s">
        <v>794</v>
      </c>
      <c r="AN2" s="309"/>
      <c r="AO2" s="309"/>
      <c r="AP2" s="310"/>
      <c r="AQ2" s="331" t="s">
        <v>795</v>
      </c>
      <c r="AR2" s="309"/>
      <c r="AS2" s="309"/>
      <c r="AT2" s="310"/>
      <c r="AU2" s="26"/>
      <c r="AW2" s="331" t="s">
        <v>793</v>
      </c>
      <c r="AX2" s="309"/>
      <c r="AY2" s="309"/>
      <c r="AZ2" s="309"/>
      <c r="BA2" s="309"/>
      <c r="BB2" s="310"/>
      <c r="BC2" s="331" t="s">
        <v>794</v>
      </c>
      <c r="BD2" s="309"/>
      <c r="BE2" s="309"/>
      <c r="BF2" s="310"/>
      <c r="BG2" s="331" t="s">
        <v>795</v>
      </c>
      <c r="BH2" s="309"/>
      <c r="BI2" s="309"/>
      <c r="BJ2" s="310"/>
      <c r="BK2" s="26"/>
      <c r="BM2" s="331" t="s">
        <v>793</v>
      </c>
      <c r="BN2" s="309"/>
      <c r="BO2" s="309"/>
      <c r="BP2" s="309"/>
      <c r="BQ2" s="309"/>
      <c r="BR2" s="310"/>
      <c r="BS2" s="331" t="s">
        <v>794</v>
      </c>
      <c r="BT2" s="309"/>
      <c r="BU2" s="309"/>
      <c r="BV2" s="310"/>
      <c r="BW2" s="331" t="s">
        <v>795</v>
      </c>
      <c r="BX2" s="309"/>
      <c r="BY2" s="309"/>
      <c r="BZ2" s="310"/>
      <c r="CA2" s="26"/>
      <c r="CC2" s="331" t="s">
        <v>793</v>
      </c>
      <c r="CD2" s="309"/>
      <c r="CE2" s="309"/>
      <c r="CF2" s="309"/>
      <c r="CG2" s="309"/>
      <c r="CH2" s="310"/>
      <c r="CI2" s="331" t="s">
        <v>794</v>
      </c>
      <c r="CJ2" s="309"/>
      <c r="CK2" s="309"/>
      <c r="CL2" s="310"/>
      <c r="CM2" s="331" t="s">
        <v>795</v>
      </c>
      <c r="CN2" s="309"/>
      <c r="CO2" s="309"/>
      <c r="CP2" s="310"/>
      <c r="CQ2" s="26"/>
      <c r="CS2" s="331" t="s">
        <v>793</v>
      </c>
      <c r="CT2" s="309"/>
      <c r="CU2" s="309"/>
      <c r="CV2" s="309"/>
      <c r="CW2" s="309"/>
      <c r="CX2" s="310"/>
      <c r="CY2" s="331" t="s">
        <v>794</v>
      </c>
      <c r="CZ2" s="309"/>
      <c r="DA2" s="309"/>
      <c r="DB2" s="310"/>
      <c r="DC2" s="331" t="s">
        <v>795</v>
      </c>
      <c r="DD2" s="309"/>
      <c r="DE2" s="309"/>
      <c r="DF2" s="310"/>
      <c r="DG2" s="26"/>
      <c r="DH2" s="331" t="s">
        <v>793</v>
      </c>
      <c r="DI2" s="309"/>
      <c r="DJ2" s="309"/>
      <c r="DK2" s="309"/>
      <c r="DL2" s="309"/>
      <c r="DM2" s="310"/>
      <c r="DN2" s="331" t="s">
        <v>794</v>
      </c>
      <c r="DO2" s="309"/>
      <c r="DP2" s="309"/>
      <c r="DQ2" s="310"/>
      <c r="DR2" s="331" t="s">
        <v>795</v>
      </c>
      <c r="DS2" s="309"/>
      <c r="DT2" s="309"/>
      <c r="DU2" s="310"/>
      <c r="DX2" s="331" t="s">
        <v>793</v>
      </c>
      <c r="DY2" s="309"/>
      <c r="DZ2" s="309"/>
      <c r="EA2" s="309"/>
      <c r="EB2" s="309"/>
      <c r="EC2" s="310"/>
      <c r="ED2" s="331" t="s">
        <v>794</v>
      </c>
      <c r="EE2" s="309"/>
      <c r="EF2" s="309"/>
      <c r="EG2" s="310"/>
      <c r="EH2" s="331" t="s">
        <v>795</v>
      </c>
      <c r="EI2" s="309"/>
      <c r="EJ2" s="309"/>
      <c r="EK2" s="310"/>
      <c r="EL2" s="26"/>
      <c r="EN2" s="331" t="s">
        <v>793</v>
      </c>
      <c r="EO2" s="309"/>
      <c r="EP2" s="309"/>
      <c r="EQ2" s="309"/>
      <c r="ER2" s="309"/>
      <c r="ES2" s="310"/>
      <c r="ET2" s="331" t="s">
        <v>794</v>
      </c>
      <c r="EU2" s="309"/>
      <c r="EV2" s="309"/>
      <c r="EW2" s="310"/>
      <c r="EX2" s="331" t="s">
        <v>795</v>
      </c>
      <c r="EY2" s="309"/>
      <c r="EZ2" s="309"/>
      <c r="FA2" s="310"/>
    </row>
    <row r="3" spans="1:168" ht="15.6" customHeight="1" x14ac:dyDescent="0.3">
      <c r="A3" s="149" t="s">
        <v>796</v>
      </c>
      <c r="B3" s="150" t="s">
        <v>797</v>
      </c>
      <c r="C3" s="151" t="s">
        <v>798</v>
      </c>
      <c r="D3" s="151" t="s">
        <v>799</v>
      </c>
      <c r="E3" s="151" t="s">
        <v>800</v>
      </c>
      <c r="F3" s="151" t="s">
        <v>706</v>
      </c>
      <c r="G3" s="152"/>
      <c r="H3" s="152"/>
      <c r="I3" s="153"/>
      <c r="J3" s="153"/>
      <c r="K3" s="153"/>
      <c r="L3" s="153"/>
      <c r="M3" s="153"/>
      <c r="N3" s="153"/>
      <c r="O3" s="30"/>
      <c r="Q3" s="338" t="s">
        <v>796</v>
      </c>
      <c r="R3" s="338" t="s">
        <v>797</v>
      </c>
      <c r="S3" s="338" t="s">
        <v>798</v>
      </c>
      <c r="T3" s="338" t="s">
        <v>799</v>
      </c>
      <c r="U3" s="338" t="s">
        <v>800</v>
      </c>
      <c r="V3" s="338" t="s">
        <v>706</v>
      </c>
      <c r="W3" s="26"/>
      <c r="X3" s="26"/>
      <c r="Y3" s="32"/>
      <c r="Z3" s="32"/>
      <c r="AA3" s="32"/>
      <c r="AB3" s="32"/>
      <c r="AC3" s="32"/>
      <c r="AD3" s="32"/>
      <c r="AE3" s="26"/>
      <c r="AG3" s="336" t="s">
        <v>796</v>
      </c>
      <c r="AH3" s="332" t="s">
        <v>797</v>
      </c>
      <c r="AI3" s="332" t="s">
        <v>798</v>
      </c>
      <c r="AJ3" s="332" t="s">
        <v>799</v>
      </c>
      <c r="AK3" s="332" t="s">
        <v>800</v>
      </c>
      <c r="AL3" s="332" t="s">
        <v>706</v>
      </c>
      <c r="AM3" s="154"/>
      <c r="AN3" s="154"/>
      <c r="AO3" s="155"/>
      <c r="AP3" s="155"/>
      <c r="AQ3" s="155"/>
      <c r="AR3" s="155"/>
      <c r="AS3" s="155"/>
      <c r="AT3" s="155"/>
      <c r="AU3" s="26"/>
      <c r="AW3" s="336" t="s">
        <v>796</v>
      </c>
      <c r="AX3" s="332" t="s">
        <v>797</v>
      </c>
      <c r="AY3" s="332" t="s">
        <v>798</v>
      </c>
      <c r="AZ3" s="332" t="s">
        <v>799</v>
      </c>
      <c r="BA3" s="332" t="s">
        <v>800</v>
      </c>
      <c r="BB3" s="332" t="s">
        <v>706</v>
      </c>
      <c r="BC3" s="154"/>
      <c r="BD3" s="154"/>
      <c r="BE3" s="155"/>
      <c r="BF3" s="155"/>
      <c r="BG3" s="155"/>
      <c r="BH3" s="155"/>
      <c r="BI3" s="155"/>
      <c r="BJ3" s="155"/>
      <c r="BK3" s="26"/>
      <c r="BM3" s="336" t="s">
        <v>796</v>
      </c>
      <c r="BN3" s="332" t="s">
        <v>797</v>
      </c>
      <c r="BO3" s="332" t="s">
        <v>798</v>
      </c>
      <c r="BP3" s="332" t="s">
        <v>799</v>
      </c>
      <c r="BQ3" s="332" t="s">
        <v>800</v>
      </c>
      <c r="BR3" s="332" t="s">
        <v>706</v>
      </c>
      <c r="BS3" s="154"/>
      <c r="BT3" s="154"/>
      <c r="BU3" s="155"/>
      <c r="BV3" s="155"/>
      <c r="BW3" s="155"/>
      <c r="BX3" s="155"/>
      <c r="BY3" s="155"/>
      <c r="BZ3" s="155"/>
      <c r="CA3" s="26"/>
      <c r="CC3" s="336" t="s">
        <v>796</v>
      </c>
      <c r="CD3" s="332" t="s">
        <v>797</v>
      </c>
      <c r="CE3" s="332" t="s">
        <v>798</v>
      </c>
      <c r="CF3" s="332" t="s">
        <v>799</v>
      </c>
      <c r="CG3" s="332" t="s">
        <v>800</v>
      </c>
      <c r="CH3" s="332" t="s">
        <v>706</v>
      </c>
      <c r="CI3" s="154"/>
      <c r="CJ3" s="154"/>
      <c r="CK3" s="155"/>
      <c r="CL3" s="155"/>
      <c r="CM3" s="155"/>
      <c r="CN3" s="155"/>
      <c r="CO3" s="155"/>
      <c r="CP3" s="155"/>
      <c r="CS3" s="336" t="s">
        <v>796</v>
      </c>
      <c r="CT3" s="332" t="s">
        <v>797</v>
      </c>
      <c r="CU3" s="332" t="s">
        <v>798</v>
      </c>
      <c r="CV3" s="332" t="s">
        <v>799</v>
      </c>
      <c r="CW3" s="332" t="s">
        <v>800</v>
      </c>
      <c r="CX3" s="332" t="s">
        <v>706</v>
      </c>
      <c r="CY3" s="154"/>
      <c r="CZ3" s="154"/>
      <c r="DA3" s="155"/>
      <c r="DB3" s="155"/>
      <c r="DC3" s="155"/>
      <c r="DD3" s="155"/>
      <c r="DE3" s="155"/>
      <c r="DF3" s="155"/>
      <c r="DG3" s="26"/>
      <c r="DH3" s="336" t="s">
        <v>796</v>
      </c>
      <c r="DI3" s="332" t="s">
        <v>797</v>
      </c>
      <c r="DJ3" s="332" t="s">
        <v>798</v>
      </c>
      <c r="DK3" s="332" t="s">
        <v>799</v>
      </c>
      <c r="DL3" s="332" t="s">
        <v>800</v>
      </c>
      <c r="DM3" s="332" t="s">
        <v>706</v>
      </c>
      <c r="DN3" s="154"/>
      <c r="DO3" s="154"/>
      <c r="DP3" s="155"/>
      <c r="DQ3" s="155"/>
      <c r="DR3" s="155"/>
      <c r="DS3" s="155"/>
      <c r="DT3" s="155"/>
      <c r="DU3" s="155"/>
      <c r="DV3" s="26"/>
      <c r="DX3" s="336" t="s">
        <v>796</v>
      </c>
      <c r="DY3" s="332" t="s">
        <v>797</v>
      </c>
      <c r="DZ3" s="332" t="s">
        <v>798</v>
      </c>
      <c r="EA3" s="332" t="s">
        <v>799</v>
      </c>
      <c r="EB3" s="332" t="s">
        <v>800</v>
      </c>
      <c r="EC3" s="332" t="s">
        <v>706</v>
      </c>
      <c r="ED3" s="154"/>
      <c r="EE3" s="154"/>
      <c r="EF3" s="155"/>
      <c r="EG3" s="155"/>
      <c r="EH3" s="155"/>
      <c r="EI3" s="155"/>
      <c r="EJ3" s="155"/>
      <c r="EK3" s="155"/>
      <c r="EL3" s="26"/>
      <c r="EN3" s="336" t="s">
        <v>796</v>
      </c>
      <c r="EO3" s="332" t="s">
        <v>797</v>
      </c>
      <c r="EP3" s="332" t="s">
        <v>798</v>
      </c>
      <c r="EQ3" s="332" t="s">
        <v>799</v>
      </c>
      <c r="ER3" s="332" t="s">
        <v>800</v>
      </c>
      <c r="ES3" s="332" t="s">
        <v>706</v>
      </c>
      <c r="ET3" s="154"/>
      <c r="EU3" s="154"/>
      <c r="EV3" s="155"/>
      <c r="EW3" s="155"/>
      <c r="EX3" s="155"/>
      <c r="EY3" s="155"/>
      <c r="EZ3" s="155"/>
      <c r="FA3" s="155"/>
      <c r="FB3" s="26"/>
      <c r="FE3" s="156"/>
      <c r="FF3" s="157"/>
      <c r="FG3" s="157"/>
      <c r="FH3" s="157"/>
      <c r="FI3" s="157"/>
      <c r="FJ3" s="157"/>
      <c r="FK3" s="157"/>
      <c r="FL3" s="158"/>
    </row>
    <row r="4" spans="1:168" ht="15.6" customHeight="1" x14ac:dyDescent="0.3">
      <c r="A4" s="149"/>
      <c r="B4" s="149"/>
      <c r="C4" s="159"/>
      <c r="D4" s="159"/>
      <c r="E4" s="159"/>
      <c r="F4" s="159"/>
      <c r="G4" s="34" t="s">
        <v>798</v>
      </c>
      <c r="H4" s="34" t="s">
        <v>799</v>
      </c>
      <c r="I4" s="34" t="s">
        <v>800</v>
      </c>
      <c r="J4" s="34" t="s">
        <v>706</v>
      </c>
      <c r="K4" s="34" t="s">
        <v>798</v>
      </c>
      <c r="L4" s="34" t="s">
        <v>799</v>
      </c>
      <c r="M4" s="34" t="s">
        <v>800</v>
      </c>
      <c r="N4" s="34" t="s">
        <v>706</v>
      </c>
      <c r="O4" s="34" t="s">
        <v>801</v>
      </c>
      <c r="Q4" s="333"/>
      <c r="R4" s="333"/>
      <c r="S4" s="333"/>
      <c r="T4" s="333"/>
      <c r="U4" s="333"/>
      <c r="V4" s="333"/>
      <c r="W4" s="33" t="s">
        <v>798</v>
      </c>
      <c r="X4" s="33" t="s">
        <v>799</v>
      </c>
      <c r="Y4" s="33" t="s">
        <v>800</v>
      </c>
      <c r="Z4" s="33" t="s">
        <v>706</v>
      </c>
      <c r="AA4" s="33" t="s">
        <v>798</v>
      </c>
      <c r="AB4" s="33" t="s">
        <v>799</v>
      </c>
      <c r="AC4" s="33" t="s">
        <v>800</v>
      </c>
      <c r="AD4" s="33" t="s">
        <v>706</v>
      </c>
      <c r="AE4" s="33" t="s">
        <v>801</v>
      </c>
      <c r="AG4" s="337"/>
      <c r="AH4" s="333"/>
      <c r="AI4" s="333"/>
      <c r="AJ4" s="333"/>
      <c r="AK4" s="333"/>
      <c r="AL4" s="333"/>
      <c r="AM4" s="33" t="s">
        <v>798</v>
      </c>
      <c r="AN4" s="33" t="s">
        <v>799</v>
      </c>
      <c r="AO4" s="33" t="s">
        <v>800</v>
      </c>
      <c r="AP4" s="33" t="s">
        <v>706</v>
      </c>
      <c r="AQ4" s="33" t="s">
        <v>798</v>
      </c>
      <c r="AR4" s="33" t="s">
        <v>799</v>
      </c>
      <c r="AS4" s="33" t="s">
        <v>800</v>
      </c>
      <c r="AT4" s="33" t="s">
        <v>706</v>
      </c>
      <c r="AU4" s="33" t="s">
        <v>801</v>
      </c>
      <c r="AW4" s="337"/>
      <c r="AX4" s="333"/>
      <c r="AY4" s="333"/>
      <c r="AZ4" s="333"/>
      <c r="BA4" s="333"/>
      <c r="BB4" s="333"/>
      <c r="BC4" s="33" t="s">
        <v>798</v>
      </c>
      <c r="BD4" s="33" t="s">
        <v>799</v>
      </c>
      <c r="BE4" s="33" t="s">
        <v>800</v>
      </c>
      <c r="BF4" s="33" t="s">
        <v>706</v>
      </c>
      <c r="BG4" s="33" t="s">
        <v>798</v>
      </c>
      <c r="BH4" s="33" t="s">
        <v>799</v>
      </c>
      <c r="BI4" s="33" t="s">
        <v>800</v>
      </c>
      <c r="BJ4" s="33" t="s">
        <v>706</v>
      </c>
      <c r="BK4" s="33" t="s">
        <v>801</v>
      </c>
      <c r="BM4" s="337"/>
      <c r="BN4" s="333"/>
      <c r="BO4" s="333"/>
      <c r="BP4" s="333"/>
      <c r="BQ4" s="333"/>
      <c r="BR4" s="333"/>
      <c r="BS4" s="33" t="s">
        <v>798</v>
      </c>
      <c r="BT4" s="33" t="s">
        <v>799</v>
      </c>
      <c r="BU4" s="33" t="s">
        <v>800</v>
      </c>
      <c r="BV4" s="33" t="s">
        <v>706</v>
      </c>
      <c r="BW4" s="33" t="s">
        <v>798</v>
      </c>
      <c r="BX4" s="33" t="s">
        <v>799</v>
      </c>
      <c r="BY4" s="33" t="s">
        <v>800</v>
      </c>
      <c r="BZ4" s="33" t="s">
        <v>706</v>
      </c>
      <c r="CA4" s="33" t="s">
        <v>801</v>
      </c>
      <c r="CC4" s="337"/>
      <c r="CD4" s="333"/>
      <c r="CE4" s="333"/>
      <c r="CF4" s="333"/>
      <c r="CG4" s="333"/>
      <c r="CH4" s="333"/>
      <c r="CI4" s="33" t="s">
        <v>798</v>
      </c>
      <c r="CJ4" s="33" t="s">
        <v>799</v>
      </c>
      <c r="CK4" s="33" t="s">
        <v>800</v>
      </c>
      <c r="CL4" s="33" t="s">
        <v>706</v>
      </c>
      <c r="CM4" s="33" t="s">
        <v>798</v>
      </c>
      <c r="CN4" s="33" t="s">
        <v>799</v>
      </c>
      <c r="CO4" s="33" t="s">
        <v>800</v>
      </c>
      <c r="CP4" s="33" t="s">
        <v>706</v>
      </c>
      <c r="CQ4" s="33" t="s">
        <v>802</v>
      </c>
      <c r="CS4" s="337"/>
      <c r="CT4" s="333"/>
      <c r="CU4" s="333"/>
      <c r="CV4" s="333"/>
      <c r="CW4" s="333"/>
      <c r="CX4" s="333"/>
      <c r="CY4" s="33" t="s">
        <v>798</v>
      </c>
      <c r="CZ4" s="33" t="s">
        <v>799</v>
      </c>
      <c r="DA4" s="33" t="s">
        <v>800</v>
      </c>
      <c r="DB4" s="33" t="s">
        <v>706</v>
      </c>
      <c r="DC4" s="33" t="s">
        <v>798</v>
      </c>
      <c r="DD4" s="33" t="s">
        <v>799</v>
      </c>
      <c r="DE4" s="33" t="s">
        <v>800</v>
      </c>
      <c r="DF4" s="33" t="s">
        <v>706</v>
      </c>
      <c r="DG4" s="26"/>
      <c r="DH4" s="337"/>
      <c r="DI4" s="333"/>
      <c r="DJ4" s="333"/>
      <c r="DK4" s="333"/>
      <c r="DL4" s="333"/>
      <c r="DM4" s="333"/>
      <c r="DN4" s="33" t="s">
        <v>798</v>
      </c>
      <c r="DO4" s="33" t="s">
        <v>799</v>
      </c>
      <c r="DP4" s="33" t="s">
        <v>800</v>
      </c>
      <c r="DQ4" s="33" t="s">
        <v>706</v>
      </c>
      <c r="DR4" s="33" t="s">
        <v>798</v>
      </c>
      <c r="DS4" s="33" t="s">
        <v>799</v>
      </c>
      <c r="DT4" s="33" t="s">
        <v>800</v>
      </c>
      <c r="DU4" s="33" t="s">
        <v>706</v>
      </c>
      <c r="DV4" s="33" t="s">
        <v>801</v>
      </c>
      <c r="DX4" s="337"/>
      <c r="DY4" s="333"/>
      <c r="DZ4" s="333"/>
      <c r="EA4" s="333"/>
      <c r="EB4" s="333"/>
      <c r="EC4" s="333"/>
      <c r="ED4" s="33" t="s">
        <v>798</v>
      </c>
      <c r="EE4" s="33" t="s">
        <v>799</v>
      </c>
      <c r="EF4" s="33" t="s">
        <v>800</v>
      </c>
      <c r="EG4" s="33" t="s">
        <v>706</v>
      </c>
      <c r="EH4" s="33" t="s">
        <v>798</v>
      </c>
      <c r="EI4" s="33" t="s">
        <v>799</v>
      </c>
      <c r="EJ4" s="33" t="s">
        <v>800</v>
      </c>
      <c r="EK4" s="33" t="s">
        <v>706</v>
      </c>
      <c r="EL4" s="33" t="s">
        <v>803</v>
      </c>
      <c r="EN4" s="337"/>
      <c r="EO4" s="333"/>
      <c r="EP4" s="333"/>
      <c r="EQ4" s="333"/>
      <c r="ER4" s="333"/>
      <c r="ES4" s="333"/>
      <c r="ET4" s="33" t="s">
        <v>798</v>
      </c>
      <c r="EU4" s="33" t="s">
        <v>799</v>
      </c>
      <c r="EV4" s="33" t="s">
        <v>800</v>
      </c>
      <c r="EW4" s="33" t="s">
        <v>706</v>
      </c>
      <c r="EX4" s="33" t="s">
        <v>798</v>
      </c>
      <c r="EY4" s="33" t="s">
        <v>799</v>
      </c>
      <c r="EZ4" s="33" t="s">
        <v>800</v>
      </c>
      <c r="FA4" s="33" t="s">
        <v>706</v>
      </c>
      <c r="FB4" s="33" t="s">
        <v>801</v>
      </c>
      <c r="FE4" s="160"/>
      <c r="FF4" s="161"/>
      <c r="FG4" s="162"/>
      <c r="FH4" s="163"/>
      <c r="FI4" s="162"/>
      <c r="FJ4" s="163"/>
      <c r="FK4" s="162"/>
      <c r="FL4" s="163"/>
    </row>
    <row r="5" spans="1:168" ht="15.6" customHeight="1" x14ac:dyDescent="0.3">
      <c r="A5" s="26">
        <v>1</v>
      </c>
      <c r="B5" s="26" t="s">
        <v>804</v>
      </c>
      <c r="C5" s="30">
        <v>20</v>
      </c>
      <c r="D5" s="30" t="s">
        <v>805</v>
      </c>
      <c r="E5" s="164">
        <f>Rates!C10</f>
        <v>51.4</v>
      </c>
      <c r="F5" s="159">
        <f t="shared" ref="F5:F38" si="0">C5*E5</f>
        <v>1028</v>
      </c>
      <c r="G5" s="30">
        <v>25.9</v>
      </c>
      <c r="H5" s="30" t="s">
        <v>806</v>
      </c>
      <c r="I5" s="164">
        <f t="shared" ref="I5:I15" si="1">E5</f>
        <v>51.4</v>
      </c>
      <c r="J5" s="34">
        <f t="shared" ref="J5:J47" si="2">G5*I5</f>
        <v>1331.26</v>
      </c>
      <c r="K5" s="30">
        <v>20</v>
      </c>
      <c r="L5" s="30" t="s">
        <v>805</v>
      </c>
      <c r="M5" s="164">
        <f t="shared" ref="M5:M15" si="3">I5</f>
        <v>51.4</v>
      </c>
      <c r="N5" s="159">
        <f t="shared" ref="N5:N38" si="4">K5*M5</f>
        <v>1028</v>
      </c>
      <c r="O5" s="30">
        <v>71</v>
      </c>
      <c r="Q5" s="26">
        <v>1</v>
      </c>
      <c r="R5" s="26" t="s">
        <v>804</v>
      </c>
      <c r="S5" s="26">
        <v>20</v>
      </c>
      <c r="T5" s="26" t="s">
        <v>805</v>
      </c>
      <c r="U5" s="165">
        <f>Rates!C10</f>
        <v>51.4</v>
      </c>
      <c r="V5" s="166">
        <f t="shared" ref="V5:V37" si="5">S5*U5</f>
        <v>1028</v>
      </c>
      <c r="W5" s="26">
        <v>25.9</v>
      </c>
      <c r="X5" s="26" t="s">
        <v>806</v>
      </c>
      <c r="Y5" s="165">
        <f t="shared" ref="Y5:Y14" si="6">U5</f>
        <v>51.4</v>
      </c>
      <c r="Z5" s="33">
        <f t="shared" ref="Z5:Z46" si="7">W5*Y5</f>
        <v>1331.26</v>
      </c>
      <c r="AA5" s="26">
        <v>20</v>
      </c>
      <c r="AB5" s="26" t="s">
        <v>805</v>
      </c>
      <c r="AC5" s="165">
        <f t="shared" ref="AC5:AC14" si="8">U5</f>
        <v>51.4</v>
      </c>
      <c r="AD5" s="166">
        <f t="shared" ref="AD5:AD37" si="9">AA5*AC5</f>
        <v>1028</v>
      </c>
      <c r="AE5" s="165">
        <v>71</v>
      </c>
      <c r="AG5" s="167">
        <v>1</v>
      </c>
      <c r="AH5" s="26" t="s">
        <v>807</v>
      </c>
      <c r="AI5" s="26">
        <v>21.4</v>
      </c>
      <c r="AJ5" s="26" t="s">
        <v>805</v>
      </c>
      <c r="AK5" s="165">
        <f>Rates!C10</f>
        <v>51.4</v>
      </c>
      <c r="AL5" s="166">
        <f t="shared" ref="AL5:AL38" si="10">AI5*AK5</f>
        <v>1099.9599999999998</v>
      </c>
      <c r="AM5" s="26">
        <v>42.8</v>
      </c>
      <c r="AN5" s="26" t="s">
        <v>806</v>
      </c>
      <c r="AO5" s="165">
        <f t="shared" ref="AO5:AO15" si="11">AK5</f>
        <v>51.4</v>
      </c>
      <c r="AP5" s="33">
        <f t="shared" ref="AP5:AP44" si="12">AM5*AO5</f>
        <v>2199.9199999999996</v>
      </c>
      <c r="AQ5" s="26">
        <v>21.4</v>
      </c>
      <c r="AR5" s="26" t="s">
        <v>805</v>
      </c>
      <c r="AS5" s="165">
        <f t="shared" ref="AS5:AS15" si="13">AK5</f>
        <v>51.4</v>
      </c>
      <c r="AT5" s="166">
        <f t="shared" ref="AT5:AT38" si="14">AQ5*AS5</f>
        <v>1099.9599999999998</v>
      </c>
      <c r="AU5" s="26">
        <v>71</v>
      </c>
      <c r="AW5" s="167">
        <v>1</v>
      </c>
      <c r="AX5" s="26" t="s">
        <v>808</v>
      </c>
      <c r="AY5" s="26">
        <v>22.8</v>
      </c>
      <c r="AZ5" s="26" t="s">
        <v>805</v>
      </c>
      <c r="BA5" s="165">
        <f>Rates!C10</f>
        <v>51.4</v>
      </c>
      <c r="BB5" s="166">
        <f t="shared" ref="BB5:BB33" si="15">AY5*BA5</f>
        <v>1171.92</v>
      </c>
      <c r="BC5" s="26">
        <v>45.6</v>
      </c>
      <c r="BD5" s="26" t="s">
        <v>806</v>
      </c>
      <c r="BE5" s="165">
        <f t="shared" ref="BE5:BE15" si="16">BA5</f>
        <v>51.4</v>
      </c>
      <c r="BF5" s="33">
        <f t="shared" ref="BF5:BF47" si="17">BC5*BE5</f>
        <v>2343.84</v>
      </c>
      <c r="BG5" s="26">
        <v>22.8</v>
      </c>
      <c r="BH5" s="26" t="s">
        <v>805</v>
      </c>
      <c r="BI5" s="165">
        <f t="shared" ref="BI5:BI15" si="18">BA5</f>
        <v>51.4</v>
      </c>
      <c r="BJ5" s="166">
        <f t="shared" ref="BJ5:BJ38" si="19">BG5*BI5</f>
        <v>1171.92</v>
      </c>
      <c r="BK5" s="26">
        <v>71</v>
      </c>
      <c r="BM5" s="167">
        <v>1</v>
      </c>
      <c r="BN5" s="26" t="s">
        <v>808</v>
      </c>
      <c r="BO5" s="26">
        <v>22.8</v>
      </c>
      <c r="BP5" s="26" t="s">
        <v>805</v>
      </c>
      <c r="BQ5" s="165">
        <f>Rates!C10</f>
        <v>51.4</v>
      </c>
      <c r="BR5" s="166">
        <f t="shared" ref="BR5:BR38" si="20">BO5*BQ5</f>
        <v>1171.92</v>
      </c>
      <c r="BS5" s="26">
        <v>45.6</v>
      </c>
      <c r="BT5" s="26" t="s">
        <v>806</v>
      </c>
      <c r="BU5" s="165">
        <f t="shared" ref="BU5:BU15" si="21">BQ5</f>
        <v>51.4</v>
      </c>
      <c r="BV5" s="33">
        <f t="shared" ref="BV5:BV44" si="22">BS5*BU5</f>
        <v>2343.84</v>
      </c>
      <c r="BW5" s="26">
        <v>22.8</v>
      </c>
      <c r="BX5" s="26" t="s">
        <v>805</v>
      </c>
      <c r="BY5" s="165">
        <f t="shared" ref="BY5:BY15" si="23">BQ5</f>
        <v>51.4</v>
      </c>
      <c r="BZ5" s="166">
        <f t="shared" ref="BZ5:BZ38" si="24">BW5*BY5</f>
        <v>1171.92</v>
      </c>
      <c r="CA5" s="26">
        <v>71</v>
      </c>
      <c r="CC5" s="167">
        <v>1</v>
      </c>
      <c r="CD5" s="26" t="s">
        <v>809</v>
      </c>
      <c r="CE5" s="26">
        <v>25</v>
      </c>
      <c r="CF5" s="26" t="s">
        <v>805</v>
      </c>
      <c r="CG5" s="165">
        <f>Rates!C10</f>
        <v>51.4</v>
      </c>
      <c r="CH5" s="166">
        <f t="shared" ref="CH5:CH38" si="25">CE5*CG5</f>
        <v>1285</v>
      </c>
      <c r="CI5" s="26">
        <v>48</v>
      </c>
      <c r="CJ5" s="26" t="s">
        <v>806</v>
      </c>
      <c r="CK5" s="165">
        <f t="shared" ref="CK5:CK15" si="26">CG5</f>
        <v>51.4</v>
      </c>
      <c r="CL5" s="33">
        <f t="shared" ref="CL5:CL47" si="27">CI5*CK5</f>
        <v>2467.1999999999998</v>
      </c>
      <c r="CM5" s="26">
        <v>25</v>
      </c>
      <c r="CN5" s="26" t="s">
        <v>805</v>
      </c>
      <c r="CO5" s="165">
        <f t="shared" ref="CO5:CO15" si="28">CG5</f>
        <v>51.4</v>
      </c>
      <c r="CP5" s="166">
        <f t="shared" ref="CP5:CP38" si="29">CM5*CO5</f>
        <v>1285</v>
      </c>
      <c r="CQ5" s="26">
        <v>71</v>
      </c>
      <c r="CS5" s="167">
        <v>1</v>
      </c>
      <c r="CT5" s="26" t="s">
        <v>810</v>
      </c>
      <c r="CU5" s="26">
        <v>25.7</v>
      </c>
      <c r="CV5" s="26" t="s">
        <v>805</v>
      </c>
      <c r="CW5" s="165">
        <f>Rates!C10</f>
        <v>51.4</v>
      </c>
      <c r="CX5" s="166">
        <f t="shared" ref="CX5:CX38" si="30">CU5*CW5</f>
        <v>1320.98</v>
      </c>
      <c r="CY5" s="26">
        <v>51.4</v>
      </c>
      <c r="CZ5" s="26" t="s">
        <v>806</v>
      </c>
      <c r="DA5" s="165">
        <f t="shared" ref="DA5:DA15" si="31">CW5</f>
        <v>51.4</v>
      </c>
      <c r="DB5" s="33">
        <f t="shared" ref="DB5:DB47" si="32">CY5*DA5</f>
        <v>2641.96</v>
      </c>
      <c r="DC5" s="26">
        <v>25.7</v>
      </c>
      <c r="DD5" s="26" t="s">
        <v>805</v>
      </c>
      <c r="DE5" s="165">
        <f t="shared" ref="DE5:DE15" si="33">CW5</f>
        <v>51.4</v>
      </c>
      <c r="DF5" s="166">
        <f t="shared" ref="DF5:DF38" si="34">DC5*DE5</f>
        <v>1320.98</v>
      </c>
      <c r="DG5" s="26">
        <f t="shared" ref="DG5:DG49" si="35">DF5-CP5</f>
        <v>35.980000000000018</v>
      </c>
      <c r="DH5" s="167">
        <v>1</v>
      </c>
      <c r="DI5" s="26" t="s">
        <v>810</v>
      </c>
      <c r="DJ5" s="26">
        <v>25.7</v>
      </c>
      <c r="DK5" s="26" t="s">
        <v>805</v>
      </c>
      <c r="DL5" s="165">
        <f>Rates!C10</f>
        <v>51.4</v>
      </c>
      <c r="DM5" s="166">
        <f t="shared" ref="DM5:DM38" si="36">DJ5*DL5</f>
        <v>1320.98</v>
      </c>
      <c r="DN5" s="26">
        <v>51.4</v>
      </c>
      <c r="DO5" s="26" t="s">
        <v>806</v>
      </c>
      <c r="DP5" s="165">
        <f t="shared" ref="DP5:DP15" si="37">DL5</f>
        <v>51.4</v>
      </c>
      <c r="DQ5" s="33">
        <f t="shared" ref="DQ5:DQ47" si="38">DN5*DP5</f>
        <v>2641.96</v>
      </c>
      <c r="DR5" s="26">
        <v>25.7</v>
      </c>
      <c r="DS5" s="26" t="s">
        <v>805</v>
      </c>
      <c r="DT5" s="165">
        <f t="shared" ref="DT5:DT15" si="39">DL5</f>
        <v>51.4</v>
      </c>
      <c r="DU5" s="166">
        <f t="shared" ref="DU5:DU38" si="40">DR5*DT5</f>
        <v>1320.98</v>
      </c>
      <c r="DV5" s="26">
        <v>71</v>
      </c>
      <c r="DX5" s="167">
        <v>1</v>
      </c>
      <c r="DY5" s="26" t="s">
        <v>810</v>
      </c>
      <c r="DZ5" s="26">
        <v>25.7</v>
      </c>
      <c r="EA5" s="26" t="s">
        <v>805</v>
      </c>
      <c r="EB5" s="165">
        <f>Rates!C10</f>
        <v>51.4</v>
      </c>
      <c r="EC5" s="166">
        <f t="shared" ref="EC5:EC38" si="41">DZ5*EB5</f>
        <v>1320.98</v>
      </c>
      <c r="ED5" s="26">
        <v>51.4</v>
      </c>
      <c r="EE5" s="26" t="s">
        <v>806</v>
      </c>
      <c r="EF5" s="165">
        <f t="shared" ref="EF5:EF15" si="42">EB5</f>
        <v>51.4</v>
      </c>
      <c r="EG5" s="33">
        <f t="shared" ref="EG5:EG47" si="43">ED5*EF5</f>
        <v>2641.96</v>
      </c>
      <c r="EH5" s="26">
        <v>25.7</v>
      </c>
      <c r="EI5" s="26" t="s">
        <v>805</v>
      </c>
      <c r="EJ5" s="165">
        <f t="shared" ref="EJ5:EJ15" si="44">EB5</f>
        <v>51.4</v>
      </c>
      <c r="EK5" s="166">
        <f t="shared" ref="EK5:EK38" si="45">EH5*EJ5</f>
        <v>1320.98</v>
      </c>
      <c r="EL5" s="26">
        <v>71</v>
      </c>
      <c r="EN5" s="167">
        <v>1</v>
      </c>
      <c r="EO5" s="26" t="s">
        <v>811</v>
      </c>
      <c r="EP5" s="26">
        <v>47.8</v>
      </c>
      <c r="EQ5" s="26" t="s">
        <v>805</v>
      </c>
      <c r="ER5" s="165">
        <f>Rates!C10</f>
        <v>51.4</v>
      </c>
      <c r="ES5" s="166">
        <f t="shared" ref="ES5:ES38" si="46">EP5*ER5</f>
        <v>2456.9199999999996</v>
      </c>
      <c r="ET5" s="26">
        <v>68.8</v>
      </c>
      <c r="EU5" s="26" t="s">
        <v>806</v>
      </c>
      <c r="EV5" s="165">
        <f t="shared" ref="EV5:EV15" si="47">ER5</f>
        <v>51.4</v>
      </c>
      <c r="EW5" s="33">
        <f t="shared" ref="EW5:EW47" si="48">ET5*EV5</f>
        <v>3536.3199999999997</v>
      </c>
      <c r="EX5" s="26">
        <v>47.8</v>
      </c>
      <c r="EY5" s="26" t="s">
        <v>805</v>
      </c>
      <c r="EZ5" s="165">
        <f t="shared" ref="EZ5:EZ15" si="49">ER5</f>
        <v>51.4</v>
      </c>
      <c r="FA5" s="166">
        <f t="shared" ref="FA5:FA38" si="50">EX5*EZ5</f>
        <v>2456.9199999999996</v>
      </c>
      <c r="FB5" s="26">
        <v>71</v>
      </c>
      <c r="FE5" s="160"/>
      <c r="FF5" s="161"/>
      <c r="FG5" s="162"/>
      <c r="FH5" s="163"/>
      <c r="FI5" s="162"/>
      <c r="FJ5" s="163"/>
      <c r="FK5" s="162"/>
      <c r="FL5" s="163"/>
    </row>
    <row r="6" spans="1:168" ht="15.6" customHeight="1" x14ac:dyDescent="0.3">
      <c r="A6" s="26">
        <v>2</v>
      </c>
      <c r="B6" s="26" t="s">
        <v>812</v>
      </c>
      <c r="C6" s="30">
        <v>19.7</v>
      </c>
      <c r="D6" s="30" t="s">
        <v>805</v>
      </c>
      <c r="E6" s="164">
        <f>Rates!C22</f>
        <v>135</v>
      </c>
      <c r="F6" s="159">
        <f t="shared" si="0"/>
        <v>2659.5</v>
      </c>
      <c r="G6" s="30">
        <v>39.4</v>
      </c>
      <c r="H6" s="30" t="s">
        <v>806</v>
      </c>
      <c r="I6" s="164">
        <f t="shared" si="1"/>
        <v>135</v>
      </c>
      <c r="J6" s="34">
        <f t="shared" si="2"/>
        <v>5319</v>
      </c>
      <c r="K6" s="30">
        <v>19.7</v>
      </c>
      <c r="L6" s="30" t="s">
        <v>805</v>
      </c>
      <c r="M6" s="164">
        <f t="shared" si="3"/>
        <v>135</v>
      </c>
      <c r="N6" s="159">
        <f t="shared" si="4"/>
        <v>2659.5</v>
      </c>
      <c r="O6" s="30">
        <v>135</v>
      </c>
      <c r="Q6" s="26">
        <v>2</v>
      </c>
      <c r="R6" s="26" t="s">
        <v>813</v>
      </c>
      <c r="S6" s="26">
        <v>29</v>
      </c>
      <c r="T6" s="26" t="s">
        <v>805</v>
      </c>
      <c r="U6" s="165">
        <f>Rates!C22</f>
        <v>135</v>
      </c>
      <c r="V6" s="166">
        <f t="shared" si="5"/>
        <v>3915</v>
      </c>
      <c r="W6" s="26">
        <v>58</v>
      </c>
      <c r="X6" s="26" t="s">
        <v>806</v>
      </c>
      <c r="Y6" s="165">
        <f t="shared" si="6"/>
        <v>135</v>
      </c>
      <c r="Z6" s="33">
        <f t="shared" si="7"/>
        <v>7830</v>
      </c>
      <c r="AA6" s="26">
        <v>29</v>
      </c>
      <c r="AB6" s="26" t="s">
        <v>805</v>
      </c>
      <c r="AC6" s="165">
        <f t="shared" si="8"/>
        <v>135</v>
      </c>
      <c r="AD6" s="166">
        <f t="shared" si="9"/>
        <v>3915</v>
      </c>
      <c r="AE6" s="165">
        <v>135</v>
      </c>
      <c r="AG6" s="167">
        <v>2</v>
      </c>
      <c r="AH6" s="26" t="s">
        <v>814</v>
      </c>
      <c r="AI6" s="26">
        <v>29</v>
      </c>
      <c r="AJ6" s="26" t="s">
        <v>805</v>
      </c>
      <c r="AK6" s="165">
        <f>Rates!C14</f>
        <v>49.74</v>
      </c>
      <c r="AL6" s="166">
        <f t="shared" si="10"/>
        <v>1442.46</v>
      </c>
      <c r="AM6" s="26">
        <v>58</v>
      </c>
      <c r="AN6" s="26" t="s">
        <v>806</v>
      </c>
      <c r="AO6" s="165">
        <f t="shared" si="11"/>
        <v>49.74</v>
      </c>
      <c r="AP6" s="33">
        <f t="shared" si="12"/>
        <v>2884.92</v>
      </c>
      <c r="AQ6" s="26">
        <v>29</v>
      </c>
      <c r="AR6" s="26" t="s">
        <v>805</v>
      </c>
      <c r="AS6" s="165">
        <f t="shared" si="13"/>
        <v>49.74</v>
      </c>
      <c r="AT6" s="166">
        <f t="shared" si="14"/>
        <v>1442.46</v>
      </c>
      <c r="AU6" s="26">
        <v>72</v>
      </c>
      <c r="AW6" s="167">
        <v>2</v>
      </c>
      <c r="AX6" s="26" t="s">
        <v>814</v>
      </c>
      <c r="AY6" s="26">
        <v>29</v>
      </c>
      <c r="AZ6" s="26" t="s">
        <v>805</v>
      </c>
      <c r="BA6" s="165">
        <f>Rates!C20</f>
        <v>51.7</v>
      </c>
      <c r="BB6" s="166">
        <f t="shared" si="15"/>
        <v>1499.3000000000002</v>
      </c>
      <c r="BC6" s="26">
        <v>58</v>
      </c>
      <c r="BD6" s="26" t="s">
        <v>806</v>
      </c>
      <c r="BE6" s="165">
        <f t="shared" si="16"/>
        <v>51.7</v>
      </c>
      <c r="BF6" s="33">
        <f t="shared" si="17"/>
        <v>2998.6000000000004</v>
      </c>
      <c r="BG6" s="26">
        <v>29</v>
      </c>
      <c r="BH6" s="26" t="s">
        <v>805</v>
      </c>
      <c r="BI6" s="165">
        <f t="shared" si="18"/>
        <v>51.7</v>
      </c>
      <c r="BJ6" s="166">
        <f t="shared" si="19"/>
        <v>1499.3000000000002</v>
      </c>
      <c r="BK6" s="26">
        <v>72</v>
      </c>
      <c r="BM6" s="167">
        <v>2</v>
      </c>
      <c r="BN6" s="26" t="s">
        <v>815</v>
      </c>
      <c r="BO6" s="26">
        <v>36</v>
      </c>
      <c r="BP6" s="26" t="s">
        <v>805</v>
      </c>
      <c r="BQ6" s="165">
        <f>Rates!C20</f>
        <v>51.7</v>
      </c>
      <c r="BR6" s="166">
        <f t="shared" si="20"/>
        <v>1861.2</v>
      </c>
      <c r="BS6" s="26">
        <v>72</v>
      </c>
      <c r="BT6" s="26" t="s">
        <v>806</v>
      </c>
      <c r="BU6" s="165">
        <f t="shared" si="21"/>
        <v>51.7</v>
      </c>
      <c r="BV6" s="33">
        <f t="shared" si="22"/>
        <v>3722.4</v>
      </c>
      <c r="BW6" s="26">
        <v>36</v>
      </c>
      <c r="BX6" s="26" t="s">
        <v>805</v>
      </c>
      <c r="BY6" s="165">
        <f t="shared" si="23"/>
        <v>51.7</v>
      </c>
      <c r="BZ6" s="166">
        <f t="shared" si="24"/>
        <v>1861.2</v>
      </c>
      <c r="CA6" s="26">
        <v>72</v>
      </c>
      <c r="CC6" s="167">
        <v>2</v>
      </c>
      <c r="CD6" s="26" t="s">
        <v>816</v>
      </c>
      <c r="CE6" s="26">
        <v>39</v>
      </c>
      <c r="CF6" s="26" t="s">
        <v>805</v>
      </c>
      <c r="CG6" s="165">
        <f>Rates!C20</f>
        <v>51.7</v>
      </c>
      <c r="CH6" s="166">
        <f t="shared" si="25"/>
        <v>2016.3000000000002</v>
      </c>
      <c r="CI6" s="26">
        <v>78</v>
      </c>
      <c r="CJ6" s="26" t="s">
        <v>806</v>
      </c>
      <c r="CK6" s="165">
        <f t="shared" si="26"/>
        <v>51.7</v>
      </c>
      <c r="CL6" s="33">
        <f t="shared" si="27"/>
        <v>4032.6000000000004</v>
      </c>
      <c r="CM6" s="26">
        <v>39</v>
      </c>
      <c r="CN6" s="26" t="s">
        <v>805</v>
      </c>
      <c r="CO6" s="165">
        <f t="shared" si="28"/>
        <v>51.7</v>
      </c>
      <c r="CP6" s="166">
        <f t="shared" si="29"/>
        <v>2016.3000000000002</v>
      </c>
      <c r="CQ6" s="26">
        <v>72</v>
      </c>
      <c r="CS6" s="167">
        <v>2</v>
      </c>
      <c r="CT6" s="26" t="s">
        <v>817</v>
      </c>
      <c r="CU6" s="26">
        <v>39.6</v>
      </c>
      <c r="CV6" s="26" t="s">
        <v>805</v>
      </c>
      <c r="CW6" s="165">
        <f>Rates!C20</f>
        <v>51.7</v>
      </c>
      <c r="CX6" s="166">
        <f t="shared" si="30"/>
        <v>2047.3200000000002</v>
      </c>
      <c r="CY6" s="26">
        <v>79</v>
      </c>
      <c r="CZ6" s="26" t="s">
        <v>806</v>
      </c>
      <c r="DA6" s="165">
        <f t="shared" si="31"/>
        <v>51.7</v>
      </c>
      <c r="DB6" s="33">
        <f t="shared" si="32"/>
        <v>4084.3</v>
      </c>
      <c r="DC6" s="26">
        <v>39.6</v>
      </c>
      <c r="DD6" s="26" t="s">
        <v>805</v>
      </c>
      <c r="DE6" s="165">
        <f t="shared" si="33"/>
        <v>51.7</v>
      </c>
      <c r="DF6" s="166">
        <f t="shared" si="34"/>
        <v>2047.3200000000002</v>
      </c>
      <c r="DG6" s="26">
        <f t="shared" si="35"/>
        <v>31.019999999999982</v>
      </c>
      <c r="DH6" s="167">
        <v>2</v>
      </c>
      <c r="DI6" s="26" t="s">
        <v>818</v>
      </c>
      <c r="DJ6" s="26">
        <v>59.5</v>
      </c>
      <c r="DK6" s="26" t="s">
        <v>805</v>
      </c>
      <c r="DL6" s="165">
        <f>Rates!C20</f>
        <v>51.7</v>
      </c>
      <c r="DM6" s="166">
        <f t="shared" si="36"/>
        <v>3076.15</v>
      </c>
      <c r="DN6" s="26">
        <v>119</v>
      </c>
      <c r="DO6" s="26" t="s">
        <v>806</v>
      </c>
      <c r="DP6" s="165">
        <f t="shared" si="37"/>
        <v>51.7</v>
      </c>
      <c r="DQ6" s="33">
        <f t="shared" si="38"/>
        <v>6152.3</v>
      </c>
      <c r="DR6" s="26">
        <v>59.5</v>
      </c>
      <c r="DS6" s="26" t="s">
        <v>805</v>
      </c>
      <c r="DT6" s="165">
        <f t="shared" si="39"/>
        <v>51.7</v>
      </c>
      <c r="DU6" s="166">
        <f t="shared" si="40"/>
        <v>3076.15</v>
      </c>
      <c r="DV6" s="26">
        <v>72</v>
      </c>
      <c r="DX6" s="167">
        <v>2</v>
      </c>
      <c r="DY6" s="26" t="s">
        <v>819</v>
      </c>
      <c r="DZ6" s="26">
        <v>61.6</v>
      </c>
      <c r="EA6" s="26" t="s">
        <v>805</v>
      </c>
      <c r="EB6" s="165">
        <f>Rates!C20</f>
        <v>51.7</v>
      </c>
      <c r="EC6" s="166">
        <f t="shared" si="41"/>
        <v>3184.7200000000003</v>
      </c>
      <c r="ED6" s="26">
        <v>123</v>
      </c>
      <c r="EE6" s="26" t="s">
        <v>806</v>
      </c>
      <c r="EF6" s="165">
        <f t="shared" si="42"/>
        <v>51.7</v>
      </c>
      <c r="EG6" s="33">
        <f t="shared" si="43"/>
        <v>6359.1</v>
      </c>
      <c r="EH6" s="26">
        <v>61.6</v>
      </c>
      <c r="EI6" s="26" t="s">
        <v>805</v>
      </c>
      <c r="EJ6" s="165">
        <f t="shared" si="44"/>
        <v>51.7</v>
      </c>
      <c r="EK6" s="166">
        <f t="shared" si="45"/>
        <v>3184.7200000000003</v>
      </c>
      <c r="EL6" s="26">
        <v>72</v>
      </c>
      <c r="EN6" s="167">
        <v>2</v>
      </c>
      <c r="EO6" s="26" t="s">
        <v>820</v>
      </c>
      <c r="EP6" s="26">
        <v>77</v>
      </c>
      <c r="EQ6" s="26" t="s">
        <v>805</v>
      </c>
      <c r="ER6" s="165">
        <f>Rates!C20</f>
        <v>51.7</v>
      </c>
      <c r="ES6" s="166">
        <f t="shared" si="46"/>
        <v>3980.9</v>
      </c>
      <c r="ET6" s="26">
        <v>154</v>
      </c>
      <c r="EU6" s="26" t="s">
        <v>806</v>
      </c>
      <c r="EV6" s="165">
        <f t="shared" si="47"/>
        <v>51.7</v>
      </c>
      <c r="EW6" s="33">
        <f t="shared" si="48"/>
        <v>7961.8</v>
      </c>
      <c r="EX6" s="26">
        <v>77</v>
      </c>
      <c r="EY6" s="26" t="s">
        <v>805</v>
      </c>
      <c r="EZ6" s="165">
        <f t="shared" si="49"/>
        <v>51.7</v>
      </c>
      <c r="FA6" s="166">
        <f t="shared" si="50"/>
        <v>3980.9</v>
      </c>
      <c r="FB6" s="26">
        <v>72</v>
      </c>
      <c r="FE6" s="160"/>
      <c r="FF6" s="161"/>
      <c r="FG6" s="162"/>
      <c r="FH6" s="163"/>
      <c r="FI6" s="162"/>
      <c r="FJ6" s="163"/>
      <c r="FK6" s="162"/>
      <c r="FL6" s="163"/>
    </row>
    <row r="7" spans="1:168" ht="15.6" customHeight="1" x14ac:dyDescent="0.3">
      <c r="A7" s="26">
        <v>3</v>
      </c>
      <c r="B7" s="26" t="s">
        <v>821</v>
      </c>
      <c r="C7" s="30">
        <v>20</v>
      </c>
      <c r="D7" s="30" t="s">
        <v>805</v>
      </c>
      <c r="E7" s="164">
        <f>Rates!C18</f>
        <v>77</v>
      </c>
      <c r="F7" s="159">
        <f t="shared" si="0"/>
        <v>1540</v>
      </c>
      <c r="G7" s="30">
        <v>28</v>
      </c>
      <c r="H7" s="30" t="s">
        <v>806</v>
      </c>
      <c r="I7" s="164">
        <f t="shared" si="1"/>
        <v>77</v>
      </c>
      <c r="J7" s="34">
        <f t="shared" si="2"/>
        <v>2156</v>
      </c>
      <c r="K7" s="30">
        <v>20</v>
      </c>
      <c r="L7" s="30" t="s">
        <v>805</v>
      </c>
      <c r="M7" s="164">
        <f t="shared" si="3"/>
        <v>77</v>
      </c>
      <c r="N7" s="159">
        <f t="shared" si="4"/>
        <v>1540</v>
      </c>
      <c r="O7" s="30">
        <v>77</v>
      </c>
      <c r="Q7" s="26">
        <v>3</v>
      </c>
      <c r="R7" s="26" t="s">
        <v>822</v>
      </c>
      <c r="S7" s="26">
        <v>22.3</v>
      </c>
      <c r="T7" s="26" t="s">
        <v>805</v>
      </c>
      <c r="U7" s="165">
        <f>Rates!C18</f>
        <v>77</v>
      </c>
      <c r="V7" s="166">
        <f t="shared" si="5"/>
        <v>1717.1000000000001</v>
      </c>
      <c r="W7" s="26">
        <v>30.7</v>
      </c>
      <c r="X7" s="26" t="s">
        <v>806</v>
      </c>
      <c r="Y7" s="165">
        <f t="shared" si="6"/>
        <v>77</v>
      </c>
      <c r="Z7" s="33">
        <f t="shared" si="7"/>
        <v>2363.9</v>
      </c>
      <c r="AA7" s="26">
        <v>22.3</v>
      </c>
      <c r="AB7" s="26" t="s">
        <v>805</v>
      </c>
      <c r="AC7" s="165">
        <f t="shared" si="8"/>
        <v>77</v>
      </c>
      <c r="AD7" s="166">
        <f t="shared" si="9"/>
        <v>1717.1000000000001</v>
      </c>
      <c r="AE7" s="165">
        <v>77</v>
      </c>
      <c r="AG7" s="167">
        <v>3</v>
      </c>
      <c r="AH7" s="26" t="s">
        <v>823</v>
      </c>
      <c r="AI7" s="26">
        <v>25.9</v>
      </c>
      <c r="AJ7" s="26" t="s">
        <v>805</v>
      </c>
      <c r="AK7" s="165">
        <f>Rates!C18</f>
        <v>77</v>
      </c>
      <c r="AL7" s="166">
        <f t="shared" si="10"/>
        <v>1994.3</v>
      </c>
      <c r="AM7" s="26">
        <v>35.299999999999997</v>
      </c>
      <c r="AN7" s="26" t="s">
        <v>806</v>
      </c>
      <c r="AO7" s="165">
        <f t="shared" si="11"/>
        <v>77</v>
      </c>
      <c r="AP7" s="33">
        <f t="shared" si="12"/>
        <v>2718.1</v>
      </c>
      <c r="AQ7" s="26">
        <v>25.9</v>
      </c>
      <c r="AR7" s="26" t="s">
        <v>805</v>
      </c>
      <c r="AS7" s="165">
        <f t="shared" si="13"/>
        <v>77</v>
      </c>
      <c r="AT7" s="166">
        <f t="shared" si="14"/>
        <v>1994.3</v>
      </c>
      <c r="AU7" s="26">
        <v>77</v>
      </c>
      <c r="AW7" s="167">
        <v>3</v>
      </c>
      <c r="AX7" s="26" t="s">
        <v>824</v>
      </c>
      <c r="AY7" s="26">
        <v>31</v>
      </c>
      <c r="AZ7" s="26" t="s">
        <v>805</v>
      </c>
      <c r="BA7" s="165">
        <f>Rates!C18</f>
        <v>77</v>
      </c>
      <c r="BB7" s="166">
        <f t="shared" si="15"/>
        <v>2387</v>
      </c>
      <c r="BC7" s="26">
        <v>41</v>
      </c>
      <c r="BD7" s="26" t="s">
        <v>806</v>
      </c>
      <c r="BE7" s="165">
        <f t="shared" si="16"/>
        <v>77</v>
      </c>
      <c r="BF7" s="33">
        <f t="shared" si="17"/>
        <v>3157</v>
      </c>
      <c r="BG7" s="26">
        <v>31</v>
      </c>
      <c r="BH7" s="26" t="s">
        <v>805</v>
      </c>
      <c r="BI7" s="165">
        <f t="shared" si="18"/>
        <v>77</v>
      </c>
      <c r="BJ7" s="166">
        <f t="shared" si="19"/>
        <v>2387</v>
      </c>
      <c r="BK7" s="26">
        <v>77</v>
      </c>
      <c r="BM7" s="167">
        <v>3</v>
      </c>
      <c r="BN7" s="26" t="s">
        <v>824</v>
      </c>
      <c r="BO7" s="26">
        <v>31</v>
      </c>
      <c r="BP7" s="26" t="s">
        <v>805</v>
      </c>
      <c r="BQ7" s="165">
        <f>Rates!C18</f>
        <v>77</v>
      </c>
      <c r="BR7" s="166">
        <f t="shared" si="20"/>
        <v>2387</v>
      </c>
      <c r="BS7" s="26">
        <v>41</v>
      </c>
      <c r="BT7" s="26" t="s">
        <v>806</v>
      </c>
      <c r="BU7" s="165">
        <f t="shared" si="21"/>
        <v>77</v>
      </c>
      <c r="BV7" s="33">
        <f t="shared" si="22"/>
        <v>3157</v>
      </c>
      <c r="BW7" s="26">
        <v>31</v>
      </c>
      <c r="BX7" s="26" t="s">
        <v>805</v>
      </c>
      <c r="BY7" s="165">
        <f t="shared" si="23"/>
        <v>77</v>
      </c>
      <c r="BZ7" s="166">
        <f t="shared" si="24"/>
        <v>2387</v>
      </c>
      <c r="CA7" s="26">
        <v>77</v>
      </c>
      <c r="CC7" s="167">
        <v>3</v>
      </c>
      <c r="CD7" s="26" t="s">
        <v>825</v>
      </c>
      <c r="CE7" s="26">
        <v>36.700000000000003</v>
      </c>
      <c r="CF7" s="26" t="s">
        <v>805</v>
      </c>
      <c r="CG7" s="165">
        <f>Rates!C18</f>
        <v>77</v>
      </c>
      <c r="CH7" s="166">
        <f t="shared" si="25"/>
        <v>2825.9</v>
      </c>
      <c r="CI7" s="26">
        <v>50.8</v>
      </c>
      <c r="CJ7" s="26" t="s">
        <v>806</v>
      </c>
      <c r="CK7" s="165">
        <f t="shared" si="26"/>
        <v>77</v>
      </c>
      <c r="CL7" s="33">
        <f t="shared" si="27"/>
        <v>3911.6</v>
      </c>
      <c r="CM7" s="26">
        <v>36.700000000000003</v>
      </c>
      <c r="CN7" s="26" t="s">
        <v>805</v>
      </c>
      <c r="CO7" s="165">
        <f t="shared" si="28"/>
        <v>77</v>
      </c>
      <c r="CP7" s="166">
        <f t="shared" si="29"/>
        <v>2825.9</v>
      </c>
      <c r="CQ7" s="26">
        <v>77</v>
      </c>
      <c r="CS7" s="167">
        <v>3</v>
      </c>
      <c r="CT7" s="26" t="s">
        <v>826</v>
      </c>
      <c r="CU7" s="26">
        <v>42.8</v>
      </c>
      <c r="CV7" s="26" t="s">
        <v>805</v>
      </c>
      <c r="CW7" s="165">
        <f>Rates!C18</f>
        <v>77</v>
      </c>
      <c r="CX7" s="166">
        <f t="shared" si="30"/>
        <v>3295.6</v>
      </c>
      <c r="CY7" s="26">
        <v>90.4</v>
      </c>
      <c r="CZ7" s="26" t="s">
        <v>806</v>
      </c>
      <c r="DA7" s="165">
        <f t="shared" si="31"/>
        <v>77</v>
      </c>
      <c r="DB7" s="33">
        <f t="shared" si="32"/>
        <v>6960.8</v>
      </c>
      <c r="DC7" s="26">
        <v>42.8</v>
      </c>
      <c r="DD7" s="26" t="s">
        <v>805</v>
      </c>
      <c r="DE7" s="165">
        <f t="shared" si="33"/>
        <v>77</v>
      </c>
      <c r="DF7" s="166">
        <f t="shared" si="34"/>
        <v>3295.6</v>
      </c>
      <c r="DG7" s="26">
        <f t="shared" si="35"/>
        <v>469.69999999999982</v>
      </c>
      <c r="DH7" s="167">
        <v>3</v>
      </c>
      <c r="DI7" s="26" t="s">
        <v>826</v>
      </c>
      <c r="DJ7" s="26">
        <v>42.8</v>
      </c>
      <c r="DK7" s="26" t="s">
        <v>805</v>
      </c>
      <c r="DL7" s="165">
        <f>Rates!C18</f>
        <v>77</v>
      </c>
      <c r="DM7" s="166">
        <f t="shared" si="36"/>
        <v>3295.6</v>
      </c>
      <c r="DN7" s="26">
        <v>90.4</v>
      </c>
      <c r="DO7" s="26" t="s">
        <v>806</v>
      </c>
      <c r="DP7" s="165">
        <f t="shared" si="37"/>
        <v>77</v>
      </c>
      <c r="DQ7" s="33">
        <f t="shared" si="38"/>
        <v>6960.8</v>
      </c>
      <c r="DR7" s="26">
        <v>42.8</v>
      </c>
      <c r="DS7" s="26" t="s">
        <v>805</v>
      </c>
      <c r="DT7" s="165">
        <f t="shared" si="39"/>
        <v>77</v>
      </c>
      <c r="DU7" s="166">
        <f t="shared" si="40"/>
        <v>3295.6</v>
      </c>
      <c r="DV7" s="26">
        <v>77</v>
      </c>
      <c r="DX7" s="167">
        <v>3</v>
      </c>
      <c r="DY7" s="26" t="s">
        <v>826</v>
      </c>
      <c r="DZ7" s="26">
        <v>42.8</v>
      </c>
      <c r="EA7" s="26" t="s">
        <v>805</v>
      </c>
      <c r="EB7" s="165">
        <f>Rates!C18</f>
        <v>77</v>
      </c>
      <c r="EC7" s="166">
        <f t="shared" si="41"/>
        <v>3295.6</v>
      </c>
      <c r="ED7" s="26">
        <v>90.4</v>
      </c>
      <c r="EE7" s="26" t="s">
        <v>806</v>
      </c>
      <c r="EF7" s="165">
        <f t="shared" si="42"/>
        <v>77</v>
      </c>
      <c r="EG7" s="33">
        <f t="shared" si="43"/>
        <v>6960.8</v>
      </c>
      <c r="EH7" s="26">
        <v>42.8</v>
      </c>
      <c r="EI7" s="26" t="s">
        <v>805</v>
      </c>
      <c r="EJ7" s="165">
        <f t="shared" si="44"/>
        <v>77</v>
      </c>
      <c r="EK7" s="166">
        <f t="shared" si="45"/>
        <v>3295.6</v>
      </c>
      <c r="EL7" s="26">
        <v>77</v>
      </c>
      <c r="EN7" s="167">
        <v>3</v>
      </c>
      <c r="EO7" s="26" t="s">
        <v>827</v>
      </c>
      <c r="EP7" s="26">
        <v>134</v>
      </c>
      <c r="EQ7" s="26" t="s">
        <v>805</v>
      </c>
      <c r="ER7" s="165">
        <f>Rates!C14</f>
        <v>49.74</v>
      </c>
      <c r="ES7" s="166">
        <f t="shared" si="46"/>
        <v>6665.16</v>
      </c>
      <c r="ET7" s="26">
        <v>183</v>
      </c>
      <c r="EU7" s="26" t="s">
        <v>806</v>
      </c>
      <c r="EV7" s="165">
        <f t="shared" si="47"/>
        <v>49.74</v>
      </c>
      <c r="EW7" s="33">
        <f t="shared" si="48"/>
        <v>9102.42</v>
      </c>
      <c r="EX7" s="26">
        <v>134</v>
      </c>
      <c r="EY7" s="26" t="s">
        <v>805</v>
      </c>
      <c r="EZ7" s="165">
        <f t="shared" si="49"/>
        <v>49.74</v>
      </c>
      <c r="FA7" s="166">
        <f t="shared" si="50"/>
        <v>6665.16</v>
      </c>
      <c r="FB7" s="26">
        <v>72</v>
      </c>
      <c r="FE7" s="160"/>
      <c r="FF7" s="161"/>
      <c r="FG7" s="162"/>
      <c r="FH7" s="163"/>
      <c r="FI7" s="162"/>
      <c r="FJ7" s="163"/>
      <c r="FK7" s="162"/>
      <c r="FL7" s="163"/>
    </row>
    <row r="8" spans="1:168" ht="15.6" customHeight="1" x14ac:dyDescent="0.3">
      <c r="A8" s="26">
        <v>4</v>
      </c>
      <c r="B8" s="26" t="s">
        <v>828</v>
      </c>
      <c r="C8" s="30">
        <v>3</v>
      </c>
      <c r="D8" s="30" t="s">
        <v>805</v>
      </c>
      <c r="E8" s="164">
        <f>E7</f>
        <v>77</v>
      </c>
      <c r="F8" s="159">
        <f t="shared" si="0"/>
        <v>231</v>
      </c>
      <c r="G8" s="30">
        <v>6</v>
      </c>
      <c r="H8" s="30" t="s">
        <v>806</v>
      </c>
      <c r="I8" s="164">
        <f t="shared" si="1"/>
        <v>77</v>
      </c>
      <c r="J8" s="34">
        <f t="shared" si="2"/>
        <v>462</v>
      </c>
      <c r="K8" s="30">
        <v>3</v>
      </c>
      <c r="L8" s="30" t="s">
        <v>805</v>
      </c>
      <c r="M8" s="164">
        <f t="shared" si="3"/>
        <v>77</v>
      </c>
      <c r="N8" s="159">
        <f t="shared" si="4"/>
        <v>231</v>
      </c>
      <c r="O8" s="30">
        <v>77</v>
      </c>
      <c r="Q8" s="26">
        <v>4</v>
      </c>
      <c r="R8" s="26" t="s">
        <v>829</v>
      </c>
      <c r="S8" s="26">
        <v>6</v>
      </c>
      <c r="T8" s="26" t="s">
        <v>805</v>
      </c>
      <c r="U8" s="165">
        <f>U7</f>
        <v>77</v>
      </c>
      <c r="V8" s="166">
        <f t="shared" si="5"/>
        <v>462</v>
      </c>
      <c r="W8" s="26">
        <v>12</v>
      </c>
      <c r="X8" s="26" t="s">
        <v>806</v>
      </c>
      <c r="Y8" s="165">
        <f t="shared" si="6"/>
        <v>77</v>
      </c>
      <c r="Z8" s="33">
        <f t="shared" si="7"/>
        <v>924</v>
      </c>
      <c r="AA8" s="26">
        <v>6</v>
      </c>
      <c r="AB8" s="26" t="s">
        <v>805</v>
      </c>
      <c r="AC8" s="165">
        <f t="shared" si="8"/>
        <v>77</v>
      </c>
      <c r="AD8" s="166">
        <f t="shared" si="9"/>
        <v>462</v>
      </c>
      <c r="AE8" s="165">
        <v>77</v>
      </c>
      <c r="AG8" s="167">
        <v>4</v>
      </c>
      <c r="AH8" s="26" t="s">
        <v>830</v>
      </c>
      <c r="AI8" s="26">
        <v>5</v>
      </c>
      <c r="AJ8" s="26" t="s">
        <v>805</v>
      </c>
      <c r="AK8" s="165">
        <f>AK7</f>
        <v>77</v>
      </c>
      <c r="AL8" s="166">
        <f t="shared" si="10"/>
        <v>385</v>
      </c>
      <c r="AM8" s="26">
        <v>10</v>
      </c>
      <c r="AN8" s="26" t="s">
        <v>806</v>
      </c>
      <c r="AO8" s="165">
        <f t="shared" si="11"/>
        <v>77</v>
      </c>
      <c r="AP8" s="33">
        <f t="shared" si="12"/>
        <v>770</v>
      </c>
      <c r="AQ8" s="26">
        <v>5</v>
      </c>
      <c r="AR8" s="26" t="s">
        <v>805</v>
      </c>
      <c r="AS8" s="165">
        <f t="shared" si="13"/>
        <v>77</v>
      </c>
      <c r="AT8" s="166">
        <f t="shared" si="14"/>
        <v>385</v>
      </c>
      <c r="AU8" s="26">
        <v>77</v>
      </c>
      <c r="AW8" s="167">
        <v>4</v>
      </c>
      <c r="AX8" s="26" t="s">
        <v>830</v>
      </c>
      <c r="AY8" s="26">
        <v>5</v>
      </c>
      <c r="AZ8" s="26" t="s">
        <v>805</v>
      </c>
      <c r="BA8" s="165">
        <f>Rates!C18</f>
        <v>77</v>
      </c>
      <c r="BB8" s="166">
        <f t="shared" si="15"/>
        <v>385</v>
      </c>
      <c r="BC8" s="26">
        <v>10</v>
      </c>
      <c r="BD8" s="26" t="s">
        <v>806</v>
      </c>
      <c r="BE8" s="165">
        <f t="shared" si="16"/>
        <v>77</v>
      </c>
      <c r="BF8" s="33">
        <f t="shared" si="17"/>
        <v>770</v>
      </c>
      <c r="BG8" s="26">
        <v>5</v>
      </c>
      <c r="BH8" s="26" t="s">
        <v>805</v>
      </c>
      <c r="BI8" s="165">
        <f t="shared" si="18"/>
        <v>77</v>
      </c>
      <c r="BJ8" s="166">
        <f t="shared" si="19"/>
        <v>385</v>
      </c>
      <c r="BK8" s="26">
        <v>77</v>
      </c>
      <c r="BM8" s="167">
        <v>4</v>
      </c>
      <c r="BN8" s="26" t="s">
        <v>831</v>
      </c>
      <c r="BO8" s="26">
        <v>5.4</v>
      </c>
      <c r="BP8" s="26" t="s">
        <v>805</v>
      </c>
      <c r="BQ8" s="165">
        <f>Rates!C18</f>
        <v>77</v>
      </c>
      <c r="BR8" s="166">
        <f t="shared" si="20"/>
        <v>415.8</v>
      </c>
      <c r="BS8" s="26">
        <v>10.8</v>
      </c>
      <c r="BT8" s="26" t="s">
        <v>806</v>
      </c>
      <c r="BU8" s="165">
        <f t="shared" si="21"/>
        <v>77</v>
      </c>
      <c r="BV8" s="33">
        <f t="shared" si="22"/>
        <v>831.6</v>
      </c>
      <c r="BW8" s="26">
        <v>5.4</v>
      </c>
      <c r="BX8" s="26" t="s">
        <v>805</v>
      </c>
      <c r="BY8" s="165">
        <f t="shared" si="23"/>
        <v>77</v>
      </c>
      <c r="BZ8" s="166">
        <f t="shared" si="24"/>
        <v>415.8</v>
      </c>
      <c r="CA8" s="26">
        <v>77</v>
      </c>
      <c r="CC8" s="167">
        <v>4</v>
      </c>
      <c r="CD8" s="26" t="s">
        <v>832</v>
      </c>
      <c r="CE8" s="26">
        <v>7</v>
      </c>
      <c r="CF8" s="26" t="s">
        <v>805</v>
      </c>
      <c r="CG8" s="165">
        <f>Rates!C18</f>
        <v>77</v>
      </c>
      <c r="CH8" s="166">
        <f t="shared" si="25"/>
        <v>539</v>
      </c>
      <c r="CI8" s="26">
        <v>14</v>
      </c>
      <c r="CJ8" s="26" t="s">
        <v>806</v>
      </c>
      <c r="CK8" s="165">
        <f t="shared" si="26"/>
        <v>77</v>
      </c>
      <c r="CL8" s="33">
        <f t="shared" si="27"/>
        <v>1078</v>
      </c>
      <c r="CM8" s="26">
        <v>7</v>
      </c>
      <c r="CN8" s="26" t="s">
        <v>805</v>
      </c>
      <c r="CO8" s="165">
        <f t="shared" si="28"/>
        <v>77</v>
      </c>
      <c r="CP8" s="166">
        <f t="shared" si="29"/>
        <v>539</v>
      </c>
      <c r="CQ8" s="26">
        <v>77</v>
      </c>
      <c r="CS8" s="167">
        <v>4</v>
      </c>
      <c r="CT8" s="26" t="s">
        <v>833</v>
      </c>
      <c r="CU8" s="26">
        <v>7</v>
      </c>
      <c r="CV8" s="26" t="s">
        <v>805</v>
      </c>
      <c r="CW8" s="165">
        <f>Rates!C18</f>
        <v>77</v>
      </c>
      <c r="CX8" s="166">
        <f t="shared" si="30"/>
        <v>539</v>
      </c>
      <c r="CY8" s="26">
        <v>14</v>
      </c>
      <c r="CZ8" s="26" t="s">
        <v>806</v>
      </c>
      <c r="DA8" s="165">
        <f t="shared" si="31"/>
        <v>77</v>
      </c>
      <c r="DB8" s="33">
        <f t="shared" si="32"/>
        <v>1078</v>
      </c>
      <c r="DC8" s="26">
        <v>7</v>
      </c>
      <c r="DD8" s="26" t="s">
        <v>805</v>
      </c>
      <c r="DE8" s="165">
        <f t="shared" si="33"/>
        <v>77</v>
      </c>
      <c r="DF8" s="166">
        <f t="shared" si="34"/>
        <v>539</v>
      </c>
      <c r="DG8" s="26">
        <f t="shared" si="35"/>
        <v>0</v>
      </c>
      <c r="DH8" s="167">
        <v>4</v>
      </c>
      <c r="DI8" s="26" t="s">
        <v>834</v>
      </c>
      <c r="DJ8" s="26">
        <v>10</v>
      </c>
      <c r="DK8" s="26" t="s">
        <v>805</v>
      </c>
      <c r="DL8" s="165">
        <f>Rates!C18</f>
        <v>77</v>
      </c>
      <c r="DM8" s="166">
        <f t="shared" si="36"/>
        <v>770</v>
      </c>
      <c r="DN8" s="26">
        <v>20</v>
      </c>
      <c r="DO8" s="26" t="s">
        <v>806</v>
      </c>
      <c r="DP8" s="165">
        <f t="shared" si="37"/>
        <v>77</v>
      </c>
      <c r="DQ8" s="33">
        <f t="shared" si="38"/>
        <v>1540</v>
      </c>
      <c r="DR8" s="26">
        <v>10</v>
      </c>
      <c r="DS8" s="26" t="s">
        <v>805</v>
      </c>
      <c r="DT8" s="165">
        <f t="shared" si="39"/>
        <v>77</v>
      </c>
      <c r="DU8" s="166">
        <f t="shared" si="40"/>
        <v>770</v>
      </c>
      <c r="DV8" s="26">
        <v>77</v>
      </c>
      <c r="DX8" s="167">
        <v>4</v>
      </c>
      <c r="DY8" s="26" t="s">
        <v>835</v>
      </c>
      <c r="DZ8" s="26">
        <v>10</v>
      </c>
      <c r="EA8" s="26" t="s">
        <v>805</v>
      </c>
      <c r="EB8" s="165">
        <f>Rates!C18</f>
        <v>77</v>
      </c>
      <c r="EC8" s="166">
        <f t="shared" si="41"/>
        <v>770</v>
      </c>
      <c r="ED8" s="26">
        <v>20</v>
      </c>
      <c r="EE8" s="26" t="s">
        <v>806</v>
      </c>
      <c r="EF8" s="165">
        <f t="shared" si="42"/>
        <v>77</v>
      </c>
      <c r="EG8" s="33">
        <f t="shared" si="43"/>
        <v>1540</v>
      </c>
      <c r="EH8" s="26">
        <v>10</v>
      </c>
      <c r="EI8" s="26" t="s">
        <v>805</v>
      </c>
      <c r="EJ8" s="165">
        <f t="shared" si="44"/>
        <v>77</v>
      </c>
      <c r="EK8" s="166">
        <f t="shared" si="45"/>
        <v>770</v>
      </c>
      <c r="EL8" s="26">
        <v>77</v>
      </c>
      <c r="EN8" s="167">
        <v>4</v>
      </c>
      <c r="EO8" s="26" t="s">
        <v>836</v>
      </c>
      <c r="EP8" s="26">
        <v>12</v>
      </c>
      <c r="EQ8" s="26" t="s">
        <v>805</v>
      </c>
      <c r="ER8" s="165">
        <f>Rates!C18</f>
        <v>77</v>
      </c>
      <c r="ES8" s="166">
        <f t="shared" si="46"/>
        <v>924</v>
      </c>
      <c r="ET8" s="26">
        <v>24</v>
      </c>
      <c r="EU8" s="26" t="s">
        <v>806</v>
      </c>
      <c r="EV8" s="165">
        <f t="shared" si="47"/>
        <v>77</v>
      </c>
      <c r="EW8" s="33">
        <f t="shared" si="48"/>
        <v>1848</v>
      </c>
      <c r="EX8" s="26">
        <v>12</v>
      </c>
      <c r="EY8" s="26" t="s">
        <v>805</v>
      </c>
      <c r="EZ8" s="165">
        <f t="shared" si="49"/>
        <v>77</v>
      </c>
      <c r="FA8" s="166">
        <f t="shared" si="50"/>
        <v>924</v>
      </c>
      <c r="FB8" s="26">
        <v>77</v>
      </c>
      <c r="FE8" s="160"/>
      <c r="FF8" s="161"/>
      <c r="FG8" s="162"/>
      <c r="FH8" s="163"/>
      <c r="FI8" s="162"/>
      <c r="FJ8" s="163"/>
      <c r="FK8" s="162"/>
      <c r="FL8" s="163"/>
    </row>
    <row r="9" spans="1:168" ht="15.6" customHeight="1" x14ac:dyDescent="0.3">
      <c r="A9" s="26">
        <v>5</v>
      </c>
      <c r="B9" s="26" t="s">
        <v>837</v>
      </c>
      <c r="C9" s="30">
        <v>1.5</v>
      </c>
      <c r="D9" s="30" t="s">
        <v>805</v>
      </c>
      <c r="E9" s="164">
        <f>E8</f>
        <v>77</v>
      </c>
      <c r="F9" s="159">
        <f t="shared" si="0"/>
        <v>115.5</v>
      </c>
      <c r="G9" s="30">
        <v>3</v>
      </c>
      <c r="H9" s="30" t="s">
        <v>805</v>
      </c>
      <c r="I9" s="164">
        <f t="shared" si="1"/>
        <v>77</v>
      </c>
      <c r="J9" s="34">
        <f t="shared" si="2"/>
        <v>231</v>
      </c>
      <c r="K9" s="30">
        <v>1.5</v>
      </c>
      <c r="L9" s="30" t="s">
        <v>805</v>
      </c>
      <c r="M9" s="164">
        <f t="shared" si="3"/>
        <v>77</v>
      </c>
      <c r="N9" s="159">
        <f t="shared" si="4"/>
        <v>115.5</v>
      </c>
      <c r="O9" s="30">
        <v>77</v>
      </c>
      <c r="Q9" s="26">
        <v>5</v>
      </c>
      <c r="R9" s="26" t="s">
        <v>838</v>
      </c>
      <c r="S9" s="26">
        <v>10.8</v>
      </c>
      <c r="T9" s="26" t="s">
        <v>805</v>
      </c>
      <c r="U9" s="165">
        <f>Rates!C20</f>
        <v>51.7</v>
      </c>
      <c r="V9" s="166">
        <f t="shared" si="5"/>
        <v>558.36</v>
      </c>
      <c r="W9" s="26">
        <v>10.8</v>
      </c>
      <c r="X9" s="26" t="s">
        <v>806</v>
      </c>
      <c r="Y9" s="165">
        <f t="shared" si="6"/>
        <v>51.7</v>
      </c>
      <c r="Z9" s="33">
        <f t="shared" si="7"/>
        <v>558.36</v>
      </c>
      <c r="AA9" s="26">
        <v>10.8</v>
      </c>
      <c r="AB9" s="26" t="s">
        <v>805</v>
      </c>
      <c r="AC9" s="165">
        <f t="shared" si="8"/>
        <v>51.7</v>
      </c>
      <c r="AD9" s="166">
        <f t="shared" si="9"/>
        <v>558.36</v>
      </c>
      <c r="AE9" s="165">
        <v>72</v>
      </c>
      <c r="AG9" s="167">
        <v>5</v>
      </c>
      <c r="AH9" s="26" t="s">
        <v>839</v>
      </c>
      <c r="AI9" s="26">
        <v>3.8</v>
      </c>
      <c r="AJ9" s="26" t="s">
        <v>805</v>
      </c>
      <c r="AK9" s="165">
        <f>AK8</f>
        <v>77</v>
      </c>
      <c r="AL9" s="166">
        <f t="shared" si="10"/>
        <v>292.59999999999997</v>
      </c>
      <c r="AM9" s="26">
        <v>7.6</v>
      </c>
      <c r="AN9" s="26" t="s">
        <v>805</v>
      </c>
      <c r="AO9" s="165">
        <f t="shared" si="11"/>
        <v>77</v>
      </c>
      <c r="AP9" s="33">
        <f t="shared" si="12"/>
        <v>585.19999999999993</v>
      </c>
      <c r="AQ9" s="26">
        <v>3.8</v>
      </c>
      <c r="AR9" s="26" t="s">
        <v>805</v>
      </c>
      <c r="AS9" s="165">
        <f t="shared" si="13"/>
        <v>77</v>
      </c>
      <c r="AT9" s="166">
        <f t="shared" si="14"/>
        <v>292.59999999999997</v>
      </c>
      <c r="AU9" s="26">
        <v>77</v>
      </c>
      <c r="AW9" s="167">
        <v>5</v>
      </c>
      <c r="AX9" s="26" t="s">
        <v>839</v>
      </c>
      <c r="AY9" s="26">
        <v>3.8</v>
      </c>
      <c r="AZ9" s="26" t="s">
        <v>805</v>
      </c>
      <c r="BA9" s="165">
        <f>Rates!C18</f>
        <v>77</v>
      </c>
      <c r="BB9" s="166">
        <f t="shared" si="15"/>
        <v>292.59999999999997</v>
      </c>
      <c r="BC9" s="26">
        <v>7.6</v>
      </c>
      <c r="BD9" s="26" t="s">
        <v>805</v>
      </c>
      <c r="BE9" s="165">
        <f t="shared" si="16"/>
        <v>77</v>
      </c>
      <c r="BF9" s="33">
        <f t="shared" si="17"/>
        <v>585.19999999999993</v>
      </c>
      <c r="BG9" s="26">
        <v>3.8</v>
      </c>
      <c r="BH9" s="26" t="s">
        <v>805</v>
      </c>
      <c r="BI9" s="165">
        <f t="shared" si="18"/>
        <v>77</v>
      </c>
      <c r="BJ9" s="166">
        <f t="shared" si="19"/>
        <v>292.59999999999997</v>
      </c>
      <c r="BK9" s="26">
        <v>77</v>
      </c>
      <c r="BM9" s="167">
        <v>5</v>
      </c>
      <c r="BN9" s="26" t="s">
        <v>840</v>
      </c>
      <c r="BO9" s="26">
        <v>5.5</v>
      </c>
      <c r="BP9" s="26" t="s">
        <v>805</v>
      </c>
      <c r="BQ9" s="165">
        <f>Rates!C18</f>
        <v>77</v>
      </c>
      <c r="BR9" s="166">
        <f t="shared" si="20"/>
        <v>423.5</v>
      </c>
      <c r="BS9" s="26">
        <v>11</v>
      </c>
      <c r="BT9" s="26" t="s">
        <v>805</v>
      </c>
      <c r="BU9" s="165">
        <f t="shared" si="21"/>
        <v>77</v>
      </c>
      <c r="BV9" s="33">
        <f t="shared" si="22"/>
        <v>847</v>
      </c>
      <c r="BW9" s="26">
        <v>5.5</v>
      </c>
      <c r="BX9" s="26" t="s">
        <v>805</v>
      </c>
      <c r="BY9" s="165">
        <f t="shared" si="23"/>
        <v>77</v>
      </c>
      <c r="BZ9" s="166">
        <f t="shared" si="24"/>
        <v>423.5</v>
      </c>
      <c r="CA9" s="26">
        <v>77</v>
      </c>
      <c r="CC9" s="167">
        <v>5</v>
      </c>
      <c r="CD9" s="26" t="s">
        <v>841</v>
      </c>
      <c r="CE9" s="26">
        <v>6.5</v>
      </c>
      <c r="CF9" s="26" t="s">
        <v>805</v>
      </c>
      <c r="CG9" s="165">
        <f>Rates!C18</f>
        <v>77</v>
      </c>
      <c r="CH9" s="166">
        <f t="shared" si="25"/>
        <v>500.5</v>
      </c>
      <c r="CI9" s="26">
        <v>13</v>
      </c>
      <c r="CJ9" s="26" t="s">
        <v>805</v>
      </c>
      <c r="CK9" s="165">
        <f t="shared" si="26"/>
        <v>77</v>
      </c>
      <c r="CL9" s="33">
        <f t="shared" si="27"/>
        <v>1001</v>
      </c>
      <c r="CM9" s="26">
        <v>6.5</v>
      </c>
      <c r="CN9" s="26" t="s">
        <v>805</v>
      </c>
      <c r="CO9" s="165">
        <f t="shared" si="28"/>
        <v>77</v>
      </c>
      <c r="CP9" s="166">
        <f t="shared" si="29"/>
        <v>500.5</v>
      </c>
      <c r="CQ9" s="26">
        <v>77</v>
      </c>
      <c r="CS9" s="167">
        <v>5</v>
      </c>
      <c r="CT9" s="26" t="s">
        <v>841</v>
      </c>
      <c r="CU9" s="26">
        <v>6.5</v>
      </c>
      <c r="CV9" s="26" t="s">
        <v>805</v>
      </c>
      <c r="CW9" s="165">
        <f>Rates!C18</f>
        <v>77</v>
      </c>
      <c r="CX9" s="166">
        <f t="shared" si="30"/>
        <v>500.5</v>
      </c>
      <c r="CY9" s="26">
        <v>13</v>
      </c>
      <c r="CZ9" s="26" t="s">
        <v>805</v>
      </c>
      <c r="DA9" s="165">
        <f t="shared" si="31"/>
        <v>77</v>
      </c>
      <c r="DB9" s="33">
        <f t="shared" si="32"/>
        <v>1001</v>
      </c>
      <c r="DC9" s="26">
        <v>6.5</v>
      </c>
      <c r="DD9" s="26" t="s">
        <v>805</v>
      </c>
      <c r="DE9" s="165">
        <f t="shared" si="33"/>
        <v>77</v>
      </c>
      <c r="DF9" s="166">
        <f t="shared" si="34"/>
        <v>500.5</v>
      </c>
      <c r="DG9" s="26">
        <f t="shared" si="35"/>
        <v>0</v>
      </c>
      <c r="DH9" s="167">
        <v>5</v>
      </c>
      <c r="DI9" s="26" t="s">
        <v>842</v>
      </c>
      <c r="DJ9" s="26">
        <v>13.4</v>
      </c>
      <c r="DK9" s="26" t="s">
        <v>805</v>
      </c>
      <c r="DL9" s="165">
        <f>Rates!C18</f>
        <v>77</v>
      </c>
      <c r="DM9" s="166">
        <f t="shared" si="36"/>
        <v>1031.8</v>
      </c>
      <c r="DN9" s="26">
        <v>26.8</v>
      </c>
      <c r="DO9" s="26" t="s">
        <v>805</v>
      </c>
      <c r="DP9" s="165">
        <f t="shared" si="37"/>
        <v>77</v>
      </c>
      <c r="DQ9" s="33">
        <f t="shared" si="38"/>
        <v>2063.6</v>
      </c>
      <c r="DR9" s="26">
        <v>13.4</v>
      </c>
      <c r="DS9" s="26" t="s">
        <v>805</v>
      </c>
      <c r="DT9" s="165">
        <f t="shared" si="39"/>
        <v>77</v>
      </c>
      <c r="DU9" s="166">
        <f t="shared" si="40"/>
        <v>1031.8</v>
      </c>
      <c r="DV9" s="26">
        <v>77</v>
      </c>
      <c r="DX9" s="167">
        <v>5</v>
      </c>
      <c r="DY9" s="26" t="s">
        <v>843</v>
      </c>
      <c r="DZ9" s="26">
        <v>14</v>
      </c>
      <c r="EA9" s="26" t="s">
        <v>805</v>
      </c>
      <c r="EB9" s="165">
        <f>Rates!C18</f>
        <v>77</v>
      </c>
      <c r="EC9" s="166">
        <f t="shared" si="41"/>
        <v>1078</v>
      </c>
      <c r="ED9" s="26">
        <v>28</v>
      </c>
      <c r="EE9" s="26" t="s">
        <v>805</v>
      </c>
      <c r="EF9" s="165">
        <f t="shared" si="42"/>
        <v>77</v>
      </c>
      <c r="EG9" s="33">
        <f t="shared" si="43"/>
        <v>2156</v>
      </c>
      <c r="EH9" s="26">
        <v>14</v>
      </c>
      <c r="EI9" s="26" t="s">
        <v>805</v>
      </c>
      <c r="EJ9" s="165">
        <f t="shared" si="44"/>
        <v>77</v>
      </c>
      <c r="EK9" s="166">
        <f t="shared" si="45"/>
        <v>1078</v>
      </c>
      <c r="EL9" s="26">
        <v>77</v>
      </c>
      <c r="EN9" s="167">
        <v>5</v>
      </c>
      <c r="EO9" s="26" t="s">
        <v>844</v>
      </c>
      <c r="EP9" s="26">
        <v>21</v>
      </c>
      <c r="EQ9" s="26" t="s">
        <v>805</v>
      </c>
      <c r="ER9" s="165">
        <f>Rates!C18</f>
        <v>77</v>
      </c>
      <c r="ES9" s="166">
        <f t="shared" si="46"/>
        <v>1617</v>
      </c>
      <c r="ET9" s="26">
        <v>42</v>
      </c>
      <c r="EU9" s="26" t="s">
        <v>805</v>
      </c>
      <c r="EV9" s="165">
        <f t="shared" si="47"/>
        <v>77</v>
      </c>
      <c r="EW9" s="33">
        <f t="shared" si="48"/>
        <v>3234</v>
      </c>
      <c r="EX9" s="26">
        <v>21</v>
      </c>
      <c r="EY9" s="26" t="s">
        <v>805</v>
      </c>
      <c r="EZ9" s="165">
        <f t="shared" si="49"/>
        <v>77</v>
      </c>
      <c r="FA9" s="166">
        <f t="shared" si="50"/>
        <v>1617</v>
      </c>
      <c r="FB9" s="26">
        <v>77</v>
      </c>
      <c r="FE9" s="160"/>
      <c r="FF9" s="161"/>
      <c r="FG9" s="162"/>
      <c r="FH9" s="163"/>
      <c r="FI9" s="162"/>
      <c r="FJ9" s="163"/>
      <c r="FK9" s="162"/>
      <c r="FL9" s="163"/>
    </row>
    <row r="10" spans="1:168" ht="15.6" customHeight="1" x14ac:dyDescent="0.3">
      <c r="A10" s="26">
        <v>6</v>
      </c>
      <c r="B10" s="26" t="s">
        <v>838</v>
      </c>
      <c r="C10" s="30">
        <v>10.8</v>
      </c>
      <c r="D10" s="30" t="s">
        <v>805</v>
      </c>
      <c r="E10" s="164">
        <f>Rates!C20</f>
        <v>51.7</v>
      </c>
      <c r="F10" s="159">
        <f t="shared" si="0"/>
        <v>558.36</v>
      </c>
      <c r="G10" s="30">
        <v>10.8</v>
      </c>
      <c r="H10" s="30" t="s">
        <v>806</v>
      </c>
      <c r="I10" s="164">
        <f t="shared" si="1"/>
        <v>51.7</v>
      </c>
      <c r="J10" s="34">
        <f t="shared" si="2"/>
        <v>558.36</v>
      </c>
      <c r="K10" s="30">
        <v>10.8</v>
      </c>
      <c r="L10" s="30" t="s">
        <v>805</v>
      </c>
      <c r="M10" s="164">
        <f t="shared" si="3"/>
        <v>51.7</v>
      </c>
      <c r="N10" s="159">
        <f t="shared" si="4"/>
        <v>558.36</v>
      </c>
      <c r="O10" s="30">
        <v>72</v>
      </c>
      <c r="Q10" s="26">
        <v>6</v>
      </c>
      <c r="R10" s="26" t="s">
        <v>845</v>
      </c>
      <c r="S10" s="26">
        <v>9.8000000000000007</v>
      </c>
      <c r="T10" s="26" t="s">
        <v>805</v>
      </c>
      <c r="U10" s="165">
        <f>Rates!C12</f>
        <v>51.02</v>
      </c>
      <c r="V10" s="166">
        <f t="shared" si="5"/>
        <v>499.99600000000009</v>
      </c>
      <c r="W10" s="26">
        <v>19.600000000000001</v>
      </c>
      <c r="X10" s="26" t="s">
        <v>805</v>
      </c>
      <c r="Y10" s="165">
        <f t="shared" si="6"/>
        <v>51.02</v>
      </c>
      <c r="Z10" s="33">
        <f t="shared" si="7"/>
        <v>999.99200000000019</v>
      </c>
      <c r="AA10" s="26">
        <v>9.8000000000000007</v>
      </c>
      <c r="AB10" s="26" t="s">
        <v>805</v>
      </c>
      <c r="AC10" s="165">
        <f t="shared" si="8"/>
        <v>51.02</v>
      </c>
      <c r="AD10" s="166">
        <f t="shared" si="9"/>
        <v>499.99600000000009</v>
      </c>
      <c r="AE10" s="165">
        <v>72</v>
      </c>
      <c r="AG10" s="167">
        <v>6</v>
      </c>
      <c r="AH10" s="26" t="s">
        <v>838</v>
      </c>
      <c r="AI10" s="26">
        <v>10.8</v>
      </c>
      <c r="AJ10" s="26" t="s">
        <v>805</v>
      </c>
      <c r="AK10" s="165">
        <f>AK6</f>
        <v>49.74</v>
      </c>
      <c r="AL10" s="166">
        <f t="shared" si="10"/>
        <v>537.19200000000001</v>
      </c>
      <c r="AM10" s="26">
        <v>10.8</v>
      </c>
      <c r="AN10" s="26" t="s">
        <v>806</v>
      </c>
      <c r="AO10" s="165">
        <f t="shared" si="11"/>
        <v>49.74</v>
      </c>
      <c r="AP10" s="33">
        <f t="shared" si="12"/>
        <v>537.19200000000001</v>
      </c>
      <c r="AQ10" s="26">
        <v>10.8</v>
      </c>
      <c r="AR10" s="26" t="s">
        <v>805</v>
      </c>
      <c r="AS10" s="165">
        <f t="shared" si="13"/>
        <v>49.74</v>
      </c>
      <c r="AT10" s="166">
        <f t="shared" si="14"/>
        <v>537.19200000000001</v>
      </c>
      <c r="AU10" s="26">
        <v>72</v>
      </c>
      <c r="AW10" s="167">
        <v>6</v>
      </c>
      <c r="AX10" s="26" t="s">
        <v>838</v>
      </c>
      <c r="AY10" s="26">
        <v>10.8</v>
      </c>
      <c r="AZ10" s="26" t="s">
        <v>805</v>
      </c>
      <c r="BA10" s="165">
        <f>Rates!C20</f>
        <v>51.7</v>
      </c>
      <c r="BB10" s="166">
        <f t="shared" si="15"/>
        <v>558.36</v>
      </c>
      <c r="BC10" s="26">
        <v>10.8</v>
      </c>
      <c r="BD10" s="26" t="s">
        <v>806</v>
      </c>
      <c r="BE10" s="165">
        <f t="shared" si="16"/>
        <v>51.7</v>
      </c>
      <c r="BF10" s="33">
        <f t="shared" si="17"/>
        <v>558.36</v>
      </c>
      <c r="BG10" s="26">
        <v>10.8</v>
      </c>
      <c r="BH10" s="26" t="s">
        <v>805</v>
      </c>
      <c r="BI10" s="165">
        <f t="shared" si="18"/>
        <v>51.7</v>
      </c>
      <c r="BJ10" s="166">
        <f t="shared" si="19"/>
        <v>558.36</v>
      </c>
      <c r="BK10" s="26">
        <v>72</v>
      </c>
      <c r="BM10" s="167">
        <v>6</v>
      </c>
      <c r="BN10" s="26" t="s">
        <v>838</v>
      </c>
      <c r="BO10" s="26">
        <v>10.8</v>
      </c>
      <c r="BP10" s="26" t="s">
        <v>805</v>
      </c>
      <c r="BQ10" s="165">
        <f>Rates!C20</f>
        <v>51.7</v>
      </c>
      <c r="BR10" s="166">
        <f t="shared" si="20"/>
        <v>558.36</v>
      </c>
      <c r="BS10" s="26">
        <v>10.8</v>
      </c>
      <c r="BT10" s="26" t="s">
        <v>806</v>
      </c>
      <c r="BU10" s="165">
        <f t="shared" si="21"/>
        <v>51.7</v>
      </c>
      <c r="BV10" s="33">
        <f t="shared" si="22"/>
        <v>558.36</v>
      </c>
      <c r="BW10" s="26">
        <v>10.8</v>
      </c>
      <c r="BX10" s="26" t="s">
        <v>805</v>
      </c>
      <c r="BY10" s="165">
        <f t="shared" si="23"/>
        <v>51.7</v>
      </c>
      <c r="BZ10" s="166">
        <f t="shared" si="24"/>
        <v>558.36</v>
      </c>
      <c r="CA10" s="26">
        <v>72</v>
      </c>
      <c r="CC10" s="167">
        <v>6</v>
      </c>
      <c r="CD10" s="26" t="s">
        <v>838</v>
      </c>
      <c r="CE10" s="26">
        <v>10.8</v>
      </c>
      <c r="CF10" s="26" t="s">
        <v>805</v>
      </c>
      <c r="CG10" s="165">
        <f>Rates!C20</f>
        <v>51.7</v>
      </c>
      <c r="CH10" s="166">
        <f t="shared" si="25"/>
        <v>558.36</v>
      </c>
      <c r="CI10" s="26">
        <v>10.8</v>
      </c>
      <c r="CJ10" s="26" t="s">
        <v>806</v>
      </c>
      <c r="CK10" s="165">
        <f t="shared" si="26"/>
        <v>51.7</v>
      </c>
      <c r="CL10" s="33">
        <f t="shared" si="27"/>
        <v>558.36</v>
      </c>
      <c r="CM10" s="26">
        <v>10.8</v>
      </c>
      <c r="CN10" s="26" t="s">
        <v>805</v>
      </c>
      <c r="CO10" s="165">
        <f t="shared" si="28"/>
        <v>51.7</v>
      </c>
      <c r="CP10" s="166">
        <f t="shared" si="29"/>
        <v>558.36</v>
      </c>
      <c r="CQ10" s="26">
        <v>72</v>
      </c>
      <c r="CS10" s="167">
        <v>6</v>
      </c>
      <c r="CT10" s="26" t="s">
        <v>838</v>
      </c>
      <c r="CU10" s="26">
        <v>10.8</v>
      </c>
      <c r="CV10" s="26" t="s">
        <v>805</v>
      </c>
      <c r="CW10" s="165">
        <f>Rates!C20</f>
        <v>51.7</v>
      </c>
      <c r="CX10" s="166">
        <f t="shared" si="30"/>
        <v>558.36</v>
      </c>
      <c r="CY10" s="26">
        <v>10.8</v>
      </c>
      <c r="CZ10" s="26" t="s">
        <v>806</v>
      </c>
      <c r="DA10" s="165">
        <f t="shared" si="31"/>
        <v>51.7</v>
      </c>
      <c r="DB10" s="33">
        <f t="shared" si="32"/>
        <v>558.36</v>
      </c>
      <c r="DC10" s="26">
        <v>10.8</v>
      </c>
      <c r="DD10" s="26" t="s">
        <v>805</v>
      </c>
      <c r="DE10" s="165">
        <f t="shared" si="33"/>
        <v>51.7</v>
      </c>
      <c r="DF10" s="166">
        <f t="shared" si="34"/>
        <v>558.36</v>
      </c>
      <c r="DG10" s="26">
        <f t="shared" si="35"/>
        <v>0</v>
      </c>
      <c r="DH10" s="167">
        <v>6</v>
      </c>
      <c r="DI10" s="26" t="s">
        <v>838</v>
      </c>
      <c r="DJ10" s="26">
        <v>14</v>
      </c>
      <c r="DK10" s="26" t="s">
        <v>805</v>
      </c>
      <c r="DL10" s="165">
        <f>Rates!C14</f>
        <v>49.74</v>
      </c>
      <c r="DM10" s="166">
        <f t="shared" si="36"/>
        <v>696.36</v>
      </c>
      <c r="DN10" s="26">
        <v>14</v>
      </c>
      <c r="DO10" s="26" t="s">
        <v>806</v>
      </c>
      <c r="DP10" s="165">
        <f t="shared" si="37"/>
        <v>49.74</v>
      </c>
      <c r="DQ10" s="33">
        <f t="shared" si="38"/>
        <v>696.36</v>
      </c>
      <c r="DR10" s="26">
        <v>14</v>
      </c>
      <c r="DS10" s="26" t="s">
        <v>805</v>
      </c>
      <c r="DT10" s="165">
        <f t="shared" si="39"/>
        <v>49.74</v>
      </c>
      <c r="DU10" s="166">
        <f t="shared" si="40"/>
        <v>696.36</v>
      </c>
      <c r="DV10" s="26">
        <v>72</v>
      </c>
      <c r="DX10" s="167">
        <v>6</v>
      </c>
      <c r="DY10" s="26" t="s">
        <v>838</v>
      </c>
      <c r="DZ10" s="26">
        <v>14</v>
      </c>
      <c r="EA10" s="26" t="s">
        <v>805</v>
      </c>
      <c r="EB10" s="165">
        <f>Rates!C14</f>
        <v>49.74</v>
      </c>
      <c r="EC10" s="166">
        <f t="shared" si="41"/>
        <v>696.36</v>
      </c>
      <c r="ED10" s="26">
        <v>14</v>
      </c>
      <c r="EE10" s="26" t="s">
        <v>806</v>
      </c>
      <c r="EF10" s="165">
        <f t="shared" si="42"/>
        <v>49.74</v>
      </c>
      <c r="EG10" s="33">
        <f t="shared" si="43"/>
        <v>696.36</v>
      </c>
      <c r="EH10" s="26">
        <v>14</v>
      </c>
      <c r="EI10" s="26" t="s">
        <v>805</v>
      </c>
      <c r="EJ10" s="165">
        <f t="shared" si="44"/>
        <v>49.74</v>
      </c>
      <c r="EK10" s="166">
        <f t="shared" si="45"/>
        <v>696.36</v>
      </c>
      <c r="EL10" s="26">
        <v>72</v>
      </c>
      <c r="EN10" s="167">
        <v>6</v>
      </c>
      <c r="EO10" s="26" t="s">
        <v>838</v>
      </c>
      <c r="EP10" s="26">
        <v>14</v>
      </c>
      <c r="EQ10" s="26" t="s">
        <v>805</v>
      </c>
      <c r="ER10" s="165">
        <f>Rates!C20</f>
        <v>51.7</v>
      </c>
      <c r="ES10" s="166">
        <f t="shared" si="46"/>
        <v>723.80000000000007</v>
      </c>
      <c r="ET10" s="26">
        <v>14</v>
      </c>
      <c r="EU10" s="26" t="s">
        <v>806</v>
      </c>
      <c r="EV10" s="165">
        <f t="shared" si="47"/>
        <v>51.7</v>
      </c>
      <c r="EW10" s="33">
        <f t="shared" si="48"/>
        <v>723.80000000000007</v>
      </c>
      <c r="EX10" s="26">
        <v>14</v>
      </c>
      <c r="EY10" s="26" t="s">
        <v>805</v>
      </c>
      <c r="EZ10" s="165">
        <f t="shared" si="49"/>
        <v>51.7</v>
      </c>
      <c r="FA10" s="166">
        <f t="shared" si="50"/>
        <v>723.80000000000007</v>
      </c>
      <c r="FB10" s="26">
        <v>72</v>
      </c>
      <c r="FE10" s="160"/>
      <c r="FF10" s="161"/>
      <c r="FG10" s="162"/>
      <c r="FH10" s="163"/>
      <c r="FI10" s="162"/>
      <c r="FJ10" s="163"/>
      <c r="FK10" s="162"/>
      <c r="FL10" s="163"/>
    </row>
    <row r="11" spans="1:168" ht="15.6" customHeight="1" x14ac:dyDescent="0.3">
      <c r="A11" s="26">
        <v>7</v>
      </c>
      <c r="B11" s="26" t="s">
        <v>846</v>
      </c>
      <c r="C11" s="30">
        <v>6</v>
      </c>
      <c r="D11" s="30" t="s">
        <v>805</v>
      </c>
      <c r="E11" s="164">
        <f>Rates!C13</f>
        <v>51.02</v>
      </c>
      <c r="F11" s="159">
        <f t="shared" si="0"/>
        <v>306.12</v>
      </c>
      <c r="G11" s="30">
        <v>12</v>
      </c>
      <c r="H11" s="30" t="s">
        <v>805</v>
      </c>
      <c r="I11" s="164">
        <f t="shared" si="1"/>
        <v>51.02</v>
      </c>
      <c r="J11" s="34">
        <f t="shared" si="2"/>
        <v>612.24</v>
      </c>
      <c r="K11" s="30">
        <v>6</v>
      </c>
      <c r="L11" s="30" t="s">
        <v>805</v>
      </c>
      <c r="M11" s="164">
        <f t="shared" si="3"/>
        <v>51.02</v>
      </c>
      <c r="N11" s="159">
        <f t="shared" si="4"/>
        <v>306.12</v>
      </c>
      <c r="O11" s="30">
        <v>72</v>
      </c>
      <c r="Q11" s="26">
        <v>7</v>
      </c>
      <c r="R11" s="26" t="s">
        <v>847</v>
      </c>
      <c r="S11" s="26">
        <v>2.2000000000000002</v>
      </c>
      <c r="T11" s="26" t="s">
        <v>805</v>
      </c>
      <c r="U11" s="165">
        <f>Rates!C14</f>
        <v>49.74</v>
      </c>
      <c r="V11" s="166">
        <f t="shared" si="5"/>
        <v>109.42800000000001</v>
      </c>
      <c r="W11" s="26">
        <v>4.4000000000000004</v>
      </c>
      <c r="X11" s="26" t="s">
        <v>805</v>
      </c>
      <c r="Y11" s="165">
        <f t="shared" si="6"/>
        <v>49.74</v>
      </c>
      <c r="Z11" s="33">
        <f t="shared" si="7"/>
        <v>218.85600000000002</v>
      </c>
      <c r="AA11" s="26">
        <v>2.2000000000000002</v>
      </c>
      <c r="AB11" s="26" t="s">
        <v>805</v>
      </c>
      <c r="AC11" s="165">
        <f t="shared" si="8"/>
        <v>49.74</v>
      </c>
      <c r="AD11" s="166">
        <f t="shared" si="9"/>
        <v>109.42800000000001</v>
      </c>
      <c r="AE11" s="165">
        <v>72</v>
      </c>
      <c r="AG11" s="167">
        <v>7</v>
      </c>
      <c r="AH11" s="26" t="s">
        <v>848</v>
      </c>
      <c r="AI11" s="26">
        <v>20</v>
      </c>
      <c r="AJ11" s="26" t="s">
        <v>805</v>
      </c>
      <c r="AK11" s="165">
        <f>Rates!C12</f>
        <v>51.02</v>
      </c>
      <c r="AL11" s="166">
        <f t="shared" si="10"/>
        <v>1020.4000000000001</v>
      </c>
      <c r="AM11" s="26">
        <v>40</v>
      </c>
      <c r="AN11" s="26" t="s">
        <v>805</v>
      </c>
      <c r="AO11" s="165">
        <f t="shared" si="11"/>
        <v>51.02</v>
      </c>
      <c r="AP11" s="33">
        <f t="shared" si="12"/>
        <v>2040.8000000000002</v>
      </c>
      <c r="AQ11" s="26">
        <v>20</v>
      </c>
      <c r="AR11" s="26" t="s">
        <v>805</v>
      </c>
      <c r="AS11" s="165">
        <f t="shared" si="13"/>
        <v>51.02</v>
      </c>
      <c r="AT11" s="166">
        <f t="shared" si="14"/>
        <v>1020.4000000000001</v>
      </c>
      <c r="AU11" s="26">
        <v>72</v>
      </c>
      <c r="AW11" s="167">
        <v>7</v>
      </c>
      <c r="AX11" s="26" t="s">
        <v>848</v>
      </c>
      <c r="AY11" s="26">
        <v>20</v>
      </c>
      <c r="AZ11" s="26" t="s">
        <v>805</v>
      </c>
      <c r="BA11" s="165">
        <f>Rates!C12</f>
        <v>51.02</v>
      </c>
      <c r="BB11" s="166">
        <f t="shared" si="15"/>
        <v>1020.4000000000001</v>
      </c>
      <c r="BC11" s="26">
        <v>40</v>
      </c>
      <c r="BD11" s="26" t="s">
        <v>805</v>
      </c>
      <c r="BE11" s="165">
        <f t="shared" si="16"/>
        <v>51.02</v>
      </c>
      <c r="BF11" s="33">
        <f t="shared" si="17"/>
        <v>2040.8000000000002</v>
      </c>
      <c r="BG11" s="26">
        <v>20</v>
      </c>
      <c r="BH11" s="26" t="s">
        <v>805</v>
      </c>
      <c r="BI11" s="165">
        <f t="shared" si="18"/>
        <v>51.02</v>
      </c>
      <c r="BJ11" s="166">
        <f t="shared" si="19"/>
        <v>1020.4000000000001</v>
      </c>
      <c r="BK11" s="26">
        <v>72</v>
      </c>
      <c r="BM11" s="167">
        <v>7</v>
      </c>
      <c r="BN11" s="26" t="s">
        <v>849</v>
      </c>
      <c r="BO11" s="26">
        <v>29</v>
      </c>
      <c r="BP11" s="26" t="s">
        <v>805</v>
      </c>
      <c r="BQ11" s="165">
        <f>Rates!C12</f>
        <v>51.02</v>
      </c>
      <c r="BR11" s="166">
        <f t="shared" si="20"/>
        <v>1479.5800000000002</v>
      </c>
      <c r="BS11" s="26">
        <v>58</v>
      </c>
      <c r="BT11" s="26" t="s">
        <v>805</v>
      </c>
      <c r="BU11" s="165">
        <f t="shared" si="21"/>
        <v>51.02</v>
      </c>
      <c r="BV11" s="33">
        <f t="shared" si="22"/>
        <v>2959.1600000000003</v>
      </c>
      <c r="BW11" s="26">
        <v>29</v>
      </c>
      <c r="BX11" s="26" t="s">
        <v>805</v>
      </c>
      <c r="BY11" s="165">
        <f t="shared" si="23"/>
        <v>51.02</v>
      </c>
      <c r="BZ11" s="166">
        <f t="shared" si="24"/>
        <v>1479.5800000000002</v>
      </c>
      <c r="CA11" s="26">
        <v>72</v>
      </c>
      <c r="CC11" s="167">
        <v>7</v>
      </c>
      <c r="CD11" s="26" t="s">
        <v>850</v>
      </c>
      <c r="CE11" s="26">
        <v>34</v>
      </c>
      <c r="CF11" s="26" t="s">
        <v>805</v>
      </c>
      <c r="CG11" s="165">
        <f>Rates!C12</f>
        <v>51.02</v>
      </c>
      <c r="CH11" s="166">
        <f t="shared" si="25"/>
        <v>1734.68</v>
      </c>
      <c r="CI11" s="26">
        <v>68</v>
      </c>
      <c r="CJ11" s="26" t="s">
        <v>805</v>
      </c>
      <c r="CK11" s="165">
        <f t="shared" si="26"/>
        <v>51.02</v>
      </c>
      <c r="CL11" s="33">
        <f t="shared" si="27"/>
        <v>3469.36</v>
      </c>
      <c r="CM11" s="26">
        <v>34</v>
      </c>
      <c r="CN11" s="26" t="s">
        <v>805</v>
      </c>
      <c r="CO11" s="165">
        <f t="shared" si="28"/>
        <v>51.02</v>
      </c>
      <c r="CP11" s="166">
        <f t="shared" si="29"/>
        <v>1734.68</v>
      </c>
      <c r="CQ11" s="26">
        <v>72</v>
      </c>
      <c r="CS11" s="167">
        <v>7</v>
      </c>
      <c r="CT11" s="26" t="s">
        <v>850</v>
      </c>
      <c r="CU11" s="26">
        <v>34</v>
      </c>
      <c r="CV11" s="26" t="s">
        <v>805</v>
      </c>
      <c r="CW11" s="165">
        <f>Rates!C12</f>
        <v>51.02</v>
      </c>
      <c r="CX11" s="166">
        <f t="shared" si="30"/>
        <v>1734.68</v>
      </c>
      <c r="CY11" s="26">
        <v>68</v>
      </c>
      <c r="CZ11" s="26" t="s">
        <v>805</v>
      </c>
      <c r="DA11" s="165">
        <f t="shared" si="31"/>
        <v>51.02</v>
      </c>
      <c r="DB11" s="33">
        <f t="shared" si="32"/>
        <v>3469.36</v>
      </c>
      <c r="DC11" s="26">
        <v>34</v>
      </c>
      <c r="DD11" s="26" t="s">
        <v>805</v>
      </c>
      <c r="DE11" s="165">
        <f t="shared" si="33"/>
        <v>51.02</v>
      </c>
      <c r="DF11" s="166">
        <f t="shared" si="34"/>
        <v>1734.68</v>
      </c>
      <c r="DG11" s="26">
        <f t="shared" si="35"/>
        <v>0</v>
      </c>
      <c r="DH11" s="167">
        <v>7</v>
      </c>
      <c r="DI11" s="26" t="s">
        <v>851</v>
      </c>
      <c r="DJ11" s="26">
        <v>70</v>
      </c>
      <c r="DK11" s="26" t="s">
        <v>805</v>
      </c>
      <c r="DL11" s="165">
        <f>Rates!C12</f>
        <v>51.02</v>
      </c>
      <c r="DM11" s="166">
        <f t="shared" si="36"/>
        <v>3571.4</v>
      </c>
      <c r="DN11" s="26">
        <v>140</v>
      </c>
      <c r="DO11" s="26" t="s">
        <v>805</v>
      </c>
      <c r="DP11" s="165">
        <f t="shared" si="37"/>
        <v>51.02</v>
      </c>
      <c r="DQ11" s="33">
        <f t="shared" si="38"/>
        <v>7142.8</v>
      </c>
      <c r="DR11" s="26">
        <v>70</v>
      </c>
      <c r="DS11" s="26" t="s">
        <v>805</v>
      </c>
      <c r="DT11" s="165">
        <f t="shared" si="39"/>
        <v>51.02</v>
      </c>
      <c r="DU11" s="166">
        <f t="shared" si="40"/>
        <v>3571.4</v>
      </c>
      <c r="DV11" s="26">
        <v>72</v>
      </c>
      <c r="DX11" s="167">
        <v>7</v>
      </c>
      <c r="DY11" s="26" t="s">
        <v>852</v>
      </c>
      <c r="DZ11" s="26">
        <v>75.400000000000006</v>
      </c>
      <c r="EA11" s="26" t="s">
        <v>805</v>
      </c>
      <c r="EB11" s="165">
        <f>Rates!C12</f>
        <v>51.02</v>
      </c>
      <c r="EC11" s="166">
        <f t="shared" si="41"/>
        <v>3846.9080000000004</v>
      </c>
      <c r="ED11" s="26">
        <v>150.80000000000001</v>
      </c>
      <c r="EE11" s="26" t="s">
        <v>805</v>
      </c>
      <c r="EF11" s="165">
        <f t="shared" si="42"/>
        <v>51.02</v>
      </c>
      <c r="EG11" s="33">
        <f t="shared" si="43"/>
        <v>7693.8160000000007</v>
      </c>
      <c r="EH11" s="26">
        <v>75.400000000000006</v>
      </c>
      <c r="EI11" s="26" t="s">
        <v>805</v>
      </c>
      <c r="EJ11" s="165">
        <f t="shared" si="44"/>
        <v>51.02</v>
      </c>
      <c r="EK11" s="166">
        <f t="shared" si="45"/>
        <v>3846.9080000000004</v>
      </c>
      <c r="EL11" s="26">
        <v>72</v>
      </c>
      <c r="EN11" s="167">
        <v>7</v>
      </c>
      <c r="EO11" s="26" t="s">
        <v>853</v>
      </c>
      <c r="EP11" s="26">
        <v>141</v>
      </c>
      <c r="EQ11" s="26" t="s">
        <v>805</v>
      </c>
      <c r="ER11" s="165">
        <f>Rates!C12</f>
        <v>51.02</v>
      </c>
      <c r="ES11" s="166">
        <f t="shared" si="46"/>
        <v>7193.8200000000006</v>
      </c>
      <c r="ET11" s="26">
        <v>282</v>
      </c>
      <c r="EU11" s="26" t="s">
        <v>805</v>
      </c>
      <c r="EV11" s="165">
        <f t="shared" si="47"/>
        <v>51.02</v>
      </c>
      <c r="EW11" s="33">
        <f t="shared" si="48"/>
        <v>14387.640000000001</v>
      </c>
      <c r="EX11" s="26">
        <v>141</v>
      </c>
      <c r="EY11" s="26" t="s">
        <v>805</v>
      </c>
      <c r="EZ11" s="165">
        <f t="shared" si="49"/>
        <v>51.02</v>
      </c>
      <c r="FA11" s="166">
        <f t="shared" si="50"/>
        <v>7193.8200000000006</v>
      </c>
      <c r="FB11" s="26">
        <v>72</v>
      </c>
      <c r="FE11" s="160"/>
      <c r="FF11" s="161"/>
      <c r="FG11" s="162"/>
      <c r="FH11" s="163"/>
      <c r="FI11" s="162"/>
      <c r="FJ11" s="163"/>
      <c r="FK11" s="162"/>
      <c r="FL11" s="163"/>
    </row>
    <row r="12" spans="1:168" ht="15.6" customHeight="1" x14ac:dyDescent="0.3">
      <c r="A12" s="26">
        <v>8</v>
      </c>
      <c r="B12" s="26" t="s">
        <v>847</v>
      </c>
      <c r="C12" s="30">
        <v>2.2000000000000002</v>
      </c>
      <c r="D12" s="30" t="s">
        <v>805</v>
      </c>
      <c r="E12" s="164">
        <f>Rates!C20</f>
        <v>51.7</v>
      </c>
      <c r="F12" s="159">
        <f t="shared" si="0"/>
        <v>113.74000000000001</v>
      </c>
      <c r="G12" s="30">
        <v>4.4000000000000004</v>
      </c>
      <c r="H12" s="30" t="s">
        <v>805</v>
      </c>
      <c r="I12" s="164">
        <f t="shared" si="1"/>
        <v>51.7</v>
      </c>
      <c r="J12" s="34">
        <f t="shared" si="2"/>
        <v>227.48000000000002</v>
      </c>
      <c r="K12" s="30">
        <v>2.2000000000000002</v>
      </c>
      <c r="L12" s="30" t="s">
        <v>805</v>
      </c>
      <c r="M12" s="164">
        <f t="shared" si="3"/>
        <v>51.7</v>
      </c>
      <c r="N12" s="159">
        <f t="shared" si="4"/>
        <v>113.74000000000001</v>
      </c>
      <c r="O12" s="30">
        <v>72</v>
      </c>
      <c r="Q12" s="26">
        <v>8</v>
      </c>
      <c r="R12" s="26" t="s">
        <v>854</v>
      </c>
      <c r="S12" s="26">
        <v>9</v>
      </c>
      <c r="T12" s="26" t="s">
        <v>806</v>
      </c>
      <c r="U12" s="165">
        <f>Rates!C22</f>
        <v>135</v>
      </c>
      <c r="V12" s="166">
        <f t="shared" si="5"/>
        <v>1215</v>
      </c>
      <c r="W12" s="26">
        <v>9</v>
      </c>
      <c r="X12" s="26" t="s">
        <v>806</v>
      </c>
      <c r="Y12" s="165">
        <f t="shared" si="6"/>
        <v>135</v>
      </c>
      <c r="Z12" s="33">
        <f t="shared" si="7"/>
        <v>1215</v>
      </c>
      <c r="AA12" s="26">
        <v>9</v>
      </c>
      <c r="AB12" s="26" t="s">
        <v>806</v>
      </c>
      <c r="AC12" s="165">
        <f t="shared" si="8"/>
        <v>135</v>
      </c>
      <c r="AD12" s="166">
        <f t="shared" si="9"/>
        <v>1215</v>
      </c>
      <c r="AE12" s="165">
        <v>135</v>
      </c>
      <c r="AG12" s="167">
        <v>8</v>
      </c>
      <c r="AH12" s="26" t="s">
        <v>855</v>
      </c>
      <c r="AI12" s="26">
        <v>5.6</v>
      </c>
      <c r="AJ12" s="26" t="s">
        <v>805</v>
      </c>
      <c r="AK12" s="165">
        <f>AK10</f>
        <v>49.74</v>
      </c>
      <c r="AL12" s="166">
        <f t="shared" si="10"/>
        <v>278.54399999999998</v>
      </c>
      <c r="AM12" s="26">
        <v>11.2</v>
      </c>
      <c r="AN12" s="26" t="s">
        <v>805</v>
      </c>
      <c r="AO12" s="165">
        <f t="shared" si="11"/>
        <v>49.74</v>
      </c>
      <c r="AP12" s="33">
        <f t="shared" si="12"/>
        <v>557.08799999999997</v>
      </c>
      <c r="AQ12" s="26">
        <v>5.6</v>
      </c>
      <c r="AR12" s="26" t="s">
        <v>805</v>
      </c>
      <c r="AS12" s="165">
        <f t="shared" si="13"/>
        <v>49.74</v>
      </c>
      <c r="AT12" s="166">
        <f t="shared" si="14"/>
        <v>278.54399999999998</v>
      </c>
      <c r="AU12" s="26">
        <v>72</v>
      </c>
      <c r="AW12" s="167">
        <v>8</v>
      </c>
      <c r="AX12" s="26" t="s">
        <v>855</v>
      </c>
      <c r="AY12" s="26">
        <v>5.6</v>
      </c>
      <c r="AZ12" s="26" t="s">
        <v>805</v>
      </c>
      <c r="BA12" s="165">
        <f>Rates!C20</f>
        <v>51.7</v>
      </c>
      <c r="BB12" s="166">
        <f t="shared" si="15"/>
        <v>289.52</v>
      </c>
      <c r="BC12" s="26">
        <v>11.2</v>
      </c>
      <c r="BD12" s="26" t="s">
        <v>805</v>
      </c>
      <c r="BE12" s="165">
        <f t="shared" si="16"/>
        <v>51.7</v>
      </c>
      <c r="BF12" s="33">
        <f t="shared" si="17"/>
        <v>579.04</v>
      </c>
      <c r="BG12" s="26">
        <v>5.6</v>
      </c>
      <c r="BH12" s="26" t="s">
        <v>805</v>
      </c>
      <c r="BI12" s="165">
        <f t="shared" si="18"/>
        <v>51.7</v>
      </c>
      <c r="BJ12" s="166">
        <f t="shared" si="19"/>
        <v>289.52</v>
      </c>
      <c r="BK12" s="26">
        <v>72</v>
      </c>
      <c r="BM12" s="167">
        <v>8</v>
      </c>
      <c r="BN12" s="26" t="s">
        <v>856</v>
      </c>
      <c r="BO12" s="26">
        <v>7</v>
      </c>
      <c r="BP12" s="26" t="s">
        <v>805</v>
      </c>
      <c r="BQ12" s="165">
        <f>Rates!C20</f>
        <v>51.7</v>
      </c>
      <c r="BR12" s="166">
        <f t="shared" si="20"/>
        <v>361.90000000000003</v>
      </c>
      <c r="BS12" s="26">
        <v>14</v>
      </c>
      <c r="BT12" s="26" t="s">
        <v>805</v>
      </c>
      <c r="BU12" s="165">
        <f t="shared" si="21"/>
        <v>51.7</v>
      </c>
      <c r="BV12" s="33">
        <f t="shared" si="22"/>
        <v>723.80000000000007</v>
      </c>
      <c r="BW12" s="26">
        <v>7</v>
      </c>
      <c r="BX12" s="26" t="s">
        <v>805</v>
      </c>
      <c r="BY12" s="165">
        <f t="shared" si="23"/>
        <v>51.7</v>
      </c>
      <c r="BZ12" s="166">
        <f t="shared" si="24"/>
        <v>361.90000000000003</v>
      </c>
      <c r="CA12" s="26">
        <v>72</v>
      </c>
      <c r="CC12" s="167">
        <v>8</v>
      </c>
      <c r="CD12" s="26" t="s">
        <v>857</v>
      </c>
      <c r="CE12" s="26">
        <v>9</v>
      </c>
      <c r="CF12" s="26" t="s">
        <v>805</v>
      </c>
      <c r="CG12" s="165">
        <f>Rates!C20</f>
        <v>51.7</v>
      </c>
      <c r="CH12" s="166">
        <f t="shared" si="25"/>
        <v>465.3</v>
      </c>
      <c r="CI12" s="26">
        <v>18</v>
      </c>
      <c r="CJ12" s="26" t="s">
        <v>805</v>
      </c>
      <c r="CK12" s="165">
        <f t="shared" si="26"/>
        <v>51.7</v>
      </c>
      <c r="CL12" s="33">
        <f t="shared" si="27"/>
        <v>930.6</v>
      </c>
      <c r="CM12" s="26">
        <v>9</v>
      </c>
      <c r="CN12" s="26" t="s">
        <v>805</v>
      </c>
      <c r="CO12" s="165">
        <f t="shared" si="28"/>
        <v>51.7</v>
      </c>
      <c r="CP12" s="166">
        <f t="shared" si="29"/>
        <v>465.3</v>
      </c>
      <c r="CQ12" s="26">
        <v>72</v>
      </c>
      <c r="CS12" s="167">
        <v>8</v>
      </c>
      <c r="CT12" s="26" t="s">
        <v>857</v>
      </c>
      <c r="CU12" s="26">
        <v>9</v>
      </c>
      <c r="CV12" s="26" t="s">
        <v>805</v>
      </c>
      <c r="CW12" s="165">
        <f>Rates!C20</f>
        <v>51.7</v>
      </c>
      <c r="CX12" s="166">
        <f t="shared" si="30"/>
        <v>465.3</v>
      </c>
      <c r="CY12" s="26">
        <v>18</v>
      </c>
      <c r="CZ12" s="26" t="s">
        <v>805</v>
      </c>
      <c r="DA12" s="165">
        <f t="shared" si="31"/>
        <v>51.7</v>
      </c>
      <c r="DB12" s="33">
        <f t="shared" si="32"/>
        <v>930.6</v>
      </c>
      <c r="DC12" s="26">
        <v>9</v>
      </c>
      <c r="DD12" s="26" t="s">
        <v>805</v>
      </c>
      <c r="DE12" s="165">
        <f t="shared" si="33"/>
        <v>51.7</v>
      </c>
      <c r="DF12" s="166">
        <f t="shared" si="34"/>
        <v>465.3</v>
      </c>
      <c r="DG12" s="26">
        <f t="shared" si="35"/>
        <v>0</v>
      </c>
      <c r="DH12" s="167">
        <v>8</v>
      </c>
      <c r="DI12" s="26" t="s">
        <v>858</v>
      </c>
      <c r="DJ12" s="26">
        <v>23</v>
      </c>
      <c r="DK12" s="26" t="s">
        <v>805</v>
      </c>
      <c r="DL12" s="165">
        <f>Rates!C20</f>
        <v>51.7</v>
      </c>
      <c r="DM12" s="166">
        <f t="shared" si="36"/>
        <v>1189.1000000000001</v>
      </c>
      <c r="DN12" s="26">
        <v>46</v>
      </c>
      <c r="DO12" s="26" t="s">
        <v>805</v>
      </c>
      <c r="DP12" s="165">
        <f t="shared" si="37"/>
        <v>51.7</v>
      </c>
      <c r="DQ12" s="33">
        <f t="shared" si="38"/>
        <v>2378.2000000000003</v>
      </c>
      <c r="DR12" s="26">
        <v>23</v>
      </c>
      <c r="DS12" s="26" t="s">
        <v>805</v>
      </c>
      <c r="DT12" s="165">
        <f t="shared" si="39"/>
        <v>51.7</v>
      </c>
      <c r="DU12" s="166">
        <f t="shared" si="40"/>
        <v>1189.1000000000001</v>
      </c>
      <c r="DV12" s="26">
        <v>72</v>
      </c>
      <c r="DX12" s="167">
        <v>8</v>
      </c>
      <c r="DY12" s="26" t="s">
        <v>858</v>
      </c>
      <c r="DZ12" s="26">
        <v>23</v>
      </c>
      <c r="EA12" s="26" t="s">
        <v>805</v>
      </c>
      <c r="EB12" s="165">
        <f>Rates!C20</f>
        <v>51.7</v>
      </c>
      <c r="EC12" s="166">
        <f t="shared" si="41"/>
        <v>1189.1000000000001</v>
      </c>
      <c r="ED12" s="26">
        <v>46</v>
      </c>
      <c r="EE12" s="26" t="s">
        <v>805</v>
      </c>
      <c r="EF12" s="165">
        <f t="shared" si="42"/>
        <v>51.7</v>
      </c>
      <c r="EG12" s="33">
        <f t="shared" si="43"/>
        <v>2378.2000000000003</v>
      </c>
      <c r="EH12" s="26">
        <v>23</v>
      </c>
      <c r="EI12" s="26" t="s">
        <v>805</v>
      </c>
      <c r="EJ12" s="165">
        <f t="shared" si="44"/>
        <v>51.7</v>
      </c>
      <c r="EK12" s="166">
        <f t="shared" si="45"/>
        <v>1189.1000000000001</v>
      </c>
      <c r="EL12" s="26">
        <v>72</v>
      </c>
      <c r="EN12" s="167">
        <v>8</v>
      </c>
      <c r="EO12" s="26" t="s">
        <v>859</v>
      </c>
      <c r="EP12" s="26">
        <v>32.5</v>
      </c>
      <c r="EQ12" s="26" t="s">
        <v>805</v>
      </c>
      <c r="ER12" s="165">
        <f>Rates!C20</f>
        <v>51.7</v>
      </c>
      <c r="ES12" s="166">
        <f t="shared" si="46"/>
        <v>1680.25</v>
      </c>
      <c r="ET12" s="26">
        <v>65</v>
      </c>
      <c r="EU12" s="26" t="s">
        <v>805</v>
      </c>
      <c r="EV12" s="165">
        <f t="shared" si="47"/>
        <v>51.7</v>
      </c>
      <c r="EW12" s="33">
        <f t="shared" si="48"/>
        <v>3360.5</v>
      </c>
      <c r="EX12" s="26">
        <v>32.5</v>
      </c>
      <c r="EY12" s="26" t="s">
        <v>805</v>
      </c>
      <c r="EZ12" s="165">
        <f t="shared" si="49"/>
        <v>51.7</v>
      </c>
      <c r="FA12" s="166">
        <f t="shared" si="50"/>
        <v>1680.25</v>
      </c>
      <c r="FB12" s="26">
        <v>72</v>
      </c>
      <c r="FE12" s="160"/>
      <c r="FF12" s="161"/>
      <c r="FG12" s="162"/>
      <c r="FH12" s="163"/>
      <c r="FI12" s="162"/>
      <c r="FJ12" s="163"/>
      <c r="FK12" s="162"/>
      <c r="FL12" s="163"/>
    </row>
    <row r="13" spans="1:168" ht="15.6" customHeight="1" x14ac:dyDescent="0.3">
      <c r="A13" s="26">
        <v>9</v>
      </c>
      <c r="B13" s="26" t="s">
        <v>854</v>
      </c>
      <c r="C13" s="30">
        <v>9</v>
      </c>
      <c r="D13" s="30" t="s">
        <v>806</v>
      </c>
      <c r="E13" s="164">
        <f>Rates!C22</f>
        <v>135</v>
      </c>
      <c r="F13" s="159">
        <f t="shared" si="0"/>
        <v>1215</v>
      </c>
      <c r="G13" s="30">
        <v>9</v>
      </c>
      <c r="H13" s="30" t="s">
        <v>806</v>
      </c>
      <c r="I13" s="164">
        <f t="shared" si="1"/>
        <v>135</v>
      </c>
      <c r="J13" s="34">
        <f t="shared" si="2"/>
        <v>1215</v>
      </c>
      <c r="K13" s="30">
        <v>9</v>
      </c>
      <c r="L13" s="30" t="s">
        <v>806</v>
      </c>
      <c r="M13" s="164">
        <f t="shared" si="3"/>
        <v>135</v>
      </c>
      <c r="N13" s="159">
        <f t="shared" si="4"/>
        <v>1215</v>
      </c>
      <c r="O13" s="30">
        <v>135</v>
      </c>
      <c r="Q13" s="26">
        <v>9</v>
      </c>
      <c r="R13" s="26" t="s">
        <v>860</v>
      </c>
      <c r="S13" s="26">
        <v>1.5</v>
      </c>
      <c r="T13" s="26" t="s">
        <v>805</v>
      </c>
      <c r="U13" s="165">
        <f>Rates!C22</f>
        <v>135</v>
      </c>
      <c r="V13" s="166">
        <f t="shared" si="5"/>
        <v>202.5</v>
      </c>
      <c r="W13" s="26">
        <v>1.5</v>
      </c>
      <c r="X13" s="26" t="s">
        <v>806</v>
      </c>
      <c r="Y13" s="165">
        <f t="shared" si="6"/>
        <v>135</v>
      </c>
      <c r="Z13" s="33">
        <f t="shared" si="7"/>
        <v>202.5</v>
      </c>
      <c r="AA13" s="26">
        <v>1.5</v>
      </c>
      <c r="AB13" s="26" t="s">
        <v>805</v>
      </c>
      <c r="AC13" s="165">
        <f t="shared" si="8"/>
        <v>135</v>
      </c>
      <c r="AD13" s="166">
        <f t="shared" si="9"/>
        <v>202.5</v>
      </c>
      <c r="AE13" s="165">
        <v>135</v>
      </c>
      <c r="AG13" s="167">
        <v>9</v>
      </c>
      <c r="AH13" s="26" t="s">
        <v>854</v>
      </c>
      <c r="AI13" s="26">
        <v>9</v>
      </c>
      <c r="AJ13" s="26" t="s">
        <v>806</v>
      </c>
      <c r="AK13" s="165">
        <f>Rates!C22</f>
        <v>135</v>
      </c>
      <c r="AL13" s="166">
        <f t="shared" si="10"/>
        <v>1215</v>
      </c>
      <c r="AM13" s="26">
        <v>9</v>
      </c>
      <c r="AN13" s="26" t="s">
        <v>806</v>
      </c>
      <c r="AO13" s="165">
        <f t="shared" si="11"/>
        <v>135</v>
      </c>
      <c r="AP13" s="33">
        <f t="shared" si="12"/>
        <v>1215</v>
      </c>
      <c r="AQ13" s="26">
        <v>9</v>
      </c>
      <c r="AR13" s="26" t="s">
        <v>806</v>
      </c>
      <c r="AS13" s="165">
        <f t="shared" si="13"/>
        <v>135</v>
      </c>
      <c r="AT13" s="166">
        <f t="shared" si="14"/>
        <v>1215</v>
      </c>
      <c r="AU13" s="26">
        <v>135</v>
      </c>
      <c r="AW13" s="167">
        <v>9</v>
      </c>
      <c r="AX13" s="26" t="s">
        <v>854</v>
      </c>
      <c r="AY13" s="26">
        <v>9</v>
      </c>
      <c r="AZ13" s="26" t="s">
        <v>806</v>
      </c>
      <c r="BA13" s="165">
        <f>Rates!C22</f>
        <v>135</v>
      </c>
      <c r="BB13" s="166">
        <f t="shared" si="15"/>
        <v>1215</v>
      </c>
      <c r="BC13" s="26">
        <v>9</v>
      </c>
      <c r="BD13" s="26" t="s">
        <v>806</v>
      </c>
      <c r="BE13" s="165">
        <f t="shared" si="16"/>
        <v>135</v>
      </c>
      <c r="BF13" s="33">
        <f t="shared" si="17"/>
        <v>1215</v>
      </c>
      <c r="BG13" s="26">
        <v>9</v>
      </c>
      <c r="BH13" s="26" t="s">
        <v>806</v>
      </c>
      <c r="BI13" s="165">
        <f t="shared" si="18"/>
        <v>135</v>
      </c>
      <c r="BJ13" s="166">
        <f t="shared" si="19"/>
        <v>1215</v>
      </c>
      <c r="BK13" s="26">
        <v>135</v>
      </c>
      <c r="BM13" s="167">
        <v>9</v>
      </c>
      <c r="BN13" s="26" t="s">
        <v>861</v>
      </c>
      <c r="BO13" s="26">
        <v>10.8</v>
      </c>
      <c r="BP13" s="26" t="s">
        <v>806</v>
      </c>
      <c r="BQ13" s="165">
        <f>Rates!C22</f>
        <v>135</v>
      </c>
      <c r="BR13" s="166">
        <f t="shared" si="20"/>
        <v>1458</v>
      </c>
      <c r="BS13" s="26">
        <v>10.8</v>
      </c>
      <c r="BT13" s="26" t="s">
        <v>806</v>
      </c>
      <c r="BU13" s="165">
        <f t="shared" si="21"/>
        <v>135</v>
      </c>
      <c r="BV13" s="33">
        <f t="shared" si="22"/>
        <v>1458</v>
      </c>
      <c r="BW13" s="26">
        <v>10.8</v>
      </c>
      <c r="BX13" s="26" t="s">
        <v>806</v>
      </c>
      <c r="BY13" s="165">
        <f t="shared" si="23"/>
        <v>135</v>
      </c>
      <c r="BZ13" s="166">
        <f t="shared" si="24"/>
        <v>1458</v>
      </c>
      <c r="CA13" s="26">
        <v>135</v>
      </c>
      <c r="CC13" s="167">
        <v>9</v>
      </c>
      <c r="CD13" s="26" t="s">
        <v>861</v>
      </c>
      <c r="CE13" s="26">
        <v>10.8</v>
      </c>
      <c r="CF13" s="26" t="s">
        <v>806</v>
      </c>
      <c r="CG13" s="165">
        <f>Rates!C22</f>
        <v>135</v>
      </c>
      <c r="CH13" s="166">
        <f t="shared" si="25"/>
        <v>1458</v>
      </c>
      <c r="CI13" s="26">
        <v>10.8</v>
      </c>
      <c r="CJ13" s="26" t="s">
        <v>806</v>
      </c>
      <c r="CK13" s="165">
        <f t="shared" si="26"/>
        <v>135</v>
      </c>
      <c r="CL13" s="33">
        <f t="shared" si="27"/>
        <v>1458</v>
      </c>
      <c r="CM13" s="26">
        <v>10.8</v>
      </c>
      <c r="CN13" s="26" t="s">
        <v>806</v>
      </c>
      <c r="CO13" s="165">
        <f t="shared" si="28"/>
        <v>135</v>
      </c>
      <c r="CP13" s="166">
        <f t="shared" si="29"/>
        <v>1458</v>
      </c>
      <c r="CQ13" s="26">
        <v>135</v>
      </c>
      <c r="CS13" s="167">
        <v>9</v>
      </c>
      <c r="CT13" s="26" t="s">
        <v>861</v>
      </c>
      <c r="CU13" s="26">
        <v>10.8</v>
      </c>
      <c r="CV13" s="26" t="s">
        <v>806</v>
      </c>
      <c r="CW13" s="165">
        <f>Rates!C22</f>
        <v>135</v>
      </c>
      <c r="CX13" s="166">
        <f t="shared" si="30"/>
        <v>1458</v>
      </c>
      <c r="CY13" s="26">
        <v>10.8</v>
      </c>
      <c r="CZ13" s="26" t="s">
        <v>806</v>
      </c>
      <c r="DA13" s="165">
        <f t="shared" si="31"/>
        <v>135</v>
      </c>
      <c r="DB13" s="33">
        <f t="shared" si="32"/>
        <v>1458</v>
      </c>
      <c r="DC13" s="26">
        <v>10.8</v>
      </c>
      <c r="DD13" s="26" t="s">
        <v>806</v>
      </c>
      <c r="DE13" s="165">
        <f t="shared" si="33"/>
        <v>135</v>
      </c>
      <c r="DF13" s="166">
        <f t="shared" si="34"/>
        <v>1458</v>
      </c>
      <c r="DG13" s="26">
        <f t="shared" si="35"/>
        <v>0</v>
      </c>
      <c r="DH13" s="167">
        <v>9</v>
      </c>
      <c r="DI13" s="26" t="s">
        <v>862</v>
      </c>
      <c r="DJ13" s="26">
        <v>20</v>
      </c>
      <c r="DK13" s="26" t="s">
        <v>806</v>
      </c>
      <c r="DL13" s="165">
        <f>Rates!C22</f>
        <v>135</v>
      </c>
      <c r="DM13" s="166">
        <f t="shared" si="36"/>
        <v>2700</v>
      </c>
      <c r="DN13" s="26">
        <v>20</v>
      </c>
      <c r="DO13" s="26" t="s">
        <v>806</v>
      </c>
      <c r="DP13" s="165">
        <f t="shared" si="37"/>
        <v>135</v>
      </c>
      <c r="DQ13" s="33">
        <f t="shared" si="38"/>
        <v>2700</v>
      </c>
      <c r="DR13" s="26">
        <v>20</v>
      </c>
      <c r="DS13" s="26" t="s">
        <v>806</v>
      </c>
      <c r="DT13" s="165">
        <f t="shared" si="39"/>
        <v>135</v>
      </c>
      <c r="DU13" s="166">
        <f t="shared" si="40"/>
        <v>2700</v>
      </c>
      <c r="DV13" s="26">
        <v>135</v>
      </c>
      <c r="DX13" s="167">
        <v>9</v>
      </c>
      <c r="DY13" s="26" t="s">
        <v>862</v>
      </c>
      <c r="DZ13" s="26">
        <v>20</v>
      </c>
      <c r="EA13" s="26" t="s">
        <v>806</v>
      </c>
      <c r="EB13" s="165">
        <f>Rates!C22</f>
        <v>135</v>
      </c>
      <c r="EC13" s="166">
        <f t="shared" si="41"/>
        <v>2700</v>
      </c>
      <c r="ED13" s="26">
        <v>20</v>
      </c>
      <c r="EE13" s="26" t="s">
        <v>806</v>
      </c>
      <c r="EF13" s="165">
        <f t="shared" si="42"/>
        <v>135</v>
      </c>
      <c r="EG13" s="33">
        <f t="shared" si="43"/>
        <v>2700</v>
      </c>
      <c r="EH13" s="26">
        <v>20</v>
      </c>
      <c r="EI13" s="26" t="s">
        <v>806</v>
      </c>
      <c r="EJ13" s="165">
        <f t="shared" si="44"/>
        <v>135</v>
      </c>
      <c r="EK13" s="166">
        <f t="shared" si="45"/>
        <v>2700</v>
      </c>
      <c r="EL13" s="26">
        <v>135</v>
      </c>
      <c r="EN13" s="167">
        <v>9</v>
      </c>
      <c r="EO13" s="26" t="s">
        <v>863</v>
      </c>
      <c r="EP13" s="26">
        <v>32</v>
      </c>
      <c r="EQ13" s="26" t="s">
        <v>806</v>
      </c>
      <c r="ER13" s="165">
        <f>Rates!C22</f>
        <v>135</v>
      </c>
      <c r="ES13" s="166">
        <f t="shared" si="46"/>
        <v>4320</v>
      </c>
      <c r="ET13" s="26">
        <v>32</v>
      </c>
      <c r="EU13" s="26" t="s">
        <v>806</v>
      </c>
      <c r="EV13" s="165">
        <f t="shared" si="47"/>
        <v>135</v>
      </c>
      <c r="EW13" s="33">
        <f t="shared" si="48"/>
        <v>4320</v>
      </c>
      <c r="EX13" s="26">
        <v>32</v>
      </c>
      <c r="EY13" s="26" t="s">
        <v>806</v>
      </c>
      <c r="EZ13" s="165">
        <f t="shared" si="49"/>
        <v>135</v>
      </c>
      <c r="FA13" s="166">
        <f t="shared" si="50"/>
        <v>4320</v>
      </c>
      <c r="FB13" s="26">
        <v>135</v>
      </c>
      <c r="FE13" s="160"/>
      <c r="FF13" s="161"/>
      <c r="FG13" s="162"/>
      <c r="FH13" s="163"/>
      <c r="FI13" s="162"/>
      <c r="FJ13" s="163"/>
      <c r="FK13" s="162"/>
      <c r="FL13" s="163"/>
    </row>
    <row r="14" spans="1:168" ht="14.4" customHeight="1" x14ac:dyDescent="0.3">
      <c r="A14" s="26">
        <v>10</v>
      </c>
      <c r="B14" s="26" t="s">
        <v>860</v>
      </c>
      <c r="C14" s="30">
        <v>1.5</v>
      </c>
      <c r="D14" s="30" t="s">
        <v>805</v>
      </c>
      <c r="E14" s="164">
        <f>Rates!C22</f>
        <v>135</v>
      </c>
      <c r="F14" s="159">
        <f t="shared" si="0"/>
        <v>202.5</v>
      </c>
      <c r="G14" s="30">
        <v>1.5</v>
      </c>
      <c r="H14" s="30" t="s">
        <v>806</v>
      </c>
      <c r="I14" s="164">
        <f t="shared" si="1"/>
        <v>135</v>
      </c>
      <c r="J14" s="34">
        <f t="shared" si="2"/>
        <v>202.5</v>
      </c>
      <c r="K14" s="30">
        <v>1.5</v>
      </c>
      <c r="L14" s="30" t="s">
        <v>805</v>
      </c>
      <c r="M14" s="164">
        <f t="shared" si="3"/>
        <v>135</v>
      </c>
      <c r="N14" s="159">
        <f t="shared" si="4"/>
        <v>202.5</v>
      </c>
      <c r="O14" s="30">
        <v>135</v>
      </c>
      <c r="Q14" s="26">
        <v>10</v>
      </c>
      <c r="R14" s="26" t="s">
        <v>864</v>
      </c>
      <c r="S14" s="26">
        <v>3.8</v>
      </c>
      <c r="T14" s="26" t="s">
        <v>805</v>
      </c>
      <c r="U14" s="165">
        <f>Rates!C10</f>
        <v>51.4</v>
      </c>
      <c r="V14" s="166">
        <f t="shared" si="5"/>
        <v>195.32</v>
      </c>
      <c r="W14" s="26">
        <v>7.6</v>
      </c>
      <c r="X14" s="26" t="s">
        <v>806</v>
      </c>
      <c r="Y14" s="165">
        <f t="shared" si="6"/>
        <v>51.4</v>
      </c>
      <c r="Z14" s="33">
        <f t="shared" si="7"/>
        <v>390.64</v>
      </c>
      <c r="AA14" s="26">
        <v>3.8</v>
      </c>
      <c r="AB14" s="26" t="s">
        <v>805</v>
      </c>
      <c r="AC14" s="165">
        <f t="shared" si="8"/>
        <v>51.4</v>
      </c>
      <c r="AD14" s="166">
        <f t="shared" si="9"/>
        <v>195.32</v>
      </c>
      <c r="AE14" s="165">
        <v>71</v>
      </c>
      <c r="AG14" s="167">
        <v>10</v>
      </c>
      <c r="AH14" s="26" t="s">
        <v>860</v>
      </c>
      <c r="AI14" s="26">
        <v>1.5</v>
      </c>
      <c r="AJ14" s="26" t="s">
        <v>805</v>
      </c>
      <c r="AK14" s="165">
        <f>Rates!C22</f>
        <v>135</v>
      </c>
      <c r="AL14" s="166">
        <f t="shared" si="10"/>
        <v>202.5</v>
      </c>
      <c r="AM14" s="26">
        <v>1.5</v>
      </c>
      <c r="AN14" s="26" t="s">
        <v>806</v>
      </c>
      <c r="AO14" s="165">
        <f t="shared" si="11"/>
        <v>135</v>
      </c>
      <c r="AP14" s="33">
        <f t="shared" si="12"/>
        <v>202.5</v>
      </c>
      <c r="AQ14" s="26">
        <v>1.5</v>
      </c>
      <c r="AR14" s="26" t="s">
        <v>805</v>
      </c>
      <c r="AS14" s="165">
        <f t="shared" si="13"/>
        <v>135</v>
      </c>
      <c r="AT14" s="166">
        <f t="shared" si="14"/>
        <v>202.5</v>
      </c>
      <c r="AU14" s="26">
        <v>135</v>
      </c>
      <c r="AW14" s="167">
        <v>10</v>
      </c>
      <c r="AX14" s="26" t="s">
        <v>860</v>
      </c>
      <c r="AY14" s="26">
        <v>1.5</v>
      </c>
      <c r="AZ14" s="26" t="s">
        <v>805</v>
      </c>
      <c r="BA14" s="165">
        <f>Rates!C22</f>
        <v>135</v>
      </c>
      <c r="BB14" s="166">
        <f t="shared" si="15"/>
        <v>202.5</v>
      </c>
      <c r="BC14" s="26">
        <v>1.5</v>
      </c>
      <c r="BD14" s="26" t="s">
        <v>806</v>
      </c>
      <c r="BE14" s="165">
        <f t="shared" si="16"/>
        <v>135</v>
      </c>
      <c r="BF14" s="33">
        <f t="shared" si="17"/>
        <v>202.5</v>
      </c>
      <c r="BG14" s="26">
        <v>1.5</v>
      </c>
      <c r="BH14" s="26" t="s">
        <v>805</v>
      </c>
      <c r="BI14" s="165">
        <f t="shared" si="18"/>
        <v>135</v>
      </c>
      <c r="BJ14" s="166">
        <f t="shared" si="19"/>
        <v>202.5</v>
      </c>
      <c r="BK14" s="26">
        <v>135</v>
      </c>
      <c r="BM14" s="167">
        <v>10</v>
      </c>
      <c r="BN14" s="26" t="s">
        <v>860</v>
      </c>
      <c r="BO14" s="26">
        <v>1.5</v>
      </c>
      <c r="BP14" s="26" t="s">
        <v>805</v>
      </c>
      <c r="BQ14" s="165">
        <f>Rates!C22</f>
        <v>135</v>
      </c>
      <c r="BR14" s="166">
        <f t="shared" si="20"/>
        <v>202.5</v>
      </c>
      <c r="BS14" s="26">
        <v>1.5</v>
      </c>
      <c r="BT14" s="26" t="s">
        <v>806</v>
      </c>
      <c r="BU14" s="165">
        <f t="shared" si="21"/>
        <v>135</v>
      </c>
      <c r="BV14" s="33">
        <f t="shared" si="22"/>
        <v>202.5</v>
      </c>
      <c r="BW14" s="26">
        <v>1.5</v>
      </c>
      <c r="BX14" s="26" t="s">
        <v>805</v>
      </c>
      <c r="BY14" s="165">
        <f t="shared" si="23"/>
        <v>135</v>
      </c>
      <c r="BZ14" s="166">
        <f t="shared" si="24"/>
        <v>202.5</v>
      </c>
      <c r="CA14" s="26">
        <v>135</v>
      </c>
      <c r="CC14" s="167">
        <v>10</v>
      </c>
      <c r="CD14" s="26" t="s">
        <v>860</v>
      </c>
      <c r="CE14" s="26">
        <v>1.5</v>
      </c>
      <c r="CF14" s="26" t="s">
        <v>805</v>
      </c>
      <c r="CG14" s="165">
        <f>Rates!C22</f>
        <v>135</v>
      </c>
      <c r="CH14" s="166">
        <f t="shared" si="25"/>
        <v>202.5</v>
      </c>
      <c r="CI14" s="26">
        <v>1.5</v>
      </c>
      <c r="CJ14" s="26" t="s">
        <v>806</v>
      </c>
      <c r="CK14" s="165">
        <f t="shared" si="26"/>
        <v>135</v>
      </c>
      <c r="CL14" s="33">
        <f t="shared" si="27"/>
        <v>202.5</v>
      </c>
      <c r="CM14" s="26">
        <v>1.5</v>
      </c>
      <c r="CN14" s="26" t="s">
        <v>805</v>
      </c>
      <c r="CO14" s="165">
        <f t="shared" si="28"/>
        <v>135</v>
      </c>
      <c r="CP14" s="166">
        <f t="shared" si="29"/>
        <v>202.5</v>
      </c>
      <c r="CQ14" s="26">
        <v>135</v>
      </c>
      <c r="CS14" s="167">
        <v>10</v>
      </c>
      <c r="CT14" s="26" t="s">
        <v>860</v>
      </c>
      <c r="CU14" s="26">
        <v>1.5</v>
      </c>
      <c r="CV14" s="26" t="s">
        <v>805</v>
      </c>
      <c r="CW14" s="165">
        <f>Rates!C22</f>
        <v>135</v>
      </c>
      <c r="CX14" s="166">
        <f t="shared" si="30"/>
        <v>202.5</v>
      </c>
      <c r="CY14" s="26">
        <v>1.5</v>
      </c>
      <c r="CZ14" s="26" t="s">
        <v>806</v>
      </c>
      <c r="DA14" s="165">
        <f t="shared" si="31"/>
        <v>135</v>
      </c>
      <c r="DB14" s="33">
        <f t="shared" si="32"/>
        <v>202.5</v>
      </c>
      <c r="DC14" s="26">
        <v>1.5</v>
      </c>
      <c r="DD14" s="26" t="s">
        <v>805</v>
      </c>
      <c r="DE14" s="165">
        <f t="shared" si="33"/>
        <v>135</v>
      </c>
      <c r="DF14" s="166">
        <f t="shared" si="34"/>
        <v>202.5</v>
      </c>
      <c r="DG14" s="26">
        <f t="shared" si="35"/>
        <v>0</v>
      </c>
      <c r="DH14" s="167">
        <v>10</v>
      </c>
      <c r="DI14" s="26" t="s">
        <v>865</v>
      </c>
      <c r="DJ14" s="26">
        <v>1.5</v>
      </c>
      <c r="DK14" s="26" t="s">
        <v>805</v>
      </c>
      <c r="DL14" s="165">
        <f>Rates!C22</f>
        <v>135</v>
      </c>
      <c r="DM14" s="166">
        <f t="shared" si="36"/>
        <v>202.5</v>
      </c>
      <c r="DN14" s="26">
        <v>1.5</v>
      </c>
      <c r="DO14" s="26" t="s">
        <v>806</v>
      </c>
      <c r="DP14" s="165">
        <f t="shared" si="37"/>
        <v>135</v>
      </c>
      <c r="DQ14" s="33">
        <f t="shared" si="38"/>
        <v>202.5</v>
      </c>
      <c r="DR14" s="26">
        <v>1.5</v>
      </c>
      <c r="DS14" s="26" t="s">
        <v>805</v>
      </c>
      <c r="DT14" s="165">
        <f t="shared" si="39"/>
        <v>135</v>
      </c>
      <c r="DU14" s="166">
        <f t="shared" si="40"/>
        <v>202.5</v>
      </c>
      <c r="DV14" s="26">
        <v>135</v>
      </c>
      <c r="DX14" s="167">
        <v>10</v>
      </c>
      <c r="DY14" s="26" t="s">
        <v>865</v>
      </c>
      <c r="DZ14" s="26">
        <v>1.5</v>
      </c>
      <c r="EA14" s="26" t="s">
        <v>805</v>
      </c>
      <c r="EB14" s="165">
        <f>Rates!C22</f>
        <v>135</v>
      </c>
      <c r="EC14" s="166">
        <f t="shared" si="41"/>
        <v>202.5</v>
      </c>
      <c r="ED14" s="26">
        <v>1.5</v>
      </c>
      <c r="EE14" s="26" t="s">
        <v>806</v>
      </c>
      <c r="EF14" s="165">
        <f t="shared" si="42"/>
        <v>135</v>
      </c>
      <c r="EG14" s="33">
        <f t="shared" si="43"/>
        <v>202.5</v>
      </c>
      <c r="EH14" s="26">
        <v>1.5</v>
      </c>
      <c r="EI14" s="26" t="s">
        <v>805</v>
      </c>
      <c r="EJ14" s="165">
        <f t="shared" si="44"/>
        <v>135</v>
      </c>
      <c r="EK14" s="166">
        <f t="shared" si="45"/>
        <v>202.5</v>
      </c>
      <c r="EL14" s="26">
        <v>135</v>
      </c>
      <c r="EN14" s="167">
        <v>10</v>
      </c>
      <c r="EO14" s="26" t="s">
        <v>866</v>
      </c>
      <c r="EP14" s="26">
        <v>2</v>
      </c>
      <c r="EQ14" s="26" t="s">
        <v>805</v>
      </c>
      <c r="ER14" s="165">
        <f>Rates!C22</f>
        <v>135</v>
      </c>
      <c r="ES14" s="166">
        <f t="shared" si="46"/>
        <v>270</v>
      </c>
      <c r="ET14" s="26">
        <v>2</v>
      </c>
      <c r="EU14" s="26" t="s">
        <v>806</v>
      </c>
      <c r="EV14" s="165">
        <f t="shared" si="47"/>
        <v>135</v>
      </c>
      <c r="EW14" s="33">
        <f t="shared" si="48"/>
        <v>270</v>
      </c>
      <c r="EX14" s="26">
        <v>2</v>
      </c>
      <c r="EY14" s="26" t="s">
        <v>805</v>
      </c>
      <c r="EZ14" s="165">
        <f t="shared" si="49"/>
        <v>135</v>
      </c>
      <c r="FA14" s="166">
        <f t="shared" si="50"/>
        <v>270</v>
      </c>
      <c r="FB14" s="26">
        <v>135</v>
      </c>
    </row>
    <row r="15" spans="1:168" ht="14.4" customHeight="1" x14ac:dyDescent="0.3">
      <c r="A15" s="26">
        <v>11</v>
      </c>
      <c r="B15" s="26" t="s">
        <v>864</v>
      </c>
      <c r="C15" s="30">
        <v>3.8</v>
      </c>
      <c r="D15" s="30" t="s">
        <v>805</v>
      </c>
      <c r="E15" s="164">
        <f>Rates!C10</f>
        <v>51.4</v>
      </c>
      <c r="F15" s="159">
        <f t="shared" si="0"/>
        <v>195.32</v>
      </c>
      <c r="G15" s="30">
        <v>7.6</v>
      </c>
      <c r="H15" s="30" t="s">
        <v>806</v>
      </c>
      <c r="I15" s="164">
        <f t="shared" si="1"/>
        <v>51.4</v>
      </c>
      <c r="J15" s="34">
        <f t="shared" si="2"/>
        <v>390.64</v>
      </c>
      <c r="K15" s="30">
        <v>3.8</v>
      </c>
      <c r="L15" s="30" t="s">
        <v>805</v>
      </c>
      <c r="M15" s="164">
        <f t="shared" si="3"/>
        <v>51.4</v>
      </c>
      <c r="N15" s="159">
        <f t="shared" si="4"/>
        <v>195.32</v>
      </c>
      <c r="O15" s="30">
        <v>71</v>
      </c>
      <c r="Q15" s="26">
        <v>11</v>
      </c>
      <c r="R15" s="26" t="s">
        <v>867</v>
      </c>
      <c r="S15" s="26">
        <v>4</v>
      </c>
      <c r="T15" s="26" t="s">
        <v>868</v>
      </c>
      <c r="U15" s="26">
        <v>140</v>
      </c>
      <c r="V15" s="166">
        <f t="shared" si="5"/>
        <v>560</v>
      </c>
      <c r="W15" s="26">
        <v>4</v>
      </c>
      <c r="X15" s="26" t="s">
        <v>868</v>
      </c>
      <c r="Y15" s="26">
        <v>140</v>
      </c>
      <c r="Z15" s="33">
        <f t="shared" si="7"/>
        <v>560</v>
      </c>
      <c r="AA15" s="26">
        <v>2</v>
      </c>
      <c r="AB15" s="26" t="s">
        <v>868</v>
      </c>
      <c r="AC15" s="26">
        <v>140</v>
      </c>
      <c r="AD15" s="166">
        <f t="shared" si="9"/>
        <v>280</v>
      </c>
      <c r="AE15" s="26">
        <v>140</v>
      </c>
      <c r="AG15" s="167">
        <v>11</v>
      </c>
      <c r="AH15" s="26" t="s">
        <v>869</v>
      </c>
      <c r="AI15" s="26">
        <v>6.6</v>
      </c>
      <c r="AJ15" s="26" t="s">
        <v>805</v>
      </c>
      <c r="AK15" s="165">
        <f>Rates!C10</f>
        <v>51.4</v>
      </c>
      <c r="AL15" s="166">
        <f t="shared" si="10"/>
        <v>339.23999999999995</v>
      </c>
      <c r="AM15" s="26">
        <v>13.2</v>
      </c>
      <c r="AN15" s="26" t="s">
        <v>806</v>
      </c>
      <c r="AO15" s="165">
        <f t="shared" si="11"/>
        <v>51.4</v>
      </c>
      <c r="AP15" s="33">
        <f t="shared" si="12"/>
        <v>678.4799999999999</v>
      </c>
      <c r="AQ15" s="26">
        <v>6.6</v>
      </c>
      <c r="AR15" s="26" t="s">
        <v>805</v>
      </c>
      <c r="AS15" s="165">
        <f t="shared" si="13"/>
        <v>51.4</v>
      </c>
      <c r="AT15" s="166">
        <f t="shared" si="14"/>
        <v>339.23999999999995</v>
      </c>
      <c r="AU15" s="26">
        <v>71</v>
      </c>
      <c r="AW15" s="167">
        <v>11</v>
      </c>
      <c r="AX15" s="26" t="s">
        <v>869</v>
      </c>
      <c r="AY15" s="26">
        <v>6.6</v>
      </c>
      <c r="AZ15" s="26" t="s">
        <v>805</v>
      </c>
      <c r="BA15" s="165">
        <f>Rates!C10</f>
        <v>51.4</v>
      </c>
      <c r="BB15" s="166">
        <f t="shared" si="15"/>
        <v>339.23999999999995</v>
      </c>
      <c r="BC15" s="26">
        <v>13.2</v>
      </c>
      <c r="BD15" s="26" t="s">
        <v>806</v>
      </c>
      <c r="BE15" s="165">
        <f t="shared" si="16"/>
        <v>51.4</v>
      </c>
      <c r="BF15" s="33">
        <f t="shared" si="17"/>
        <v>678.4799999999999</v>
      </c>
      <c r="BG15" s="26">
        <v>6.6</v>
      </c>
      <c r="BH15" s="26" t="s">
        <v>805</v>
      </c>
      <c r="BI15" s="165">
        <f t="shared" si="18"/>
        <v>51.4</v>
      </c>
      <c r="BJ15" s="166">
        <f t="shared" si="19"/>
        <v>339.23999999999995</v>
      </c>
      <c r="BK15" s="26">
        <v>71</v>
      </c>
      <c r="BM15" s="167">
        <v>11</v>
      </c>
      <c r="BN15" s="26" t="s">
        <v>870</v>
      </c>
      <c r="BO15" s="26">
        <v>7.26</v>
      </c>
      <c r="BP15" s="26" t="s">
        <v>805</v>
      </c>
      <c r="BQ15" s="165">
        <f>Rates!C10</f>
        <v>51.4</v>
      </c>
      <c r="BR15" s="166">
        <f t="shared" si="20"/>
        <v>373.16399999999999</v>
      </c>
      <c r="BS15" s="26">
        <v>15.2</v>
      </c>
      <c r="BT15" s="26" t="s">
        <v>806</v>
      </c>
      <c r="BU15" s="165">
        <f t="shared" si="21"/>
        <v>51.4</v>
      </c>
      <c r="BV15" s="33">
        <f t="shared" si="22"/>
        <v>781.28</v>
      </c>
      <c r="BW15" s="26">
        <v>7.26</v>
      </c>
      <c r="BX15" s="26" t="s">
        <v>805</v>
      </c>
      <c r="BY15" s="165">
        <f t="shared" si="23"/>
        <v>51.4</v>
      </c>
      <c r="BZ15" s="166">
        <f t="shared" si="24"/>
        <v>373.16399999999999</v>
      </c>
      <c r="CA15" s="26">
        <v>71</v>
      </c>
      <c r="CC15" s="167">
        <v>11</v>
      </c>
      <c r="CD15" s="26" t="s">
        <v>871</v>
      </c>
      <c r="CE15" s="26">
        <v>9</v>
      </c>
      <c r="CF15" s="26" t="s">
        <v>805</v>
      </c>
      <c r="CG15" s="165">
        <f>Rates!C10</f>
        <v>51.4</v>
      </c>
      <c r="CH15" s="166">
        <f t="shared" si="25"/>
        <v>462.59999999999997</v>
      </c>
      <c r="CI15" s="26">
        <v>18</v>
      </c>
      <c r="CJ15" s="26" t="s">
        <v>806</v>
      </c>
      <c r="CK15" s="165">
        <f t="shared" si="26"/>
        <v>51.4</v>
      </c>
      <c r="CL15" s="33">
        <f t="shared" si="27"/>
        <v>925.19999999999993</v>
      </c>
      <c r="CM15" s="26">
        <v>9</v>
      </c>
      <c r="CN15" s="26" t="s">
        <v>805</v>
      </c>
      <c r="CO15" s="165">
        <f t="shared" si="28"/>
        <v>51.4</v>
      </c>
      <c r="CP15" s="166">
        <f t="shared" si="29"/>
        <v>462.59999999999997</v>
      </c>
      <c r="CQ15" s="26">
        <v>71</v>
      </c>
      <c r="CS15" s="167">
        <v>11</v>
      </c>
      <c r="CT15" s="26" t="s">
        <v>871</v>
      </c>
      <c r="CU15" s="26">
        <v>9</v>
      </c>
      <c r="CV15" s="26" t="s">
        <v>805</v>
      </c>
      <c r="CW15" s="165">
        <f>Rates!C10</f>
        <v>51.4</v>
      </c>
      <c r="CX15" s="166">
        <f t="shared" si="30"/>
        <v>462.59999999999997</v>
      </c>
      <c r="CY15" s="26">
        <v>18</v>
      </c>
      <c r="CZ15" s="26" t="s">
        <v>806</v>
      </c>
      <c r="DA15" s="165">
        <f t="shared" si="31"/>
        <v>51.4</v>
      </c>
      <c r="DB15" s="33">
        <f t="shared" si="32"/>
        <v>925.19999999999993</v>
      </c>
      <c r="DC15" s="26">
        <v>9</v>
      </c>
      <c r="DD15" s="26" t="s">
        <v>805</v>
      </c>
      <c r="DE15" s="165">
        <f t="shared" si="33"/>
        <v>51.4</v>
      </c>
      <c r="DF15" s="166">
        <f t="shared" si="34"/>
        <v>462.59999999999997</v>
      </c>
      <c r="DG15" s="26">
        <f t="shared" si="35"/>
        <v>0</v>
      </c>
      <c r="DH15" s="167">
        <v>11</v>
      </c>
      <c r="DI15" s="26" t="s">
        <v>872</v>
      </c>
      <c r="DJ15" s="26">
        <v>14.7</v>
      </c>
      <c r="DK15" s="26" t="s">
        <v>805</v>
      </c>
      <c r="DL15" s="165">
        <f>Rates!C10</f>
        <v>51.4</v>
      </c>
      <c r="DM15" s="166">
        <f t="shared" si="36"/>
        <v>755.57999999999993</v>
      </c>
      <c r="DN15" s="26">
        <v>29.4</v>
      </c>
      <c r="DO15" s="26" t="s">
        <v>806</v>
      </c>
      <c r="DP15" s="165">
        <f t="shared" si="37"/>
        <v>51.4</v>
      </c>
      <c r="DQ15" s="33">
        <f t="shared" si="38"/>
        <v>1511.1599999999999</v>
      </c>
      <c r="DR15" s="26">
        <v>14.7</v>
      </c>
      <c r="DS15" s="26" t="s">
        <v>805</v>
      </c>
      <c r="DT15" s="165">
        <f t="shared" si="39"/>
        <v>51.4</v>
      </c>
      <c r="DU15" s="166">
        <f t="shared" si="40"/>
        <v>755.57999999999993</v>
      </c>
      <c r="DV15" s="26">
        <v>71</v>
      </c>
      <c r="DX15" s="167">
        <v>11</v>
      </c>
      <c r="DY15" s="26" t="s">
        <v>872</v>
      </c>
      <c r="DZ15" s="26">
        <v>14.7</v>
      </c>
      <c r="EA15" s="26" t="s">
        <v>805</v>
      </c>
      <c r="EB15" s="165">
        <f>Rates!C10</f>
        <v>51.4</v>
      </c>
      <c r="EC15" s="166">
        <f t="shared" si="41"/>
        <v>755.57999999999993</v>
      </c>
      <c r="ED15" s="26">
        <v>29.4</v>
      </c>
      <c r="EE15" s="26" t="s">
        <v>806</v>
      </c>
      <c r="EF15" s="165">
        <f t="shared" si="42"/>
        <v>51.4</v>
      </c>
      <c r="EG15" s="33">
        <f t="shared" si="43"/>
        <v>1511.1599999999999</v>
      </c>
      <c r="EH15" s="26">
        <v>14.7</v>
      </c>
      <c r="EI15" s="26" t="s">
        <v>805</v>
      </c>
      <c r="EJ15" s="165">
        <f t="shared" si="44"/>
        <v>51.4</v>
      </c>
      <c r="EK15" s="166">
        <f t="shared" si="45"/>
        <v>755.57999999999993</v>
      </c>
      <c r="EL15" s="26">
        <v>71</v>
      </c>
      <c r="EN15" s="167">
        <v>11</v>
      </c>
      <c r="EO15" s="26" t="s">
        <v>873</v>
      </c>
      <c r="EP15" s="26">
        <v>18</v>
      </c>
      <c r="EQ15" s="26" t="s">
        <v>805</v>
      </c>
      <c r="ER15" s="165">
        <f>Rates!C10</f>
        <v>51.4</v>
      </c>
      <c r="ES15" s="166">
        <f t="shared" si="46"/>
        <v>925.19999999999993</v>
      </c>
      <c r="ET15" s="26">
        <v>36</v>
      </c>
      <c r="EU15" s="26" t="s">
        <v>806</v>
      </c>
      <c r="EV15" s="165">
        <f t="shared" si="47"/>
        <v>51.4</v>
      </c>
      <c r="EW15" s="33">
        <f t="shared" si="48"/>
        <v>1850.3999999999999</v>
      </c>
      <c r="EX15" s="26">
        <v>18</v>
      </c>
      <c r="EY15" s="26" t="s">
        <v>805</v>
      </c>
      <c r="EZ15" s="165">
        <f t="shared" si="49"/>
        <v>51.4</v>
      </c>
      <c r="FA15" s="166">
        <f t="shared" si="50"/>
        <v>925.19999999999993</v>
      </c>
      <c r="FB15" s="26">
        <v>71</v>
      </c>
    </row>
    <row r="16" spans="1:168" ht="14.4" customHeight="1" x14ac:dyDescent="0.3">
      <c r="A16" s="26">
        <v>12</v>
      </c>
      <c r="B16" s="26" t="s">
        <v>867</v>
      </c>
      <c r="C16" s="30">
        <v>4</v>
      </c>
      <c r="D16" s="30" t="s">
        <v>868</v>
      </c>
      <c r="E16" s="30">
        <v>140</v>
      </c>
      <c r="F16" s="159">
        <f t="shared" si="0"/>
        <v>560</v>
      </c>
      <c r="G16" s="30">
        <v>4</v>
      </c>
      <c r="H16" s="30" t="s">
        <v>868</v>
      </c>
      <c r="I16" s="30">
        <v>140</v>
      </c>
      <c r="J16" s="34">
        <f t="shared" si="2"/>
        <v>560</v>
      </c>
      <c r="K16" s="30">
        <v>4</v>
      </c>
      <c r="L16" s="30" t="s">
        <v>868</v>
      </c>
      <c r="M16" s="30">
        <v>140</v>
      </c>
      <c r="N16" s="159">
        <f t="shared" si="4"/>
        <v>560</v>
      </c>
      <c r="O16" s="30">
        <v>140</v>
      </c>
      <c r="Q16" s="26">
        <v>12</v>
      </c>
      <c r="R16" s="26" t="s">
        <v>874</v>
      </c>
      <c r="S16" s="26">
        <v>4.8</v>
      </c>
      <c r="T16" s="26" t="s">
        <v>805</v>
      </c>
      <c r="U16" s="165">
        <f>Rates!C11</f>
        <v>71</v>
      </c>
      <c r="V16" s="166">
        <f t="shared" si="5"/>
        <v>340.8</v>
      </c>
      <c r="W16" s="26">
        <v>6</v>
      </c>
      <c r="X16" s="26" t="s">
        <v>806</v>
      </c>
      <c r="Y16" s="165">
        <f>U16</f>
        <v>71</v>
      </c>
      <c r="Z16" s="33">
        <f t="shared" si="7"/>
        <v>426</v>
      </c>
      <c r="AA16" s="26">
        <v>4.8</v>
      </c>
      <c r="AB16" s="26" t="s">
        <v>805</v>
      </c>
      <c r="AC16" s="165">
        <f>U16</f>
        <v>71</v>
      </c>
      <c r="AD16" s="166">
        <f t="shared" si="9"/>
        <v>340.8</v>
      </c>
      <c r="AE16" s="165">
        <v>71</v>
      </c>
      <c r="AG16" s="167">
        <v>12</v>
      </c>
      <c r="AH16" s="26" t="s">
        <v>867</v>
      </c>
      <c r="AI16" s="26">
        <v>4</v>
      </c>
      <c r="AJ16" s="26" t="s">
        <v>868</v>
      </c>
      <c r="AK16" s="26">
        <v>140</v>
      </c>
      <c r="AL16" s="166">
        <f t="shared" si="10"/>
        <v>560</v>
      </c>
      <c r="AM16" s="26">
        <v>4</v>
      </c>
      <c r="AN16" s="26" t="s">
        <v>868</v>
      </c>
      <c r="AO16" s="26">
        <v>140</v>
      </c>
      <c r="AP16" s="33">
        <f t="shared" si="12"/>
        <v>560</v>
      </c>
      <c r="AQ16" s="26">
        <v>4</v>
      </c>
      <c r="AR16" s="26" t="s">
        <v>868</v>
      </c>
      <c r="AS16" s="26">
        <v>140</v>
      </c>
      <c r="AT16" s="166">
        <f t="shared" si="14"/>
        <v>560</v>
      </c>
      <c r="AU16" s="26">
        <v>140</v>
      </c>
      <c r="AW16" s="167">
        <v>12</v>
      </c>
      <c r="AX16" s="26" t="s">
        <v>867</v>
      </c>
      <c r="AY16" s="26">
        <v>4</v>
      </c>
      <c r="AZ16" s="26" t="s">
        <v>868</v>
      </c>
      <c r="BA16" s="26">
        <v>140</v>
      </c>
      <c r="BB16" s="166">
        <f t="shared" si="15"/>
        <v>560</v>
      </c>
      <c r="BC16" s="26">
        <v>4</v>
      </c>
      <c r="BD16" s="26" t="s">
        <v>868</v>
      </c>
      <c r="BE16" s="26">
        <v>140</v>
      </c>
      <c r="BF16" s="33">
        <f t="shared" si="17"/>
        <v>560</v>
      </c>
      <c r="BG16" s="26">
        <v>4</v>
      </c>
      <c r="BH16" s="26" t="s">
        <v>868</v>
      </c>
      <c r="BI16" s="26">
        <v>140</v>
      </c>
      <c r="BJ16" s="166">
        <f t="shared" si="19"/>
        <v>560</v>
      </c>
      <c r="BK16" s="26">
        <v>140</v>
      </c>
      <c r="BM16" s="167">
        <v>12</v>
      </c>
      <c r="BN16" s="26" t="s">
        <v>867</v>
      </c>
      <c r="BO16" s="26">
        <v>4</v>
      </c>
      <c r="BP16" s="26" t="s">
        <v>868</v>
      </c>
      <c r="BQ16" s="26">
        <v>140</v>
      </c>
      <c r="BR16" s="166">
        <f t="shared" si="20"/>
        <v>560</v>
      </c>
      <c r="BS16" s="26">
        <v>4</v>
      </c>
      <c r="BT16" s="26" t="s">
        <v>868</v>
      </c>
      <c r="BU16" s="26">
        <v>140</v>
      </c>
      <c r="BV16" s="33">
        <f t="shared" si="22"/>
        <v>560</v>
      </c>
      <c r="BW16" s="26">
        <v>4</v>
      </c>
      <c r="BX16" s="26" t="s">
        <v>868</v>
      </c>
      <c r="BY16" s="26">
        <v>140</v>
      </c>
      <c r="BZ16" s="166">
        <f t="shared" si="24"/>
        <v>560</v>
      </c>
      <c r="CA16" s="26">
        <v>140</v>
      </c>
      <c r="CC16" s="167">
        <v>12</v>
      </c>
      <c r="CD16" s="26" t="s">
        <v>867</v>
      </c>
      <c r="CE16" s="26">
        <v>4</v>
      </c>
      <c r="CF16" s="26" t="s">
        <v>868</v>
      </c>
      <c r="CG16" s="26">
        <v>140</v>
      </c>
      <c r="CH16" s="166">
        <f t="shared" si="25"/>
        <v>560</v>
      </c>
      <c r="CI16" s="26">
        <v>4</v>
      </c>
      <c r="CJ16" s="26" t="s">
        <v>868</v>
      </c>
      <c r="CK16" s="26">
        <v>140</v>
      </c>
      <c r="CL16" s="33">
        <f t="shared" si="27"/>
        <v>560</v>
      </c>
      <c r="CM16" s="26">
        <v>4</v>
      </c>
      <c r="CN16" s="26" t="s">
        <v>868</v>
      </c>
      <c r="CO16" s="26">
        <v>140</v>
      </c>
      <c r="CP16" s="166">
        <f t="shared" si="29"/>
        <v>560</v>
      </c>
      <c r="CQ16" s="26">
        <v>140</v>
      </c>
      <c r="CS16" s="167">
        <v>12</v>
      </c>
      <c r="CT16" s="26" t="s">
        <v>867</v>
      </c>
      <c r="CU16" s="26">
        <v>4</v>
      </c>
      <c r="CV16" s="26" t="s">
        <v>868</v>
      </c>
      <c r="CW16" s="26">
        <v>140</v>
      </c>
      <c r="CX16" s="166">
        <f t="shared" si="30"/>
        <v>560</v>
      </c>
      <c r="CY16" s="26">
        <v>4</v>
      </c>
      <c r="CZ16" s="26" t="s">
        <v>868</v>
      </c>
      <c r="DA16" s="26">
        <v>140</v>
      </c>
      <c r="DB16" s="33">
        <f t="shared" si="32"/>
        <v>560</v>
      </c>
      <c r="DC16" s="26">
        <v>4</v>
      </c>
      <c r="DD16" s="26" t="s">
        <v>868</v>
      </c>
      <c r="DE16" s="26">
        <v>140</v>
      </c>
      <c r="DF16" s="166">
        <f t="shared" si="34"/>
        <v>560</v>
      </c>
      <c r="DG16" s="26">
        <f t="shared" si="35"/>
        <v>0</v>
      </c>
      <c r="DH16" s="167">
        <v>12</v>
      </c>
      <c r="DI16" s="26" t="s">
        <v>875</v>
      </c>
      <c r="DJ16" s="26">
        <v>4</v>
      </c>
      <c r="DK16" s="26" t="s">
        <v>868</v>
      </c>
      <c r="DL16" s="26">
        <v>150</v>
      </c>
      <c r="DM16" s="166">
        <f t="shared" si="36"/>
        <v>600</v>
      </c>
      <c r="DN16" s="26">
        <v>4</v>
      </c>
      <c r="DO16" s="26" t="s">
        <v>868</v>
      </c>
      <c r="DP16" s="26">
        <v>65</v>
      </c>
      <c r="DQ16" s="33">
        <f t="shared" si="38"/>
        <v>260</v>
      </c>
      <c r="DR16" s="26">
        <v>4</v>
      </c>
      <c r="DS16" s="26" t="s">
        <v>868</v>
      </c>
      <c r="DT16" s="26">
        <v>65</v>
      </c>
      <c r="DU16" s="166">
        <f t="shared" si="40"/>
        <v>260</v>
      </c>
      <c r="DV16" s="26">
        <v>150</v>
      </c>
      <c r="DX16" s="167">
        <v>12</v>
      </c>
      <c r="DY16" s="26" t="s">
        <v>875</v>
      </c>
      <c r="DZ16" s="26">
        <v>4</v>
      </c>
      <c r="EA16" s="26" t="s">
        <v>868</v>
      </c>
      <c r="EB16" s="26">
        <v>150</v>
      </c>
      <c r="EC16" s="166">
        <f t="shared" si="41"/>
        <v>600</v>
      </c>
      <c r="ED16" s="26">
        <v>4</v>
      </c>
      <c r="EE16" s="26" t="s">
        <v>868</v>
      </c>
      <c r="EF16" s="26">
        <v>150</v>
      </c>
      <c r="EG16" s="33">
        <f t="shared" si="43"/>
        <v>600</v>
      </c>
      <c r="EH16" s="26">
        <v>4</v>
      </c>
      <c r="EI16" s="26" t="s">
        <v>868</v>
      </c>
      <c r="EJ16" s="26">
        <v>150</v>
      </c>
      <c r="EK16" s="166">
        <f t="shared" si="45"/>
        <v>600</v>
      </c>
      <c r="EL16" s="26">
        <v>150</v>
      </c>
      <c r="EN16" s="167">
        <v>12</v>
      </c>
      <c r="EO16" s="26" t="s">
        <v>876</v>
      </c>
      <c r="EP16" s="26">
        <v>4</v>
      </c>
      <c r="EQ16" s="26" t="s">
        <v>868</v>
      </c>
      <c r="ER16" s="26">
        <v>175</v>
      </c>
      <c r="ES16" s="166">
        <f t="shared" si="46"/>
        <v>700</v>
      </c>
      <c r="ET16" s="26">
        <v>4</v>
      </c>
      <c r="EU16" s="26" t="s">
        <v>868</v>
      </c>
      <c r="EV16" s="26">
        <v>175</v>
      </c>
      <c r="EW16" s="33">
        <f t="shared" si="48"/>
        <v>700</v>
      </c>
      <c r="EX16" s="26">
        <v>4</v>
      </c>
      <c r="EY16" s="26" t="s">
        <v>868</v>
      </c>
      <c r="EZ16" s="26">
        <v>175</v>
      </c>
      <c r="FA16" s="166">
        <f t="shared" si="50"/>
        <v>700</v>
      </c>
      <c r="FB16" s="26">
        <v>175</v>
      </c>
    </row>
    <row r="17" spans="1:158" ht="14.4" customHeight="1" x14ac:dyDescent="0.3">
      <c r="A17" s="26">
        <v>13</v>
      </c>
      <c r="B17" s="26" t="s">
        <v>874</v>
      </c>
      <c r="C17" s="30">
        <v>4.8</v>
      </c>
      <c r="D17" s="30" t="s">
        <v>805</v>
      </c>
      <c r="E17" s="164">
        <f>Rates!C11</f>
        <v>71</v>
      </c>
      <c r="F17" s="159">
        <f t="shared" si="0"/>
        <v>340.8</v>
      </c>
      <c r="G17" s="30">
        <v>6</v>
      </c>
      <c r="H17" s="30" t="s">
        <v>806</v>
      </c>
      <c r="I17" s="164">
        <f>E17</f>
        <v>71</v>
      </c>
      <c r="J17" s="34">
        <f t="shared" si="2"/>
        <v>426</v>
      </c>
      <c r="K17" s="30">
        <v>4.8</v>
      </c>
      <c r="L17" s="30" t="s">
        <v>805</v>
      </c>
      <c r="M17" s="164">
        <f>E17</f>
        <v>71</v>
      </c>
      <c r="N17" s="159">
        <f t="shared" si="4"/>
        <v>340.8</v>
      </c>
      <c r="O17" s="30">
        <v>71</v>
      </c>
      <c r="Q17" s="26">
        <v>13</v>
      </c>
      <c r="R17" s="26" t="s">
        <v>875</v>
      </c>
      <c r="S17" s="26">
        <v>20</v>
      </c>
      <c r="T17" s="26" t="s">
        <v>57</v>
      </c>
      <c r="U17" s="26">
        <v>150</v>
      </c>
      <c r="V17" s="166">
        <f t="shared" si="5"/>
        <v>3000</v>
      </c>
      <c r="W17" s="26">
        <v>24</v>
      </c>
      <c r="X17" s="26" t="s">
        <v>57</v>
      </c>
      <c r="Y17" s="26">
        <v>150</v>
      </c>
      <c r="Z17" s="33">
        <f t="shared" si="7"/>
        <v>3600</v>
      </c>
      <c r="AA17" s="26">
        <v>20</v>
      </c>
      <c r="AB17" s="26" t="s">
        <v>57</v>
      </c>
      <c r="AC17" s="26">
        <v>150</v>
      </c>
      <c r="AD17" s="166">
        <f t="shared" si="9"/>
        <v>3000</v>
      </c>
      <c r="AE17" s="26">
        <v>150</v>
      </c>
      <c r="AG17" s="167">
        <v>13</v>
      </c>
      <c r="AH17" s="26" t="s">
        <v>874</v>
      </c>
      <c r="AI17" s="26">
        <v>4.8</v>
      </c>
      <c r="AJ17" s="26" t="s">
        <v>805</v>
      </c>
      <c r="AK17" s="165">
        <f>Rates!C11</f>
        <v>71</v>
      </c>
      <c r="AL17" s="166">
        <f t="shared" si="10"/>
        <v>340.8</v>
      </c>
      <c r="AM17" s="26">
        <v>6</v>
      </c>
      <c r="AN17" s="26" t="s">
        <v>806</v>
      </c>
      <c r="AO17" s="165">
        <f>AK17</f>
        <v>71</v>
      </c>
      <c r="AP17" s="33">
        <f t="shared" si="12"/>
        <v>426</v>
      </c>
      <c r="AQ17" s="26">
        <v>4.8</v>
      </c>
      <c r="AR17" s="26" t="s">
        <v>805</v>
      </c>
      <c r="AS17" s="165">
        <f>AK17</f>
        <v>71</v>
      </c>
      <c r="AT17" s="166">
        <f t="shared" si="14"/>
        <v>340.8</v>
      </c>
      <c r="AU17" s="26">
        <v>71</v>
      </c>
      <c r="AW17" s="167">
        <v>13</v>
      </c>
      <c r="AX17" s="26" t="s">
        <v>874</v>
      </c>
      <c r="AY17" s="26">
        <v>4.8</v>
      </c>
      <c r="AZ17" s="26" t="s">
        <v>805</v>
      </c>
      <c r="BA17" s="165">
        <f>Rates!C11</f>
        <v>71</v>
      </c>
      <c r="BB17" s="166">
        <f t="shared" si="15"/>
        <v>340.8</v>
      </c>
      <c r="BC17" s="26">
        <v>6</v>
      </c>
      <c r="BD17" s="26" t="s">
        <v>806</v>
      </c>
      <c r="BE17" s="165">
        <f>BA17</f>
        <v>71</v>
      </c>
      <c r="BF17" s="33">
        <f t="shared" si="17"/>
        <v>426</v>
      </c>
      <c r="BG17" s="26">
        <v>4.8</v>
      </c>
      <c r="BH17" s="26" t="s">
        <v>805</v>
      </c>
      <c r="BI17" s="165">
        <f>BA17</f>
        <v>71</v>
      </c>
      <c r="BJ17" s="166">
        <f t="shared" si="19"/>
        <v>340.8</v>
      </c>
      <c r="BK17" s="26">
        <v>71</v>
      </c>
      <c r="BM17" s="167">
        <v>13</v>
      </c>
      <c r="BN17" s="26" t="s">
        <v>874</v>
      </c>
      <c r="BO17" s="26">
        <v>4.8</v>
      </c>
      <c r="BP17" s="26" t="s">
        <v>805</v>
      </c>
      <c r="BQ17" s="165">
        <f>Rates!C11</f>
        <v>71</v>
      </c>
      <c r="BR17" s="166">
        <f t="shared" si="20"/>
        <v>340.8</v>
      </c>
      <c r="BS17" s="26">
        <v>6</v>
      </c>
      <c r="BT17" s="26" t="s">
        <v>806</v>
      </c>
      <c r="BU17" s="165">
        <f>BQ17</f>
        <v>71</v>
      </c>
      <c r="BV17" s="33">
        <f t="shared" si="22"/>
        <v>426</v>
      </c>
      <c r="BW17" s="26">
        <v>4.8</v>
      </c>
      <c r="BX17" s="26" t="s">
        <v>805</v>
      </c>
      <c r="BY17" s="165">
        <f>BQ17</f>
        <v>71</v>
      </c>
      <c r="BZ17" s="166">
        <f t="shared" si="24"/>
        <v>340.8</v>
      </c>
      <c r="CA17" s="1">
        <v>71</v>
      </c>
      <c r="CC17" s="167">
        <v>13</v>
      </c>
      <c r="CD17" s="26" t="s">
        <v>874</v>
      </c>
      <c r="CE17" s="26">
        <v>4.8</v>
      </c>
      <c r="CF17" s="26" t="s">
        <v>805</v>
      </c>
      <c r="CG17" s="165">
        <f>Rates!C11</f>
        <v>71</v>
      </c>
      <c r="CH17" s="166">
        <f t="shared" si="25"/>
        <v>340.8</v>
      </c>
      <c r="CI17" s="26">
        <v>6</v>
      </c>
      <c r="CJ17" s="26" t="s">
        <v>806</v>
      </c>
      <c r="CK17" s="165">
        <f>CG17</f>
        <v>71</v>
      </c>
      <c r="CL17" s="33">
        <f t="shared" si="27"/>
        <v>426</v>
      </c>
      <c r="CM17" s="26">
        <v>4.8</v>
      </c>
      <c r="CN17" s="26" t="s">
        <v>805</v>
      </c>
      <c r="CO17" s="165">
        <f>CG17</f>
        <v>71</v>
      </c>
      <c r="CP17" s="166">
        <f t="shared" si="29"/>
        <v>340.8</v>
      </c>
      <c r="CQ17" s="26">
        <v>71</v>
      </c>
      <c r="CS17" s="167">
        <v>13</v>
      </c>
      <c r="CT17" s="26" t="s">
        <v>874</v>
      </c>
      <c r="CU17" s="26">
        <v>4.8</v>
      </c>
      <c r="CV17" s="26" t="s">
        <v>805</v>
      </c>
      <c r="CW17" s="165">
        <f>Rates!C11</f>
        <v>71</v>
      </c>
      <c r="CX17" s="166">
        <f t="shared" si="30"/>
        <v>340.8</v>
      </c>
      <c r="CY17" s="26">
        <v>6</v>
      </c>
      <c r="CZ17" s="26" t="s">
        <v>806</v>
      </c>
      <c r="DA17" s="165">
        <f>CW17</f>
        <v>71</v>
      </c>
      <c r="DB17" s="33">
        <f t="shared" si="32"/>
        <v>426</v>
      </c>
      <c r="DC17" s="26">
        <v>4.8</v>
      </c>
      <c r="DD17" s="26" t="s">
        <v>805</v>
      </c>
      <c r="DE17" s="165">
        <f>CW17</f>
        <v>71</v>
      </c>
      <c r="DF17" s="166">
        <f t="shared" si="34"/>
        <v>340.8</v>
      </c>
      <c r="DG17" s="26">
        <f t="shared" si="35"/>
        <v>0</v>
      </c>
      <c r="DH17" s="167">
        <v>13</v>
      </c>
      <c r="DI17" s="26" t="s">
        <v>874</v>
      </c>
      <c r="DJ17" s="26">
        <v>4.8</v>
      </c>
      <c r="DK17" s="26" t="s">
        <v>805</v>
      </c>
      <c r="DL17" s="165">
        <f>Rates!C11</f>
        <v>71</v>
      </c>
      <c r="DM17" s="166">
        <f t="shared" si="36"/>
        <v>340.8</v>
      </c>
      <c r="DN17" s="26">
        <v>6</v>
      </c>
      <c r="DO17" s="26" t="s">
        <v>806</v>
      </c>
      <c r="DP17" s="165">
        <f>DL17</f>
        <v>71</v>
      </c>
      <c r="DQ17" s="33">
        <f t="shared" si="38"/>
        <v>426</v>
      </c>
      <c r="DR17" s="26">
        <v>4.8</v>
      </c>
      <c r="DS17" s="26" t="s">
        <v>805</v>
      </c>
      <c r="DT17" s="165">
        <f>DL17</f>
        <v>71</v>
      </c>
      <c r="DU17" s="166">
        <f t="shared" si="40"/>
        <v>340.8</v>
      </c>
      <c r="DV17" s="26">
        <v>71</v>
      </c>
      <c r="DX17" s="167">
        <v>13</v>
      </c>
      <c r="DY17" s="26" t="s">
        <v>874</v>
      </c>
      <c r="DZ17" s="26">
        <v>4.8</v>
      </c>
      <c r="EA17" s="26" t="s">
        <v>805</v>
      </c>
      <c r="EB17" s="165">
        <f>Rates!C11</f>
        <v>71</v>
      </c>
      <c r="EC17" s="166">
        <f t="shared" si="41"/>
        <v>340.8</v>
      </c>
      <c r="ED17" s="26">
        <v>6</v>
      </c>
      <c r="EE17" s="26" t="s">
        <v>806</v>
      </c>
      <c r="EF17" s="165">
        <f>EB17</f>
        <v>71</v>
      </c>
      <c r="EG17" s="33">
        <f t="shared" si="43"/>
        <v>426</v>
      </c>
      <c r="EH17" s="26">
        <v>4.8</v>
      </c>
      <c r="EI17" s="26" t="s">
        <v>805</v>
      </c>
      <c r="EJ17" s="165">
        <f>EB17</f>
        <v>71</v>
      </c>
      <c r="EK17" s="166">
        <f t="shared" si="45"/>
        <v>340.8</v>
      </c>
      <c r="EL17" s="26">
        <v>71</v>
      </c>
      <c r="EN17" s="167">
        <v>13</v>
      </c>
      <c r="EO17" s="26" t="s">
        <v>874</v>
      </c>
      <c r="EP17" s="26">
        <v>4.8</v>
      </c>
      <c r="EQ17" s="26" t="s">
        <v>805</v>
      </c>
      <c r="ER17" s="165">
        <f>Rates!C11</f>
        <v>71</v>
      </c>
      <c r="ES17" s="166">
        <f t="shared" si="46"/>
        <v>340.8</v>
      </c>
      <c r="ET17" s="26">
        <v>6</v>
      </c>
      <c r="EU17" s="26" t="s">
        <v>806</v>
      </c>
      <c r="EV17" s="165">
        <f>ER17</f>
        <v>71</v>
      </c>
      <c r="EW17" s="33">
        <f t="shared" si="48"/>
        <v>426</v>
      </c>
      <c r="EX17" s="26">
        <v>4.8</v>
      </c>
      <c r="EY17" s="26" t="s">
        <v>805</v>
      </c>
      <c r="EZ17" s="165">
        <f>ER17</f>
        <v>71</v>
      </c>
      <c r="FA17" s="166">
        <f t="shared" si="50"/>
        <v>340.8</v>
      </c>
      <c r="FB17" s="26">
        <v>71</v>
      </c>
    </row>
    <row r="18" spans="1:158" ht="14.4" customHeight="1" x14ac:dyDescent="0.3">
      <c r="A18" s="26">
        <v>14</v>
      </c>
      <c r="B18" s="26" t="s">
        <v>875</v>
      </c>
      <c r="C18" s="30">
        <v>20</v>
      </c>
      <c r="D18" s="30" t="s">
        <v>57</v>
      </c>
      <c r="E18" s="30">
        <v>150</v>
      </c>
      <c r="F18" s="159">
        <f t="shared" si="0"/>
        <v>3000</v>
      </c>
      <c r="G18" s="30">
        <v>24</v>
      </c>
      <c r="H18" s="30" t="s">
        <v>57</v>
      </c>
      <c r="I18" s="30">
        <v>150</v>
      </c>
      <c r="J18" s="34">
        <f t="shared" si="2"/>
        <v>3600</v>
      </c>
      <c r="K18" s="30">
        <v>20</v>
      </c>
      <c r="L18" s="30" t="s">
        <v>57</v>
      </c>
      <c r="M18" s="30">
        <v>150</v>
      </c>
      <c r="N18" s="159">
        <f t="shared" si="4"/>
        <v>3000</v>
      </c>
      <c r="O18" s="30">
        <v>150</v>
      </c>
      <c r="Q18" s="26">
        <v>14</v>
      </c>
      <c r="R18" s="26" t="s">
        <v>877</v>
      </c>
      <c r="S18" s="26">
        <v>4</v>
      </c>
      <c r="T18" s="26" t="s">
        <v>57</v>
      </c>
      <c r="U18" s="26">
        <v>90</v>
      </c>
      <c r="V18" s="166">
        <f t="shared" si="5"/>
        <v>360</v>
      </c>
      <c r="W18" s="26">
        <v>4</v>
      </c>
      <c r="X18" s="26" t="s">
        <v>57</v>
      </c>
      <c r="Y18" s="26">
        <v>90</v>
      </c>
      <c r="Z18" s="33">
        <f t="shared" si="7"/>
        <v>360</v>
      </c>
      <c r="AA18" s="26">
        <v>4</v>
      </c>
      <c r="AB18" s="26" t="s">
        <v>57</v>
      </c>
      <c r="AC18" s="26">
        <v>90</v>
      </c>
      <c r="AD18" s="166">
        <f t="shared" si="9"/>
        <v>360</v>
      </c>
      <c r="AE18" s="26">
        <v>90</v>
      </c>
      <c r="AG18" s="167">
        <v>14</v>
      </c>
      <c r="AH18" s="26" t="s">
        <v>875</v>
      </c>
      <c r="AI18" s="26">
        <v>20</v>
      </c>
      <c r="AJ18" s="26" t="s">
        <v>57</v>
      </c>
      <c r="AK18" s="26">
        <v>150</v>
      </c>
      <c r="AL18" s="166">
        <f t="shared" si="10"/>
        <v>3000</v>
      </c>
      <c r="AM18" s="26">
        <v>24</v>
      </c>
      <c r="AN18" s="26" t="s">
        <v>57</v>
      </c>
      <c r="AO18" s="26">
        <v>150</v>
      </c>
      <c r="AP18" s="33">
        <f t="shared" si="12"/>
        <v>3600</v>
      </c>
      <c r="AQ18" s="26">
        <v>20</v>
      </c>
      <c r="AR18" s="26" t="s">
        <v>57</v>
      </c>
      <c r="AS18" s="26">
        <v>150</v>
      </c>
      <c r="AT18" s="166">
        <f t="shared" si="14"/>
        <v>3000</v>
      </c>
      <c r="AU18" s="26">
        <v>150</v>
      </c>
      <c r="AW18" s="167">
        <v>14</v>
      </c>
      <c r="AX18" s="26" t="s">
        <v>875</v>
      </c>
      <c r="AY18" s="26">
        <v>20</v>
      </c>
      <c r="AZ18" s="26" t="s">
        <v>57</v>
      </c>
      <c r="BA18" s="26">
        <v>150</v>
      </c>
      <c r="BB18" s="166">
        <f t="shared" si="15"/>
        <v>3000</v>
      </c>
      <c r="BC18" s="26">
        <v>24</v>
      </c>
      <c r="BD18" s="26" t="s">
        <v>57</v>
      </c>
      <c r="BE18" s="26">
        <v>150</v>
      </c>
      <c r="BF18" s="33">
        <f t="shared" si="17"/>
        <v>3600</v>
      </c>
      <c r="BG18" s="26">
        <v>20</v>
      </c>
      <c r="BH18" s="26" t="s">
        <v>57</v>
      </c>
      <c r="BI18" s="26">
        <v>150</v>
      </c>
      <c r="BJ18" s="166">
        <f t="shared" si="19"/>
        <v>3000</v>
      </c>
      <c r="BK18" s="26">
        <v>150</v>
      </c>
      <c r="BM18" s="167">
        <v>14</v>
      </c>
      <c r="BN18" s="26" t="s">
        <v>875</v>
      </c>
      <c r="BO18" s="26">
        <v>20</v>
      </c>
      <c r="BP18" s="26" t="s">
        <v>57</v>
      </c>
      <c r="BQ18" s="26">
        <v>150</v>
      </c>
      <c r="BR18" s="166">
        <f t="shared" si="20"/>
        <v>3000</v>
      </c>
      <c r="BS18" s="26">
        <v>24</v>
      </c>
      <c r="BT18" s="26" t="s">
        <v>57</v>
      </c>
      <c r="BU18" s="26">
        <v>150</v>
      </c>
      <c r="BV18" s="33">
        <f t="shared" si="22"/>
        <v>3600</v>
      </c>
      <c r="BW18" s="26">
        <v>20</v>
      </c>
      <c r="BX18" s="26" t="s">
        <v>57</v>
      </c>
      <c r="BY18" s="26">
        <v>150</v>
      </c>
      <c r="BZ18" s="166">
        <f t="shared" si="24"/>
        <v>3000</v>
      </c>
      <c r="CA18" s="26">
        <v>150</v>
      </c>
      <c r="CC18" s="167">
        <v>14</v>
      </c>
      <c r="CD18" s="26" t="s">
        <v>875</v>
      </c>
      <c r="CE18" s="26">
        <v>20</v>
      </c>
      <c r="CF18" s="26" t="s">
        <v>57</v>
      </c>
      <c r="CG18" s="26">
        <v>150</v>
      </c>
      <c r="CH18" s="166">
        <f t="shared" si="25"/>
        <v>3000</v>
      </c>
      <c r="CI18" s="26">
        <v>24</v>
      </c>
      <c r="CJ18" s="26" t="s">
        <v>57</v>
      </c>
      <c r="CK18" s="26">
        <v>150</v>
      </c>
      <c r="CL18" s="33">
        <f t="shared" si="27"/>
        <v>3600</v>
      </c>
      <c r="CM18" s="26">
        <v>20</v>
      </c>
      <c r="CN18" s="26" t="s">
        <v>57</v>
      </c>
      <c r="CO18" s="26">
        <v>150</v>
      </c>
      <c r="CP18" s="166">
        <f t="shared" si="29"/>
        <v>3000</v>
      </c>
      <c r="CQ18" s="26">
        <v>150</v>
      </c>
      <c r="CS18" s="167">
        <v>14</v>
      </c>
      <c r="CT18" s="26" t="s">
        <v>875</v>
      </c>
      <c r="CU18" s="26">
        <v>20</v>
      </c>
      <c r="CV18" s="26" t="s">
        <v>57</v>
      </c>
      <c r="CW18" s="26">
        <v>150</v>
      </c>
      <c r="CX18" s="166">
        <f t="shared" si="30"/>
        <v>3000</v>
      </c>
      <c r="CY18" s="26">
        <v>24</v>
      </c>
      <c r="CZ18" s="26" t="s">
        <v>57</v>
      </c>
      <c r="DA18" s="26">
        <v>150</v>
      </c>
      <c r="DB18" s="33">
        <f t="shared" si="32"/>
        <v>3600</v>
      </c>
      <c r="DC18" s="26">
        <v>20</v>
      </c>
      <c r="DD18" s="26" t="s">
        <v>57</v>
      </c>
      <c r="DE18" s="26">
        <v>150</v>
      </c>
      <c r="DF18" s="166">
        <f t="shared" si="34"/>
        <v>3000</v>
      </c>
      <c r="DG18" s="26">
        <f t="shared" si="35"/>
        <v>0</v>
      </c>
      <c r="DH18" s="167">
        <v>14</v>
      </c>
      <c r="DI18" s="26" t="s">
        <v>876</v>
      </c>
      <c r="DJ18" s="26">
        <v>20</v>
      </c>
      <c r="DK18" s="26" t="s">
        <v>57</v>
      </c>
      <c r="DL18" s="26">
        <v>175</v>
      </c>
      <c r="DM18" s="166">
        <f t="shared" si="36"/>
        <v>3500</v>
      </c>
      <c r="DN18" s="26">
        <v>24</v>
      </c>
      <c r="DO18" s="26" t="s">
        <v>57</v>
      </c>
      <c r="DP18" s="26">
        <v>175</v>
      </c>
      <c r="DQ18" s="33">
        <f t="shared" si="38"/>
        <v>4200</v>
      </c>
      <c r="DR18" s="26">
        <v>20</v>
      </c>
      <c r="DS18" s="26" t="s">
        <v>57</v>
      </c>
      <c r="DT18" s="26">
        <v>175</v>
      </c>
      <c r="DU18" s="166">
        <f t="shared" si="40"/>
        <v>3500</v>
      </c>
      <c r="DV18" s="26">
        <v>175</v>
      </c>
      <c r="DX18" s="167">
        <v>14</v>
      </c>
      <c r="DY18" s="26" t="s">
        <v>876</v>
      </c>
      <c r="DZ18" s="26">
        <v>20</v>
      </c>
      <c r="EA18" s="26" t="s">
        <v>57</v>
      </c>
      <c r="EB18" s="26">
        <v>175</v>
      </c>
      <c r="EC18" s="166">
        <f t="shared" si="41"/>
        <v>3500</v>
      </c>
      <c r="ED18" s="26">
        <v>24</v>
      </c>
      <c r="EE18" s="26" t="s">
        <v>57</v>
      </c>
      <c r="EF18" s="26">
        <v>175</v>
      </c>
      <c r="EG18" s="33">
        <f t="shared" si="43"/>
        <v>4200</v>
      </c>
      <c r="EH18" s="26">
        <v>20</v>
      </c>
      <c r="EI18" s="26" t="s">
        <v>57</v>
      </c>
      <c r="EJ18" s="26">
        <v>175</v>
      </c>
      <c r="EK18" s="166">
        <f t="shared" si="45"/>
        <v>3500</v>
      </c>
      <c r="EL18" s="26">
        <v>175</v>
      </c>
      <c r="EN18" s="167">
        <v>14</v>
      </c>
      <c r="EO18" s="26" t="s">
        <v>878</v>
      </c>
      <c r="EP18" s="26">
        <v>20</v>
      </c>
      <c r="EQ18" s="26" t="s">
        <v>57</v>
      </c>
      <c r="ER18" s="26">
        <v>200</v>
      </c>
      <c r="ES18" s="166">
        <f t="shared" si="46"/>
        <v>4000</v>
      </c>
      <c r="ET18" s="26">
        <v>24</v>
      </c>
      <c r="EU18" s="26" t="s">
        <v>57</v>
      </c>
      <c r="EV18" s="26">
        <v>200</v>
      </c>
      <c r="EW18" s="33">
        <f t="shared" si="48"/>
        <v>4800</v>
      </c>
      <c r="EX18" s="26">
        <v>20</v>
      </c>
      <c r="EY18" s="26" t="s">
        <v>57</v>
      </c>
      <c r="EZ18" s="26">
        <v>200</v>
      </c>
      <c r="FA18" s="166">
        <f t="shared" si="50"/>
        <v>4000</v>
      </c>
      <c r="FB18" s="26">
        <v>200</v>
      </c>
    </row>
    <row r="19" spans="1:158" ht="14.4" customHeight="1" x14ac:dyDescent="0.3">
      <c r="A19" s="26">
        <v>15</v>
      </c>
      <c r="B19" s="26" t="s">
        <v>877</v>
      </c>
      <c r="C19" s="30">
        <v>4</v>
      </c>
      <c r="D19" s="30" t="s">
        <v>57</v>
      </c>
      <c r="E19" s="30">
        <v>90</v>
      </c>
      <c r="F19" s="159">
        <f t="shared" si="0"/>
        <v>360</v>
      </c>
      <c r="G19" s="30">
        <v>4</v>
      </c>
      <c r="H19" s="30" t="s">
        <v>57</v>
      </c>
      <c r="I19" s="30">
        <v>90</v>
      </c>
      <c r="J19" s="34">
        <f t="shared" si="2"/>
        <v>360</v>
      </c>
      <c r="K19" s="30">
        <v>4</v>
      </c>
      <c r="L19" s="30" t="s">
        <v>57</v>
      </c>
      <c r="M19" s="30">
        <v>90</v>
      </c>
      <c r="N19" s="159">
        <f t="shared" si="4"/>
        <v>360</v>
      </c>
      <c r="O19" s="30">
        <v>90</v>
      </c>
      <c r="Q19" s="26">
        <v>15</v>
      </c>
      <c r="R19" s="26" t="s">
        <v>879</v>
      </c>
      <c r="S19" s="26">
        <v>6</v>
      </c>
      <c r="T19" s="26" t="s">
        <v>57</v>
      </c>
      <c r="U19" s="26">
        <v>105</v>
      </c>
      <c r="V19" s="166">
        <f t="shared" si="5"/>
        <v>630</v>
      </c>
      <c r="W19" s="26">
        <v>6</v>
      </c>
      <c r="X19" s="26" t="s">
        <v>57</v>
      </c>
      <c r="Y19" s="26">
        <v>105</v>
      </c>
      <c r="Z19" s="33">
        <f t="shared" si="7"/>
        <v>630</v>
      </c>
      <c r="AA19" s="26">
        <v>6</v>
      </c>
      <c r="AB19" s="26" t="s">
        <v>57</v>
      </c>
      <c r="AC19" s="26">
        <v>105</v>
      </c>
      <c r="AD19" s="166">
        <f t="shared" si="9"/>
        <v>630</v>
      </c>
      <c r="AE19" s="26">
        <v>105</v>
      </c>
      <c r="AG19" s="167">
        <v>15</v>
      </c>
      <c r="AH19" s="26" t="s">
        <v>877</v>
      </c>
      <c r="AI19" s="26">
        <v>4</v>
      </c>
      <c r="AJ19" s="26" t="s">
        <v>57</v>
      </c>
      <c r="AK19" s="26">
        <v>90</v>
      </c>
      <c r="AL19" s="166">
        <f t="shared" si="10"/>
        <v>360</v>
      </c>
      <c r="AM19" s="26">
        <v>4</v>
      </c>
      <c r="AN19" s="26" t="s">
        <v>57</v>
      </c>
      <c r="AO19" s="26">
        <v>90</v>
      </c>
      <c r="AP19" s="33">
        <f t="shared" si="12"/>
        <v>360</v>
      </c>
      <c r="AQ19" s="26">
        <v>4</v>
      </c>
      <c r="AR19" s="26" t="s">
        <v>57</v>
      </c>
      <c r="AS19" s="26">
        <v>90</v>
      </c>
      <c r="AT19" s="166">
        <f t="shared" si="14"/>
        <v>360</v>
      </c>
      <c r="AU19" s="26">
        <v>90</v>
      </c>
      <c r="AW19" s="167">
        <v>15</v>
      </c>
      <c r="AX19" s="26" t="s">
        <v>877</v>
      </c>
      <c r="AY19" s="26">
        <v>4</v>
      </c>
      <c r="AZ19" s="26" t="s">
        <v>57</v>
      </c>
      <c r="BA19" s="26">
        <v>90</v>
      </c>
      <c r="BB19" s="166">
        <f t="shared" si="15"/>
        <v>360</v>
      </c>
      <c r="BC19" s="26">
        <v>4</v>
      </c>
      <c r="BD19" s="26" t="s">
        <v>57</v>
      </c>
      <c r="BE19" s="26">
        <v>90</v>
      </c>
      <c r="BF19" s="33">
        <f t="shared" si="17"/>
        <v>360</v>
      </c>
      <c r="BG19" s="26">
        <v>4</v>
      </c>
      <c r="BH19" s="26" t="s">
        <v>57</v>
      </c>
      <c r="BI19" s="26">
        <v>90</v>
      </c>
      <c r="BJ19" s="166">
        <f t="shared" si="19"/>
        <v>360</v>
      </c>
      <c r="BK19" s="26">
        <v>90</v>
      </c>
      <c r="BM19" s="167">
        <v>15</v>
      </c>
      <c r="BN19" s="26" t="s">
        <v>877</v>
      </c>
      <c r="BO19" s="26">
        <v>4</v>
      </c>
      <c r="BP19" s="26" t="s">
        <v>57</v>
      </c>
      <c r="BQ19" s="26">
        <v>90</v>
      </c>
      <c r="BR19" s="166">
        <f t="shared" si="20"/>
        <v>360</v>
      </c>
      <c r="BS19" s="26">
        <v>4</v>
      </c>
      <c r="BT19" s="26" t="s">
        <v>57</v>
      </c>
      <c r="BU19" s="26">
        <v>90</v>
      </c>
      <c r="BV19" s="33">
        <f t="shared" si="22"/>
        <v>360</v>
      </c>
      <c r="BW19" s="26">
        <v>4</v>
      </c>
      <c r="BX19" s="26" t="s">
        <v>57</v>
      </c>
      <c r="BY19" s="26">
        <v>90</v>
      </c>
      <c r="BZ19" s="166">
        <f t="shared" si="24"/>
        <v>360</v>
      </c>
      <c r="CA19" s="26">
        <v>90</v>
      </c>
      <c r="CC19" s="167">
        <v>15</v>
      </c>
      <c r="CD19" s="26" t="s">
        <v>877</v>
      </c>
      <c r="CE19" s="26">
        <v>4</v>
      </c>
      <c r="CF19" s="26" t="s">
        <v>57</v>
      </c>
      <c r="CG19" s="26">
        <v>90</v>
      </c>
      <c r="CH19" s="166">
        <f t="shared" si="25"/>
        <v>360</v>
      </c>
      <c r="CI19" s="26">
        <v>4</v>
      </c>
      <c r="CJ19" s="26" t="s">
        <v>57</v>
      </c>
      <c r="CK19" s="26">
        <v>90</v>
      </c>
      <c r="CL19" s="33">
        <f t="shared" si="27"/>
        <v>360</v>
      </c>
      <c r="CM19" s="26">
        <v>4</v>
      </c>
      <c r="CN19" s="26" t="s">
        <v>57</v>
      </c>
      <c r="CO19" s="26">
        <v>90</v>
      </c>
      <c r="CP19" s="166">
        <f t="shared" si="29"/>
        <v>360</v>
      </c>
      <c r="CQ19" s="26">
        <v>90</v>
      </c>
      <c r="CS19" s="167">
        <v>15</v>
      </c>
      <c r="CT19" s="26" t="s">
        <v>877</v>
      </c>
      <c r="CU19" s="26">
        <v>4</v>
      </c>
      <c r="CV19" s="26" t="s">
        <v>57</v>
      </c>
      <c r="CW19" s="26">
        <v>90</v>
      </c>
      <c r="CX19" s="166">
        <f t="shared" si="30"/>
        <v>360</v>
      </c>
      <c r="CY19" s="26">
        <v>4</v>
      </c>
      <c r="CZ19" s="26" t="s">
        <v>57</v>
      </c>
      <c r="DA19" s="26">
        <v>90</v>
      </c>
      <c r="DB19" s="33">
        <f t="shared" si="32"/>
        <v>360</v>
      </c>
      <c r="DC19" s="26">
        <v>4</v>
      </c>
      <c r="DD19" s="26" t="s">
        <v>57</v>
      </c>
      <c r="DE19" s="26">
        <v>90</v>
      </c>
      <c r="DF19" s="166">
        <f t="shared" si="34"/>
        <v>360</v>
      </c>
      <c r="DG19" s="26">
        <f t="shared" si="35"/>
        <v>0</v>
      </c>
      <c r="DH19" s="167">
        <v>15</v>
      </c>
      <c r="DI19" s="26" t="s">
        <v>880</v>
      </c>
      <c r="DJ19" s="26">
        <v>4</v>
      </c>
      <c r="DK19" s="26" t="s">
        <v>57</v>
      </c>
      <c r="DL19" s="26">
        <v>150</v>
      </c>
      <c r="DM19" s="166">
        <f t="shared" si="36"/>
        <v>600</v>
      </c>
      <c r="DN19" s="26">
        <v>4</v>
      </c>
      <c r="DO19" s="26" t="s">
        <v>57</v>
      </c>
      <c r="DP19" s="26">
        <v>150</v>
      </c>
      <c r="DQ19" s="33">
        <f t="shared" si="38"/>
        <v>600</v>
      </c>
      <c r="DR19" s="26">
        <v>4</v>
      </c>
      <c r="DS19" s="26" t="s">
        <v>57</v>
      </c>
      <c r="DT19" s="26">
        <v>150</v>
      </c>
      <c r="DU19" s="166">
        <f t="shared" si="40"/>
        <v>600</v>
      </c>
      <c r="DV19" s="26">
        <v>150</v>
      </c>
      <c r="DX19" s="167">
        <v>15</v>
      </c>
      <c r="DY19" s="26" t="s">
        <v>880</v>
      </c>
      <c r="DZ19" s="26">
        <v>4</v>
      </c>
      <c r="EA19" s="26" t="s">
        <v>57</v>
      </c>
      <c r="EB19" s="26">
        <v>150</v>
      </c>
      <c r="EC19" s="166">
        <f t="shared" si="41"/>
        <v>600</v>
      </c>
      <c r="ED19" s="26">
        <v>4</v>
      </c>
      <c r="EE19" s="26" t="s">
        <v>57</v>
      </c>
      <c r="EF19" s="26">
        <v>150</v>
      </c>
      <c r="EG19" s="33">
        <f t="shared" si="43"/>
        <v>600</v>
      </c>
      <c r="EH19" s="26">
        <v>4</v>
      </c>
      <c r="EI19" s="26" t="s">
        <v>57</v>
      </c>
      <c r="EJ19" s="26">
        <v>150</v>
      </c>
      <c r="EK19" s="166">
        <f t="shared" si="45"/>
        <v>600</v>
      </c>
      <c r="EL19" s="26">
        <v>150</v>
      </c>
      <c r="EN19" s="167">
        <v>15</v>
      </c>
      <c r="EO19" s="26" t="s">
        <v>881</v>
      </c>
      <c r="EP19" s="26">
        <v>4</v>
      </c>
      <c r="EQ19" s="26" t="s">
        <v>57</v>
      </c>
      <c r="ER19" s="26">
        <v>200</v>
      </c>
      <c r="ES19" s="166">
        <f t="shared" si="46"/>
        <v>800</v>
      </c>
      <c r="ET19" s="26">
        <v>4</v>
      </c>
      <c r="EU19" s="26" t="s">
        <v>57</v>
      </c>
      <c r="EV19" s="26">
        <v>200</v>
      </c>
      <c r="EW19" s="33">
        <f t="shared" si="48"/>
        <v>800</v>
      </c>
      <c r="EX19" s="26">
        <v>4</v>
      </c>
      <c r="EY19" s="26" t="s">
        <v>57</v>
      </c>
      <c r="EZ19" s="26">
        <v>200</v>
      </c>
      <c r="FA19" s="166">
        <f t="shared" si="50"/>
        <v>800</v>
      </c>
      <c r="FB19" s="26">
        <v>200</v>
      </c>
    </row>
    <row r="20" spans="1:158" ht="14.4" customHeight="1" x14ac:dyDescent="0.3">
      <c r="A20" s="26">
        <v>16</v>
      </c>
      <c r="B20" s="26" t="s">
        <v>879</v>
      </c>
      <c r="C20" s="30">
        <v>6</v>
      </c>
      <c r="D20" s="30" t="s">
        <v>57</v>
      </c>
      <c r="E20" s="30">
        <v>105</v>
      </c>
      <c r="F20" s="159">
        <f t="shared" si="0"/>
        <v>630</v>
      </c>
      <c r="G20" s="30">
        <v>6</v>
      </c>
      <c r="H20" s="30" t="s">
        <v>57</v>
      </c>
      <c r="I20" s="30">
        <v>105</v>
      </c>
      <c r="J20" s="34">
        <f t="shared" si="2"/>
        <v>630</v>
      </c>
      <c r="K20" s="30">
        <v>6</v>
      </c>
      <c r="L20" s="30" t="s">
        <v>57</v>
      </c>
      <c r="M20" s="30">
        <v>105</v>
      </c>
      <c r="N20" s="159">
        <f t="shared" si="4"/>
        <v>630</v>
      </c>
      <c r="O20" s="30">
        <v>105</v>
      </c>
      <c r="Q20" s="26">
        <v>16</v>
      </c>
      <c r="R20" s="26" t="s">
        <v>882</v>
      </c>
      <c r="S20" s="26">
        <v>4</v>
      </c>
      <c r="T20" s="26" t="s">
        <v>57</v>
      </c>
      <c r="U20" s="26">
        <v>50</v>
      </c>
      <c r="V20" s="166">
        <f t="shared" si="5"/>
        <v>200</v>
      </c>
      <c r="W20" s="26">
        <v>4</v>
      </c>
      <c r="X20" s="26" t="s">
        <v>57</v>
      </c>
      <c r="Y20" s="26">
        <v>50</v>
      </c>
      <c r="Z20" s="33">
        <f t="shared" si="7"/>
        <v>200</v>
      </c>
      <c r="AA20" s="26">
        <v>4</v>
      </c>
      <c r="AB20" s="26" t="s">
        <v>57</v>
      </c>
      <c r="AC20" s="26">
        <v>50</v>
      </c>
      <c r="AD20" s="166">
        <f t="shared" si="9"/>
        <v>200</v>
      </c>
      <c r="AE20" s="26">
        <v>50</v>
      </c>
      <c r="AG20" s="167">
        <v>16</v>
      </c>
      <c r="AH20" s="26" t="s">
        <v>879</v>
      </c>
      <c r="AI20" s="26">
        <v>6</v>
      </c>
      <c r="AJ20" s="26" t="s">
        <v>57</v>
      </c>
      <c r="AK20" s="26">
        <v>105</v>
      </c>
      <c r="AL20" s="166">
        <f t="shared" si="10"/>
        <v>630</v>
      </c>
      <c r="AM20" s="26">
        <v>6</v>
      </c>
      <c r="AN20" s="26" t="s">
        <v>57</v>
      </c>
      <c r="AO20" s="26">
        <v>105</v>
      </c>
      <c r="AP20" s="33">
        <f t="shared" si="12"/>
        <v>630</v>
      </c>
      <c r="AQ20" s="26">
        <v>6</v>
      </c>
      <c r="AR20" s="26" t="s">
        <v>57</v>
      </c>
      <c r="AS20" s="26">
        <v>105</v>
      </c>
      <c r="AT20" s="166">
        <f t="shared" si="14"/>
        <v>630</v>
      </c>
      <c r="AU20" s="26">
        <v>105</v>
      </c>
      <c r="AW20" s="167">
        <v>16</v>
      </c>
      <c r="AX20" s="26" t="s">
        <v>879</v>
      </c>
      <c r="AY20" s="26">
        <v>6</v>
      </c>
      <c r="AZ20" s="26" t="s">
        <v>57</v>
      </c>
      <c r="BA20" s="26">
        <v>105</v>
      </c>
      <c r="BB20" s="166">
        <f t="shared" si="15"/>
        <v>630</v>
      </c>
      <c r="BC20" s="26">
        <v>6</v>
      </c>
      <c r="BD20" s="26" t="s">
        <v>57</v>
      </c>
      <c r="BE20" s="26">
        <v>105</v>
      </c>
      <c r="BF20" s="33">
        <f t="shared" si="17"/>
        <v>630</v>
      </c>
      <c r="BG20" s="26">
        <v>6</v>
      </c>
      <c r="BH20" s="26" t="s">
        <v>57</v>
      </c>
      <c r="BI20" s="26">
        <v>105</v>
      </c>
      <c r="BJ20" s="166">
        <f t="shared" si="19"/>
        <v>630</v>
      </c>
      <c r="BK20" s="26">
        <v>105</v>
      </c>
      <c r="BM20" s="167">
        <v>16</v>
      </c>
      <c r="BN20" s="26" t="s">
        <v>879</v>
      </c>
      <c r="BO20" s="26">
        <v>6</v>
      </c>
      <c r="BP20" s="26" t="s">
        <v>57</v>
      </c>
      <c r="BQ20" s="26">
        <v>105</v>
      </c>
      <c r="BR20" s="166">
        <f t="shared" si="20"/>
        <v>630</v>
      </c>
      <c r="BS20" s="26">
        <v>6</v>
      </c>
      <c r="BT20" s="26" t="s">
        <v>57</v>
      </c>
      <c r="BU20" s="26">
        <v>105</v>
      </c>
      <c r="BV20" s="33">
        <f t="shared" si="22"/>
        <v>630</v>
      </c>
      <c r="BW20" s="26">
        <v>6</v>
      </c>
      <c r="BX20" s="26" t="s">
        <v>57</v>
      </c>
      <c r="BY20" s="26">
        <v>105</v>
      </c>
      <c r="BZ20" s="166">
        <f t="shared" si="24"/>
        <v>630</v>
      </c>
      <c r="CA20" s="26">
        <v>105</v>
      </c>
      <c r="CC20" s="167">
        <v>16</v>
      </c>
      <c r="CD20" s="26" t="s">
        <v>879</v>
      </c>
      <c r="CE20" s="26">
        <v>6</v>
      </c>
      <c r="CF20" s="26" t="s">
        <v>57</v>
      </c>
      <c r="CG20" s="26">
        <v>105</v>
      </c>
      <c r="CH20" s="166">
        <f t="shared" si="25"/>
        <v>630</v>
      </c>
      <c r="CI20" s="26">
        <v>6</v>
      </c>
      <c r="CJ20" s="26" t="s">
        <v>57</v>
      </c>
      <c r="CK20" s="26">
        <v>105</v>
      </c>
      <c r="CL20" s="33">
        <f t="shared" si="27"/>
        <v>630</v>
      </c>
      <c r="CM20" s="26">
        <v>6</v>
      </c>
      <c r="CN20" s="26" t="s">
        <v>57</v>
      </c>
      <c r="CO20" s="26">
        <f>CK20</f>
        <v>105</v>
      </c>
      <c r="CP20" s="166">
        <f t="shared" si="29"/>
        <v>630</v>
      </c>
      <c r="CQ20" s="26">
        <v>105</v>
      </c>
      <c r="CS20" s="167">
        <v>16</v>
      </c>
      <c r="CT20" s="26" t="s">
        <v>879</v>
      </c>
      <c r="CU20" s="26">
        <v>6</v>
      </c>
      <c r="CV20" s="26" t="s">
        <v>57</v>
      </c>
      <c r="CW20" s="26">
        <v>105</v>
      </c>
      <c r="CX20" s="166">
        <f t="shared" si="30"/>
        <v>630</v>
      </c>
      <c r="CY20" s="26">
        <v>6</v>
      </c>
      <c r="CZ20" s="26" t="s">
        <v>57</v>
      </c>
      <c r="DA20" s="26">
        <v>105</v>
      </c>
      <c r="DB20" s="33">
        <f t="shared" si="32"/>
        <v>630</v>
      </c>
      <c r="DC20" s="26">
        <v>6</v>
      </c>
      <c r="DD20" s="26" t="s">
        <v>57</v>
      </c>
      <c r="DE20" s="26">
        <v>105</v>
      </c>
      <c r="DF20" s="166">
        <f t="shared" si="34"/>
        <v>630</v>
      </c>
      <c r="DG20" s="26">
        <f t="shared" si="35"/>
        <v>0</v>
      </c>
      <c r="DH20" s="167">
        <v>16</v>
      </c>
      <c r="DI20" s="26" t="s">
        <v>883</v>
      </c>
      <c r="DJ20" s="26">
        <v>6</v>
      </c>
      <c r="DK20" s="26" t="s">
        <v>57</v>
      </c>
      <c r="DL20" s="26">
        <v>200</v>
      </c>
      <c r="DM20" s="166">
        <f t="shared" si="36"/>
        <v>1200</v>
      </c>
      <c r="DN20" s="26">
        <v>6</v>
      </c>
      <c r="DO20" s="26" t="s">
        <v>57</v>
      </c>
      <c r="DP20" s="26">
        <v>200</v>
      </c>
      <c r="DQ20" s="33">
        <f t="shared" si="38"/>
        <v>1200</v>
      </c>
      <c r="DR20" s="26">
        <v>6</v>
      </c>
      <c r="DS20" s="26" t="s">
        <v>57</v>
      </c>
      <c r="DT20" s="26">
        <v>200</v>
      </c>
      <c r="DU20" s="166">
        <f t="shared" si="40"/>
        <v>1200</v>
      </c>
      <c r="DV20" s="26">
        <v>200</v>
      </c>
      <c r="DX20" s="167">
        <v>16</v>
      </c>
      <c r="DY20" s="26" t="s">
        <v>883</v>
      </c>
      <c r="DZ20" s="26">
        <v>6</v>
      </c>
      <c r="EA20" s="26" t="s">
        <v>57</v>
      </c>
      <c r="EB20" s="26">
        <v>200</v>
      </c>
      <c r="EC20" s="166">
        <f t="shared" si="41"/>
        <v>1200</v>
      </c>
      <c r="ED20" s="26">
        <v>6</v>
      </c>
      <c r="EE20" s="26" t="s">
        <v>57</v>
      </c>
      <c r="EF20" s="26">
        <v>200</v>
      </c>
      <c r="EG20" s="33">
        <f t="shared" si="43"/>
        <v>1200</v>
      </c>
      <c r="EH20" s="26">
        <v>6</v>
      </c>
      <c r="EI20" s="26" t="s">
        <v>57</v>
      </c>
      <c r="EJ20" s="26">
        <v>200</v>
      </c>
      <c r="EK20" s="166">
        <f t="shared" si="45"/>
        <v>1200</v>
      </c>
      <c r="EL20" s="26">
        <v>200</v>
      </c>
      <c r="EN20" s="167">
        <v>16</v>
      </c>
      <c r="EO20" s="26" t="s">
        <v>884</v>
      </c>
      <c r="EP20" s="26">
        <v>6</v>
      </c>
      <c r="EQ20" s="26" t="s">
        <v>57</v>
      </c>
      <c r="ER20" s="26">
        <v>250</v>
      </c>
      <c r="ES20" s="166">
        <f t="shared" si="46"/>
        <v>1500</v>
      </c>
      <c r="ET20" s="26">
        <v>6</v>
      </c>
      <c r="EU20" s="26" t="s">
        <v>57</v>
      </c>
      <c r="EV20" s="26">
        <v>250</v>
      </c>
      <c r="EW20" s="33">
        <f t="shared" si="48"/>
        <v>1500</v>
      </c>
      <c r="EX20" s="26">
        <v>6</v>
      </c>
      <c r="EY20" s="26" t="s">
        <v>57</v>
      </c>
      <c r="EZ20" s="26">
        <v>250</v>
      </c>
      <c r="FA20" s="166">
        <f t="shared" si="50"/>
        <v>1500</v>
      </c>
      <c r="FB20" s="26">
        <v>250</v>
      </c>
    </row>
    <row r="21" spans="1:158" ht="15.75" customHeight="1" x14ac:dyDescent="0.3">
      <c r="A21" s="26">
        <v>17</v>
      </c>
      <c r="B21" s="26" t="s">
        <v>882</v>
      </c>
      <c r="C21" s="30">
        <v>4</v>
      </c>
      <c r="D21" s="30" t="s">
        <v>57</v>
      </c>
      <c r="E21" s="30">
        <v>50</v>
      </c>
      <c r="F21" s="159">
        <f t="shared" si="0"/>
        <v>200</v>
      </c>
      <c r="G21" s="30">
        <v>4</v>
      </c>
      <c r="H21" s="30" t="s">
        <v>57</v>
      </c>
      <c r="I21" s="30">
        <v>50</v>
      </c>
      <c r="J21" s="34">
        <f t="shared" si="2"/>
        <v>200</v>
      </c>
      <c r="K21" s="30">
        <v>4</v>
      </c>
      <c r="L21" s="30" t="s">
        <v>57</v>
      </c>
      <c r="M21" s="30">
        <v>50</v>
      </c>
      <c r="N21" s="159">
        <f t="shared" si="4"/>
        <v>200</v>
      </c>
      <c r="O21" s="30">
        <v>50</v>
      </c>
      <c r="Q21" s="26">
        <v>17</v>
      </c>
      <c r="R21" s="26" t="s">
        <v>885</v>
      </c>
      <c r="S21" s="26">
        <v>3</v>
      </c>
      <c r="T21" s="26" t="s">
        <v>57</v>
      </c>
      <c r="U21" s="26">
        <v>20</v>
      </c>
      <c r="V21" s="166">
        <f t="shared" si="5"/>
        <v>60</v>
      </c>
      <c r="W21" s="26">
        <v>4</v>
      </c>
      <c r="X21" s="26" t="s">
        <v>57</v>
      </c>
      <c r="Y21" s="26">
        <v>20</v>
      </c>
      <c r="Z21" s="33">
        <f t="shared" si="7"/>
        <v>80</v>
      </c>
      <c r="AA21" s="26">
        <v>3</v>
      </c>
      <c r="AB21" s="26" t="s">
        <v>57</v>
      </c>
      <c r="AC21" s="26">
        <v>20</v>
      </c>
      <c r="AD21" s="166">
        <f t="shared" si="9"/>
        <v>60</v>
      </c>
      <c r="AE21" s="26">
        <v>20</v>
      </c>
      <c r="AG21" s="167">
        <v>17</v>
      </c>
      <c r="AH21" s="26" t="s">
        <v>882</v>
      </c>
      <c r="AI21" s="26">
        <v>4</v>
      </c>
      <c r="AJ21" s="26" t="s">
        <v>57</v>
      </c>
      <c r="AK21" s="26">
        <v>50</v>
      </c>
      <c r="AL21" s="166">
        <f t="shared" si="10"/>
        <v>200</v>
      </c>
      <c r="AM21" s="26">
        <v>4</v>
      </c>
      <c r="AN21" s="26" t="s">
        <v>57</v>
      </c>
      <c r="AO21" s="26">
        <v>50</v>
      </c>
      <c r="AP21" s="33">
        <f t="shared" si="12"/>
        <v>200</v>
      </c>
      <c r="AQ21" s="26">
        <v>4</v>
      </c>
      <c r="AR21" s="26" t="s">
        <v>57</v>
      </c>
      <c r="AS21" s="26">
        <v>50</v>
      </c>
      <c r="AT21" s="166">
        <f t="shared" si="14"/>
        <v>200</v>
      </c>
      <c r="AU21" s="26">
        <v>50</v>
      </c>
      <c r="AW21" s="167">
        <v>17</v>
      </c>
      <c r="AX21" s="26" t="s">
        <v>882</v>
      </c>
      <c r="AY21" s="26">
        <v>4</v>
      </c>
      <c r="AZ21" s="26" t="s">
        <v>57</v>
      </c>
      <c r="BA21" s="26">
        <v>50</v>
      </c>
      <c r="BB21" s="166">
        <f t="shared" si="15"/>
        <v>200</v>
      </c>
      <c r="BC21" s="26">
        <v>4</v>
      </c>
      <c r="BD21" s="26" t="s">
        <v>57</v>
      </c>
      <c r="BE21" s="26">
        <v>50</v>
      </c>
      <c r="BF21" s="33">
        <f t="shared" si="17"/>
        <v>200</v>
      </c>
      <c r="BG21" s="26">
        <v>4</v>
      </c>
      <c r="BH21" s="26" t="s">
        <v>57</v>
      </c>
      <c r="BI21" s="26">
        <v>50</v>
      </c>
      <c r="BJ21" s="166">
        <f t="shared" si="19"/>
        <v>200</v>
      </c>
      <c r="BK21" s="26">
        <v>50</v>
      </c>
      <c r="BM21" s="167">
        <v>17</v>
      </c>
      <c r="BN21" s="26" t="s">
        <v>882</v>
      </c>
      <c r="BO21" s="26">
        <v>4</v>
      </c>
      <c r="BP21" s="26" t="s">
        <v>57</v>
      </c>
      <c r="BQ21" s="26">
        <v>50</v>
      </c>
      <c r="BR21" s="166">
        <f t="shared" si="20"/>
        <v>200</v>
      </c>
      <c r="BS21" s="26">
        <v>4</v>
      </c>
      <c r="BT21" s="26" t="s">
        <v>57</v>
      </c>
      <c r="BU21" s="26">
        <v>50</v>
      </c>
      <c r="BV21" s="33">
        <f t="shared" si="22"/>
        <v>200</v>
      </c>
      <c r="BW21" s="26">
        <v>4</v>
      </c>
      <c r="BX21" s="26" t="s">
        <v>57</v>
      </c>
      <c r="BY21" s="26">
        <v>50</v>
      </c>
      <c r="BZ21" s="166">
        <f t="shared" si="24"/>
        <v>200</v>
      </c>
      <c r="CA21" s="26">
        <v>50</v>
      </c>
      <c r="CC21" s="167">
        <v>17</v>
      </c>
      <c r="CD21" s="26" t="s">
        <v>882</v>
      </c>
      <c r="CE21" s="26">
        <v>4</v>
      </c>
      <c r="CF21" s="26" t="s">
        <v>57</v>
      </c>
      <c r="CG21" s="26">
        <v>50</v>
      </c>
      <c r="CH21" s="166">
        <f t="shared" si="25"/>
        <v>200</v>
      </c>
      <c r="CI21" s="26">
        <v>4</v>
      </c>
      <c r="CJ21" s="26" t="s">
        <v>57</v>
      </c>
      <c r="CK21" s="26">
        <v>50</v>
      </c>
      <c r="CL21" s="33">
        <f t="shared" si="27"/>
        <v>200</v>
      </c>
      <c r="CM21" s="26">
        <v>4</v>
      </c>
      <c r="CN21" s="26" t="s">
        <v>57</v>
      </c>
      <c r="CO21" s="26">
        <v>50</v>
      </c>
      <c r="CP21" s="166">
        <f t="shared" si="29"/>
        <v>200</v>
      </c>
      <c r="CQ21" s="26">
        <v>50</v>
      </c>
      <c r="CS21" s="167">
        <v>17</v>
      </c>
      <c r="CT21" s="26" t="s">
        <v>882</v>
      </c>
      <c r="CU21" s="26">
        <v>4</v>
      </c>
      <c r="CV21" s="26" t="s">
        <v>57</v>
      </c>
      <c r="CW21" s="26">
        <v>50</v>
      </c>
      <c r="CX21" s="166">
        <f t="shared" si="30"/>
        <v>200</v>
      </c>
      <c r="CY21" s="26">
        <v>4</v>
      </c>
      <c r="CZ21" s="26" t="s">
        <v>57</v>
      </c>
      <c r="DA21" s="26">
        <v>50</v>
      </c>
      <c r="DB21" s="33">
        <f t="shared" si="32"/>
        <v>200</v>
      </c>
      <c r="DC21" s="26">
        <v>4</v>
      </c>
      <c r="DD21" s="26" t="s">
        <v>57</v>
      </c>
      <c r="DE21" s="26">
        <v>50</v>
      </c>
      <c r="DF21" s="166">
        <f t="shared" si="34"/>
        <v>200</v>
      </c>
      <c r="DG21" s="26">
        <f t="shared" si="35"/>
        <v>0</v>
      </c>
      <c r="DH21" s="167">
        <v>17</v>
      </c>
      <c r="DI21" s="26" t="s">
        <v>886</v>
      </c>
      <c r="DJ21" s="26">
        <v>4</v>
      </c>
      <c r="DK21" s="26" t="s">
        <v>57</v>
      </c>
      <c r="DL21" s="26">
        <v>60</v>
      </c>
      <c r="DM21" s="166">
        <f t="shared" si="36"/>
        <v>240</v>
      </c>
      <c r="DN21" s="26">
        <v>4</v>
      </c>
      <c r="DO21" s="26" t="s">
        <v>57</v>
      </c>
      <c r="DP21" s="26">
        <v>60</v>
      </c>
      <c r="DQ21" s="33">
        <f t="shared" si="38"/>
        <v>240</v>
      </c>
      <c r="DR21" s="26">
        <v>4</v>
      </c>
      <c r="DS21" s="26" t="s">
        <v>57</v>
      </c>
      <c r="DT21" s="26">
        <v>60</v>
      </c>
      <c r="DU21" s="166">
        <f t="shared" si="40"/>
        <v>240</v>
      </c>
      <c r="DV21" s="26">
        <v>60</v>
      </c>
      <c r="DX21" s="167">
        <v>17</v>
      </c>
      <c r="DY21" s="26" t="s">
        <v>886</v>
      </c>
      <c r="DZ21" s="26">
        <v>4</v>
      </c>
      <c r="EA21" s="26" t="s">
        <v>57</v>
      </c>
      <c r="EB21" s="26">
        <v>60</v>
      </c>
      <c r="EC21" s="166">
        <f t="shared" si="41"/>
        <v>240</v>
      </c>
      <c r="ED21" s="26">
        <v>4</v>
      </c>
      <c r="EE21" s="26" t="s">
        <v>57</v>
      </c>
      <c r="EF21" s="26">
        <v>60</v>
      </c>
      <c r="EG21" s="33">
        <f t="shared" si="43"/>
        <v>240</v>
      </c>
      <c r="EH21" s="26">
        <v>4</v>
      </c>
      <c r="EI21" s="26" t="s">
        <v>57</v>
      </c>
      <c r="EJ21" s="26">
        <v>60</v>
      </c>
      <c r="EK21" s="166">
        <f t="shared" si="45"/>
        <v>240</v>
      </c>
      <c r="EL21" s="26">
        <v>60</v>
      </c>
      <c r="EN21" s="167">
        <v>17</v>
      </c>
      <c r="EO21" s="26" t="s">
        <v>887</v>
      </c>
      <c r="EP21" s="26">
        <v>4</v>
      </c>
      <c r="EQ21" s="26" t="s">
        <v>57</v>
      </c>
      <c r="ER21" s="26">
        <v>75</v>
      </c>
      <c r="ES21" s="166">
        <f t="shared" si="46"/>
        <v>300</v>
      </c>
      <c r="ET21" s="26">
        <v>4</v>
      </c>
      <c r="EU21" s="26" t="s">
        <v>57</v>
      </c>
      <c r="EV21" s="26">
        <v>75</v>
      </c>
      <c r="EW21" s="33">
        <f t="shared" si="48"/>
        <v>300</v>
      </c>
      <c r="EX21" s="26">
        <v>4</v>
      </c>
      <c r="EY21" s="26" t="s">
        <v>57</v>
      </c>
      <c r="EZ21" s="26">
        <v>75</v>
      </c>
      <c r="FA21" s="166">
        <f t="shared" si="50"/>
        <v>300</v>
      </c>
      <c r="FB21" s="26">
        <v>75</v>
      </c>
    </row>
    <row r="22" spans="1:158" ht="15.75" customHeight="1" x14ac:dyDescent="0.3">
      <c r="A22" s="26">
        <v>18</v>
      </c>
      <c r="B22" s="26" t="s">
        <v>885</v>
      </c>
      <c r="C22" s="30">
        <v>3</v>
      </c>
      <c r="D22" s="30" t="s">
        <v>57</v>
      </c>
      <c r="E22" s="30">
        <v>20</v>
      </c>
      <c r="F22" s="159">
        <f t="shared" si="0"/>
        <v>60</v>
      </c>
      <c r="G22" s="30">
        <v>4</v>
      </c>
      <c r="H22" s="30" t="s">
        <v>57</v>
      </c>
      <c r="I22" s="30">
        <v>20</v>
      </c>
      <c r="J22" s="34">
        <f t="shared" si="2"/>
        <v>80</v>
      </c>
      <c r="K22" s="30">
        <v>3</v>
      </c>
      <c r="L22" s="30" t="s">
        <v>57</v>
      </c>
      <c r="M22" s="30">
        <v>20</v>
      </c>
      <c r="N22" s="159">
        <f t="shared" si="4"/>
        <v>60</v>
      </c>
      <c r="O22" s="30">
        <v>20</v>
      </c>
      <c r="Q22" s="26">
        <v>18</v>
      </c>
      <c r="R22" s="26" t="s">
        <v>888</v>
      </c>
      <c r="S22" s="26">
        <v>1</v>
      </c>
      <c r="T22" s="26" t="s">
        <v>57</v>
      </c>
      <c r="U22" s="26">
        <v>20</v>
      </c>
      <c r="V22" s="166">
        <f t="shared" si="5"/>
        <v>20</v>
      </c>
      <c r="W22" s="26">
        <v>1</v>
      </c>
      <c r="X22" s="26" t="s">
        <v>57</v>
      </c>
      <c r="Y22" s="26">
        <v>20</v>
      </c>
      <c r="Z22" s="33">
        <f t="shared" si="7"/>
        <v>20</v>
      </c>
      <c r="AA22" s="26">
        <v>1</v>
      </c>
      <c r="AB22" s="26" t="s">
        <v>57</v>
      </c>
      <c r="AC22" s="26">
        <v>20</v>
      </c>
      <c r="AD22" s="166">
        <f t="shared" si="9"/>
        <v>20</v>
      </c>
      <c r="AE22" s="26">
        <v>20</v>
      </c>
      <c r="AG22" s="167">
        <v>18</v>
      </c>
      <c r="AH22" s="26" t="s">
        <v>885</v>
      </c>
      <c r="AI22" s="26">
        <v>3</v>
      </c>
      <c r="AJ22" s="26" t="s">
        <v>57</v>
      </c>
      <c r="AK22" s="26">
        <v>20</v>
      </c>
      <c r="AL22" s="166">
        <f t="shared" si="10"/>
        <v>60</v>
      </c>
      <c r="AM22" s="26">
        <v>4</v>
      </c>
      <c r="AN22" s="26" t="s">
        <v>57</v>
      </c>
      <c r="AO22" s="26">
        <v>20</v>
      </c>
      <c r="AP22" s="33">
        <f t="shared" si="12"/>
        <v>80</v>
      </c>
      <c r="AQ22" s="26">
        <v>3</v>
      </c>
      <c r="AR22" s="26" t="s">
        <v>57</v>
      </c>
      <c r="AS22" s="26">
        <v>20</v>
      </c>
      <c r="AT22" s="166">
        <f t="shared" si="14"/>
        <v>60</v>
      </c>
      <c r="AU22" s="26">
        <v>20</v>
      </c>
      <c r="AW22" s="167">
        <v>18</v>
      </c>
      <c r="AX22" s="26" t="s">
        <v>885</v>
      </c>
      <c r="AY22" s="26">
        <v>3</v>
      </c>
      <c r="AZ22" s="26" t="s">
        <v>57</v>
      </c>
      <c r="BA22" s="26">
        <v>20</v>
      </c>
      <c r="BB22" s="166">
        <f t="shared" si="15"/>
        <v>60</v>
      </c>
      <c r="BC22" s="26">
        <v>4</v>
      </c>
      <c r="BD22" s="26" t="s">
        <v>57</v>
      </c>
      <c r="BE22" s="26">
        <v>20</v>
      </c>
      <c r="BF22" s="33">
        <f t="shared" si="17"/>
        <v>80</v>
      </c>
      <c r="BG22" s="26">
        <v>3</v>
      </c>
      <c r="BH22" s="26" t="s">
        <v>57</v>
      </c>
      <c r="BI22" s="26">
        <v>20</v>
      </c>
      <c r="BJ22" s="166">
        <f t="shared" si="19"/>
        <v>60</v>
      </c>
      <c r="BK22" s="26">
        <v>20</v>
      </c>
      <c r="BM22" s="167">
        <v>18</v>
      </c>
      <c r="BN22" s="26" t="s">
        <v>885</v>
      </c>
      <c r="BO22" s="26">
        <v>3</v>
      </c>
      <c r="BP22" s="26" t="s">
        <v>57</v>
      </c>
      <c r="BQ22" s="26">
        <v>20</v>
      </c>
      <c r="BR22" s="166">
        <f t="shared" si="20"/>
        <v>60</v>
      </c>
      <c r="BS22" s="26">
        <v>4</v>
      </c>
      <c r="BT22" s="26" t="s">
        <v>57</v>
      </c>
      <c r="BU22" s="26">
        <v>20</v>
      </c>
      <c r="BV22" s="33">
        <f t="shared" si="22"/>
        <v>80</v>
      </c>
      <c r="BW22" s="26">
        <v>3</v>
      </c>
      <c r="BX22" s="26" t="s">
        <v>57</v>
      </c>
      <c r="BY22" s="26">
        <v>20</v>
      </c>
      <c r="BZ22" s="166">
        <f t="shared" si="24"/>
        <v>60</v>
      </c>
      <c r="CA22" s="26">
        <v>20</v>
      </c>
      <c r="CC22" s="167">
        <v>18</v>
      </c>
      <c r="CD22" s="26" t="s">
        <v>885</v>
      </c>
      <c r="CE22" s="26">
        <v>3</v>
      </c>
      <c r="CF22" s="26" t="s">
        <v>57</v>
      </c>
      <c r="CG22" s="26">
        <v>20</v>
      </c>
      <c r="CH22" s="166">
        <f t="shared" si="25"/>
        <v>60</v>
      </c>
      <c r="CI22" s="26">
        <v>4</v>
      </c>
      <c r="CJ22" s="26" t="s">
        <v>57</v>
      </c>
      <c r="CK22" s="26">
        <v>20</v>
      </c>
      <c r="CL22" s="33">
        <f t="shared" si="27"/>
        <v>80</v>
      </c>
      <c r="CM22" s="26">
        <v>3</v>
      </c>
      <c r="CN22" s="26" t="s">
        <v>57</v>
      </c>
      <c r="CO22" s="26">
        <v>20</v>
      </c>
      <c r="CP22" s="166">
        <f t="shared" si="29"/>
        <v>60</v>
      </c>
      <c r="CQ22" s="26">
        <v>20</v>
      </c>
      <c r="CS22" s="167">
        <v>18</v>
      </c>
      <c r="CT22" s="26" t="s">
        <v>885</v>
      </c>
      <c r="CU22" s="26">
        <v>3</v>
      </c>
      <c r="CV22" s="26" t="s">
        <v>57</v>
      </c>
      <c r="CW22" s="26">
        <v>20</v>
      </c>
      <c r="CX22" s="166">
        <f t="shared" si="30"/>
        <v>60</v>
      </c>
      <c r="CY22" s="26">
        <v>4</v>
      </c>
      <c r="CZ22" s="26" t="s">
        <v>57</v>
      </c>
      <c r="DA22" s="26">
        <v>20</v>
      </c>
      <c r="DB22" s="33">
        <f t="shared" si="32"/>
        <v>80</v>
      </c>
      <c r="DC22" s="26">
        <v>3</v>
      </c>
      <c r="DD22" s="26" t="s">
        <v>57</v>
      </c>
      <c r="DE22" s="26">
        <v>20</v>
      </c>
      <c r="DF22" s="166">
        <f t="shared" si="34"/>
        <v>60</v>
      </c>
      <c r="DG22" s="26">
        <f t="shared" si="35"/>
        <v>0</v>
      </c>
      <c r="DH22" s="167">
        <v>18</v>
      </c>
      <c r="DI22" s="26" t="s">
        <v>889</v>
      </c>
      <c r="DJ22" s="26">
        <v>3</v>
      </c>
      <c r="DK22" s="26" t="s">
        <v>57</v>
      </c>
      <c r="DL22" s="26">
        <v>35</v>
      </c>
      <c r="DM22" s="166">
        <f t="shared" si="36"/>
        <v>105</v>
      </c>
      <c r="DN22" s="26">
        <v>4</v>
      </c>
      <c r="DO22" s="26" t="s">
        <v>57</v>
      </c>
      <c r="DP22" s="26">
        <v>35</v>
      </c>
      <c r="DQ22" s="33">
        <f t="shared" si="38"/>
        <v>140</v>
      </c>
      <c r="DR22" s="26">
        <v>3</v>
      </c>
      <c r="DS22" s="26" t="s">
        <v>57</v>
      </c>
      <c r="DT22" s="26">
        <v>35</v>
      </c>
      <c r="DU22" s="166">
        <f t="shared" si="40"/>
        <v>105</v>
      </c>
      <c r="DV22" s="26">
        <v>35</v>
      </c>
      <c r="DX22" s="167">
        <v>18</v>
      </c>
      <c r="DY22" s="26" t="s">
        <v>889</v>
      </c>
      <c r="DZ22" s="26">
        <v>3</v>
      </c>
      <c r="EA22" s="26" t="s">
        <v>57</v>
      </c>
      <c r="EB22" s="26">
        <v>35</v>
      </c>
      <c r="EC22" s="166">
        <f t="shared" si="41"/>
        <v>105</v>
      </c>
      <c r="ED22" s="26">
        <v>4</v>
      </c>
      <c r="EE22" s="26" t="s">
        <v>57</v>
      </c>
      <c r="EF22" s="26">
        <v>35</v>
      </c>
      <c r="EG22" s="33">
        <f t="shared" si="43"/>
        <v>140</v>
      </c>
      <c r="EH22" s="26">
        <v>3</v>
      </c>
      <c r="EI22" s="26" t="s">
        <v>57</v>
      </c>
      <c r="EJ22" s="26">
        <v>35</v>
      </c>
      <c r="EK22" s="166">
        <f t="shared" si="45"/>
        <v>105</v>
      </c>
      <c r="EL22" s="26">
        <v>35</v>
      </c>
      <c r="EN22" s="167">
        <v>18</v>
      </c>
      <c r="EO22" s="26" t="s">
        <v>890</v>
      </c>
      <c r="EP22" s="26">
        <v>3</v>
      </c>
      <c r="EQ22" s="26" t="s">
        <v>57</v>
      </c>
      <c r="ER22" s="26">
        <v>60</v>
      </c>
      <c r="ES22" s="166">
        <f t="shared" si="46"/>
        <v>180</v>
      </c>
      <c r="ET22" s="26">
        <v>4</v>
      </c>
      <c r="EU22" s="26" t="s">
        <v>57</v>
      </c>
      <c r="EV22" s="26">
        <v>60</v>
      </c>
      <c r="EW22" s="33">
        <f t="shared" si="48"/>
        <v>240</v>
      </c>
      <c r="EX22" s="26">
        <v>3</v>
      </c>
      <c r="EY22" s="26" t="s">
        <v>57</v>
      </c>
      <c r="EZ22" s="26">
        <v>60</v>
      </c>
      <c r="FA22" s="166">
        <f t="shared" si="50"/>
        <v>180</v>
      </c>
      <c r="FB22" s="26">
        <v>60</v>
      </c>
    </row>
    <row r="23" spans="1:158" ht="15.75" customHeight="1" x14ac:dyDescent="0.3">
      <c r="A23" s="26">
        <v>19</v>
      </c>
      <c r="B23" s="26" t="s">
        <v>888</v>
      </c>
      <c r="C23" s="30">
        <v>1</v>
      </c>
      <c r="D23" s="30" t="s">
        <v>57</v>
      </c>
      <c r="E23" s="30">
        <v>20</v>
      </c>
      <c r="F23" s="159">
        <f t="shared" si="0"/>
        <v>20</v>
      </c>
      <c r="G23" s="30">
        <v>1</v>
      </c>
      <c r="H23" s="30" t="s">
        <v>57</v>
      </c>
      <c r="I23" s="30">
        <v>20</v>
      </c>
      <c r="J23" s="34">
        <f t="shared" si="2"/>
        <v>20</v>
      </c>
      <c r="K23" s="30">
        <v>1</v>
      </c>
      <c r="L23" s="30" t="s">
        <v>57</v>
      </c>
      <c r="M23" s="30">
        <v>20</v>
      </c>
      <c r="N23" s="159">
        <f t="shared" si="4"/>
        <v>20</v>
      </c>
      <c r="O23" s="30">
        <v>20</v>
      </c>
      <c r="Q23" s="26">
        <v>19</v>
      </c>
      <c r="R23" s="26" t="s">
        <v>891</v>
      </c>
      <c r="S23" s="26">
        <v>1</v>
      </c>
      <c r="T23" s="26" t="s">
        <v>57</v>
      </c>
      <c r="U23" s="26">
        <v>20</v>
      </c>
      <c r="V23" s="166">
        <f t="shared" si="5"/>
        <v>20</v>
      </c>
      <c r="W23" s="26">
        <v>2</v>
      </c>
      <c r="X23" s="26" t="s">
        <v>57</v>
      </c>
      <c r="Y23" s="26">
        <v>20</v>
      </c>
      <c r="Z23" s="33">
        <f t="shared" si="7"/>
        <v>40</v>
      </c>
      <c r="AA23" s="26">
        <v>1</v>
      </c>
      <c r="AB23" s="26" t="s">
        <v>57</v>
      </c>
      <c r="AC23" s="26">
        <v>20</v>
      </c>
      <c r="AD23" s="166">
        <f t="shared" si="9"/>
        <v>20</v>
      </c>
      <c r="AE23" s="26">
        <v>20</v>
      </c>
      <c r="AG23" s="167">
        <v>19</v>
      </c>
      <c r="AH23" s="26" t="s">
        <v>888</v>
      </c>
      <c r="AI23" s="26">
        <v>1</v>
      </c>
      <c r="AJ23" s="26" t="s">
        <v>57</v>
      </c>
      <c r="AK23" s="26">
        <v>20</v>
      </c>
      <c r="AL23" s="166">
        <f t="shared" si="10"/>
        <v>20</v>
      </c>
      <c r="AM23" s="26">
        <v>1</v>
      </c>
      <c r="AN23" s="26" t="s">
        <v>57</v>
      </c>
      <c r="AO23" s="26">
        <v>20</v>
      </c>
      <c r="AP23" s="33">
        <f t="shared" si="12"/>
        <v>20</v>
      </c>
      <c r="AQ23" s="26">
        <v>1</v>
      </c>
      <c r="AR23" s="26" t="s">
        <v>57</v>
      </c>
      <c r="AS23" s="26">
        <v>20</v>
      </c>
      <c r="AT23" s="166">
        <f t="shared" si="14"/>
        <v>20</v>
      </c>
      <c r="AU23" s="26">
        <v>20</v>
      </c>
      <c r="AW23" s="167">
        <v>19</v>
      </c>
      <c r="AX23" s="26" t="s">
        <v>888</v>
      </c>
      <c r="AY23" s="26">
        <v>1</v>
      </c>
      <c r="AZ23" s="26" t="s">
        <v>57</v>
      </c>
      <c r="BA23" s="26">
        <v>20</v>
      </c>
      <c r="BB23" s="166">
        <f t="shared" si="15"/>
        <v>20</v>
      </c>
      <c r="BC23" s="26">
        <v>1</v>
      </c>
      <c r="BD23" s="26" t="s">
        <v>57</v>
      </c>
      <c r="BE23" s="26">
        <v>20</v>
      </c>
      <c r="BF23" s="33">
        <f t="shared" si="17"/>
        <v>20</v>
      </c>
      <c r="BG23" s="26">
        <v>1</v>
      </c>
      <c r="BH23" s="26" t="s">
        <v>57</v>
      </c>
      <c r="BI23" s="26">
        <v>20</v>
      </c>
      <c r="BJ23" s="166">
        <f t="shared" si="19"/>
        <v>20</v>
      </c>
      <c r="BK23" s="26">
        <v>20</v>
      </c>
      <c r="BM23" s="167">
        <v>19</v>
      </c>
      <c r="BN23" s="26" t="s">
        <v>888</v>
      </c>
      <c r="BO23" s="26">
        <v>1</v>
      </c>
      <c r="BP23" s="26" t="s">
        <v>57</v>
      </c>
      <c r="BQ23" s="26">
        <v>20</v>
      </c>
      <c r="BR23" s="166">
        <f t="shared" si="20"/>
        <v>20</v>
      </c>
      <c r="BS23" s="26">
        <v>1</v>
      </c>
      <c r="BT23" s="26" t="s">
        <v>57</v>
      </c>
      <c r="BU23" s="26">
        <v>20</v>
      </c>
      <c r="BV23" s="33">
        <f t="shared" si="22"/>
        <v>20</v>
      </c>
      <c r="BW23" s="26">
        <v>1</v>
      </c>
      <c r="BX23" s="26" t="s">
        <v>57</v>
      </c>
      <c r="BY23" s="26">
        <v>20</v>
      </c>
      <c r="BZ23" s="166">
        <f t="shared" si="24"/>
        <v>20</v>
      </c>
      <c r="CA23" s="26">
        <v>20</v>
      </c>
      <c r="CC23" s="167">
        <v>19</v>
      </c>
      <c r="CD23" s="26" t="s">
        <v>888</v>
      </c>
      <c r="CE23" s="26">
        <v>1</v>
      </c>
      <c r="CF23" s="26" t="s">
        <v>57</v>
      </c>
      <c r="CG23" s="26">
        <v>20</v>
      </c>
      <c r="CH23" s="166">
        <f t="shared" si="25"/>
        <v>20</v>
      </c>
      <c r="CI23" s="26">
        <v>1</v>
      </c>
      <c r="CJ23" s="26" t="s">
        <v>57</v>
      </c>
      <c r="CK23" s="26">
        <v>20</v>
      </c>
      <c r="CL23" s="33">
        <f t="shared" si="27"/>
        <v>20</v>
      </c>
      <c r="CM23" s="26">
        <v>1</v>
      </c>
      <c r="CN23" s="26" t="s">
        <v>57</v>
      </c>
      <c r="CO23" s="26">
        <v>20</v>
      </c>
      <c r="CP23" s="166">
        <f t="shared" si="29"/>
        <v>20</v>
      </c>
      <c r="CQ23" s="26">
        <v>20</v>
      </c>
      <c r="CS23" s="167">
        <v>19</v>
      </c>
      <c r="CT23" s="26" t="s">
        <v>888</v>
      </c>
      <c r="CU23" s="26">
        <v>1</v>
      </c>
      <c r="CV23" s="26" t="s">
        <v>57</v>
      </c>
      <c r="CW23" s="26">
        <v>20</v>
      </c>
      <c r="CX23" s="166">
        <f t="shared" si="30"/>
        <v>20</v>
      </c>
      <c r="CY23" s="26">
        <v>1</v>
      </c>
      <c r="CZ23" s="26" t="s">
        <v>57</v>
      </c>
      <c r="DA23" s="26">
        <v>20</v>
      </c>
      <c r="DB23" s="33">
        <f t="shared" si="32"/>
        <v>20</v>
      </c>
      <c r="DC23" s="26">
        <v>1</v>
      </c>
      <c r="DD23" s="26" t="s">
        <v>57</v>
      </c>
      <c r="DE23" s="26">
        <v>20</v>
      </c>
      <c r="DF23" s="166">
        <f t="shared" si="34"/>
        <v>20</v>
      </c>
      <c r="DG23" s="26">
        <f t="shared" si="35"/>
        <v>0</v>
      </c>
      <c r="DH23" s="167">
        <v>19</v>
      </c>
      <c r="DI23" s="26" t="s">
        <v>888</v>
      </c>
      <c r="DJ23" s="26">
        <v>1</v>
      </c>
      <c r="DK23" s="26" t="s">
        <v>57</v>
      </c>
      <c r="DL23" s="26">
        <v>20</v>
      </c>
      <c r="DM23" s="166">
        <f t="shared" si="36"/>
        <v>20</v>
      </c>
      <c r="DN23" s="26">
        <v>1</v>
      </c>
      <c r="DO23" s="26" t="s">
        <v>57</v>
      </c>
      <c r="DP23" s="26">
        <v>20</v>
      </c>
      <c r="DQ23" s="33">
        <f t="shared" si="38"/>
        <v>20</v>
      </c>
      <c r="DR23" s="26">
        <v>1</v>
      </c>
      <c r="DS23" s="26" t="s">
        <v>57</v>
      </c>
      <c r="DT23" s="26">
        <v>20</v>
      </c>
      <c r="DU23" s="166">
        <f t="shared" si="40"/>
        <v>20</v>
      </c>
      <c r="DV23" s="26">
        <v>20</v>
      </c>
      <c r="DX23" s="167">
        <v>19</v>
      </c>
      <c r="DY23" s="26" t="s">
        <v>888</v>
      </c>
      <c r="DZ23" s="26">
        <v>1</v>
      </c>
      <c r="EA23" s="26" t="s">
        <v>57</v>
      </c>
      <c r="EB23" s="26">
        <v>20</v>
      </c>
      <c r="EC23" s="166">
        <f t="shared" si="41"/>
        <v>20</v>
      </c>
      <c r="ED23" s="26">
        <v>1</v>
      </c>
      <c r="EE23" s="26" t="s">
        <v>57</v>
      </c>
      <c r="EF23" s="26">
        <v>20</v>
      </c>
      <c r="EG23" s="33">
        <f t="shared" si="43"/>
        <v>20</v>
      </c>
      <c r="EH23" s="26">
        <v>1</v>
      </c>
      <c r="EI23" s="26" t="s">
        <v>57</v>
      </c>
      <c r="EJ23" s="26">
        <v>20</v>
      </c>
      <c r="EK23" s="166">
        <f t="shared" si="45"/>
        <v>20</v>
      </c>
      <c r="EL23" s="26">
        <v>20</v>
      </c>
      <c r="EN23" s="167">
        <v>19</v>
      </c>
      <c r="EO23" s="26" t="s">
        <v>888</v>
      </c>
      <c r="EP23" s="26">
        <v>1</v>
      </c>
      <c r="EQ23" s="26" t="s">
        <v>57</v>
      </c>
      <c r="ER23" s="26">
        <v>20</v>
      </c>
      <c r="ES23" s="166">
        <f t="shared" si="46"/>
        <v>20</v>
      </c>
      <c r="ET23" s="26">
        <v>1</v>
      </c>
      <c r="EU23" s="26" t="s">
        <v>57</v>
      </c>
      <c r="EV23" s="26">
        <v>20</v>
      </c>
      <c r="EW23" s="33">
        <f t="shared" si="48"/>
        <v>20</v>
      </c>
      <c r="EX23" s="26">
        <v>1</v>
      </c>
      <c r="EY23" s="26" t="s">
        <v>57</v>
      </c>
      <c r="EZ23" s="26">
        <v>20</v>
      </c>
      <c r="FA23" s="166">
        <f t="shared" si="50"/>
        <v>20</v>
      </c>
      <c r="FB23" s="26">
        <v>20</v>
      </c>
    </row>
    <row r="24" spans="1:158" ht="15.75" customHeight="1" x14ac:dyDescent="0.3">
      <c r="A24" s="26">
        <v>20</v>
      </c>
      <c r="B24" s="26" t="s">
        <v>891</v>
      </c>
      <c r="C24" s="30">
        <v>1</v>
      </c>
      <c r="D24" s="30" t="s">
        <v>57</v>
      </c>
      <c r="E24" s="30">
        <v>20</v>
      </c>
      <c r="F24" s="159">
        <f t="shared" si="0"/>
        <v>20</v>
      </c>
      <c r="G24" s="30">
        <v>2</v>
      </c>
      <c r="H24" s="30" t="s">
        <v>57</v>
      </c>
      <c r="I24" s="30">
        <v>20</v>
      </c>
      <c r="J24" s="34">
        <f t="shared" si="2"/>
        <v>40</v>
      </c>
      <c r="K24" s="30">
        <v>1</v>
      </c>
      <c r="L24" s="30" t="s">
        <v>57</v>
      </c>
      <c r="M24" s="30">
        <v>20</v>
      </c>
      <c r="N24" s="159">
        <f t="shared" si="4"/>
        <v>20</v>
      </c>
      <c r="O24" s="30">
        <v>20</v>
      </c>
      <c r="Q24" s="26">
        <v>20</v>
      </c>
      <c r="R24" s="26" t="s">
        <v>892</v>
      </c>
      <c r="S24" s="26">
        <v>1</v>
      </c>
      <c r="T24" s="26" t="s">
        <v>57</v>
      </c>
      <c r="U24" s="168">
        <v>1350</v>
      </c>
      <c r="V24" s="166">
        <f t="shared" si="5"/>
        <v>1350</v>
      </c>
      <c r="W24" s="26">
        <v>1</v>
      </c>
      <c r="X24" s="26" t="s">
        <v>57</v>
      </c>
      <c r="Y24" s="26">
        <v>1350</v>
      </c>
      <c r="Z24" s="33">
        <f t="shared" si="7"/>
        <v>1350</v>
      </c>
      <c r="AA24" s="26">
        <v>1</v>
      </c>
      <c r="AB24" s="26" t="s">
        <v>57</v>
      </c>
      <c r="AC24" s="26">
        <v>1350</v>
      </c>
      <c r="AD24" s="166">
        <f t="shared" si="9"/>
        <v>1350</v>
      </c>
      <c r="AE24" s="26">
        <v>1350</v>
      </c>
      <c r="AG24" s="167">
        <v>20</v>
      </c>
      <c r="AH24" s="26" t="s">
        <v>891</v>
      </c>
      <c r="AI24" s="26">
        <v>1</v>
      </c>
      <c r="AJ24" s="26" t="s">
        <v>57</v>
      </c>
      <c r="AK24" s="26">
        <v>20</v>
      </c>
      <c r="AL24" s="166">
        <f t="shared" si="10"/>
        <v>20</v>
      </c>
      <c r="AM24" s="26">
        <v>2</v>
      </c>
      <c r="AN24" s="26" t="s">
        <v>57</v>
      </c>
      <c r="AO24" s="26">
        <v>20</v>
      </c>
      <c r="AP24" s="33">
        <f t="shared" si="12"/>
        <v>40</v>
      </c>
      <c r="AQ24" s="26">
        <v>1</v>
      </c>
      <c r="AR24" s="26" t="s">
        <v>57</v>
      </c>
      <c r="AS24" s="26">
        <v>20</v>
      </c>
      <c r="AT24" s="166">
        <f t="shared" si="14"/>
        <v>20</v>
      </c>
      <c r="AU24" s="26">
        <v>20</v>
      </c>
      <c r="AW24" s="167">
        <v>20</v>
      </c>
      <c r="AX24" s="26" t="s">
        <v>891</v>
      </c>
      <c r="AY24" s="26">
        <v>1</v>
      </c>
      <c r="AZ24" s="26" t="s">
        <v>57</v>
      </c>
      <c r="BA24" s="26">
        <v>20</v>
      </c>
      <c r="BB24" s="166">
        <f t="shared" si="15"/>
        <v>20</v>
      </c>
      <c r="BC24" s="26">
        <v>2</v>
      </c>
      <c r="BD24" s="26" t="s">
        <v>57</v>
      </c>
      <c r="BE24" s="26">
        <v>20</v>
      </c>
      <c r="BF24" s="33">
        <f t="shared" si="17"/>
        <v>40</v>
      </c>
      <c r="BG24" s="26">
        <v>1</v>
      </c>
      <c r="BH24" s="26" t="s">
        <v>57</v>
      </c>
      <c r="BI24" s="26">
        <v>20</v>
      </c>
      <c r="BJ24" s="166">
        <f t="shared" si="19"/>
        <v>20</v>
      </c>
      <c r="BK24" s="26">
        <v>20</v>
      </c>
      <c r="BM24" s="167">
        <v>20</v>
      </c>
      <c r="BN24" s="26" t="s">
        <v>891</v>
      </c>
      <c r="BO24" s="26">
        <v>1</v>
      </c>
      <c r="BP24" s="26" t="s">
        <v>57</v>
      </c>
      <c r="BQ24" s="26">
        <v>20</v>
      </c>
      <c r="BR24" s="166">
        <f t="shared" si="20"/>
        <v>20</v>
      </c>
      <c r="BS24" s="26">
        <v>2</v>
      </c>
      <c r="BT24" s="26" t="s">
        <v>57</v>
      </c>
      <c r="BU24" s="26">
        <v>20</v>
      </c>
      <c r="BV24" s="33">
        <f t="shared" si="22"/>
        <v>40</v>
      </c>
      <c r="BW24" s="26">
        <v>1</v>
      </c>
      <c r="BX24" s="26" t="s">
        <v>57</v>
      </c>
      <c r="BY24" s="26">
        <v>20</v>
      </c>
      <c r="BZ24" s="166">
        <f t="shared" si="24"/>
        <v>20</v>
      </c>
      <c r="CA24" s="26">
        <v>20</v>
      </c>
      <c r="CC24" s="167">
        <v>20</v>
      </c>
      <c r="CD24" s="26" t="s">
        <v>891</v>
      </c>
      <c r="CE24" s="26">
        <v>1</v>
      </c>
      <c r="CF24" s="26" t="s">
        <v>57</v>
      </c>
      <c r="CG24" s="26">
        <v>20</v>
      </c>
      <c r="CH24" s="166">
        <f t="shared" si="25"/>
        <v>20</v>
      </c>
      <c r="CI24" s="26">
        <v>2</v>
      </c>
      <c r="CJ24" s="26" t="s">
        <v>57</v>
      </c>
      <c r="CK24" s="26">
        <v>20</v>
      </c>
      <c r="CL24" s="33">
        <f t="shared" si="27"/>
        <v>40</v>
      </c>
      <c r="CM24" s="26">
        <v>1</v>
      </c>
      <c r="CN24" s="26" t="s">
        <v>57</v>
      </c>
      <c r="CO24" s="26">
        <v>20</v>
      </c>
      <c r="CP24" s="166">
        <f t="shared" si="29"/>
        <v>20</v>
      </c>
      <c r="CQ24" s="26">
        <v>20</v>
      </c>
      <c r="CS24" s="167">
        <v>20</v>
      </c>
      <c r="CT24" s="26" t="s">
        <v>891</v>
      </c>
      <c r="CU24" s="26">
        <v>1</v>
      </c>
      <c r="CV24" s="26" t="s">
        <v>57</v>
      </c>
      <c r="CW24" s="26">
        <v>20</v>
      </c>
      <c r="CX24" s="166">
        <f t="shared" si="30"/>
        <v>20</v>
      </c>
      <c r="CY24" s="26">
        <v>2</v>
      </c>
      <c r="CZ24" s="26" t="s">
        <v>57</v>
      </c>
      <c r="DA24" s="26">
        <v>20</v>
      </c>
      <c r="DB24" s="33">
        <f t="shared" si="32"/>
        <v>40</v>
      </c>
      <c r="DC24" s="26">
        <v>1</v>
      </c>
      <c r="DD24" s="26" t="s">
        <v>57</v>
      </c>
      <c r="DE24" s="26">
        <v>20</v>
      </c>
      <c r="DF24" s="166">
        <f t="shared" si="34"/>
        <v>20</v>
      </c>
      <c r="DG24" s="26">
        <f t="shared" si="35"/>
        <v>0</v>
      </c>
      <c r="DH24" s="167">
        <v>20</v>
      </c>
      <c r="DI24" s="26" t="s">
        <v>893</v>
      </c>
      <c r="DJ24" s="26">
        <v>1</v>
      </c>
      <c r="DK24" s="26" t="s">
        <v>57</v>
      </c>
      <c r="DL24" s="26">
        <v>40</v>
      </c>
      <c r="DM24" s="166">
        <f t="shared" si="36"/>
        <v>40</v>
      </c>
      <c r="DN24" s="26">
        <v>2</v>
      </c>
      <c r="DO24" s="26" t="s">
        <v>57</v>
      </c>
      <c r="DP24" s="26">
        <v>40</v>
      </c>
      <c r="DQ24" s="33">
        <f t="shared" si="38"/>
        <v>80</v>
      </c>
      <c r="DR24" s="26">
        <v>1</v>
      </c>
      <c r="DS24" s="26" t="s">
        <v>57</v>
      </c>
      <c r="DT24" s="26">
        <v>40</v>
      </c>
      <c r="DU24" s="166">
        <f t="shared" si="40"/>
        <v>40</v>
      </c>
      <c r="DV24" s="26">
        <v>40</v>
      </c>
      <c r="DX24" s="167">
        <v>20</v>
      </c>
      <c r="DY24" s="26" t="s">
        <v>893</v>
      </c>
      <c r="DZ24" s="26">
        <v>1</v>
      </c>
      <c r="EA24" s="26" t="s">
        <v>57</v>
      </c>
      <c r="EB24" s="26">
        <v>40</v>
      </c>
      <c r="EC24" s="166">
        <f t="shared" si="41"/>
        <v>40</v>
      </c>
      <c r="ED24" s="26">
        <v>2</v>
      </c>
      <c r="EE24" s="26" t="s">
        <v>57</v>
      </c>
      <c r="EF24" s="26">
        <v>40</v>
      </c>
      <c r="EG24" s="33">
        <f t="shared" si="43"/>
        <v>80</v>
      </c>
      <c r="EH24" s="26">
        <v>1</v>
      </c>
      <c r="EI24" s="26" t="s">
        <v>57</v>
      </c>
      <c r="EJ24" s="26">
        <v>40</v>
      </c>
      <c r="EK24" s="166">
        <f t="shared" si="45"/>
        <v>40</v>
      </c>
      <c r="EL24" s="26">
        <v>40</v>
      </c>
      <c r="EN24" s="167">
        <v>20</v>
      </c>
      <c r="EO24" s="26" t="s">
        <v>894</v>
      </c>
      <c r="EP24" s="26">
        <v>1</v>
      </c>
      <c r="EQ24" s="26" t="s">
        <v>57</v>
      </c>
      <c r="ER24" s="26">
        <v>60</v>
      </c>
      <c r="ES24" s="166">
        <f t="shared" si="46"/>
        <v>60</v>
      </c>
      <c r="ET24" s="26">
        <v>2</v>
      </c>
      <c r="EU24" s="26" t="s">
        <v>57</v>
      </c>
      <c r="EV24" s="26">
        <v>60</v>
      </c>
      <c r="EW24" s="33">
        <f t="shared" si="48"/>
        <v>120</v>
      </c>
      <c r="EX24" s="26">
        <v>1</v>
      </c>
      <c r="EY24" s="26" t="s">
        <v>57</v>
      </c>
      <c r="EZ24" s="26">
        <v>60</v>
      </c>
      <c r="FA24" s="166">
        <f t="shared" si="50"/>
        <v>60</v>
      </c>
      <c r="FB24" s="26">
        <v>60</v>
      </c>
    </row>
    <row r="25" spans="1:158" ht="15.75" customHeight="1" x14ac:dyDescent="0.3">
      <c r="A25" s="26">
        <v>21</v>
      </c>
      <c r="B25" s="26" t="s">
        <v>892</v>
      </c>
      <c r="C25" s="30">
        <v>1</v>
      </c>
      <c r="D25" s="30" t="s">
        <v>57</v>
      </c>
      <c r="E25" s="30">
        <v>1350</v>
      </c>
      <c r="F25" s="159">
        <f t="shared" si="0"/>
        <v>1350</v>
      </c>
      <c r="G25" s="30">
        <v>1</v>
      </c>
      <c r="H25" s="30" t="s">
        <v>57</v>
      </c>
      <c r="I25" s="30">
        <v>1350</v>
      </c>
      <c r="J25" s="34">
        <f t="shared" si="2"/>
        <v>1350</v>
      </c>
      <c r="K25" s="30">
        <v>1</v>
      </c>
      <c r="L25" s="30" t="s">
        <v>57</v>
      </c>
      <c r="M25" s="30">
        <v>1350</v>
      </c>
      <c r="N25" s="159">
        <f t="shared" si="4"/>
        <v>1350</v>
      </c>
      <c r="O25" s="30">
        <v>1350</v>
      </c>
      <c r="Q25" s="26">
        <v>21</v>
      </c>
      <c r="R25" s="26" t="s">
        <v>895</v>
      </c>
      <c r="S25" s="26">
        <v>1</v>
      </c>
      <c r="T25" s="26" t="s">
        <v>57</v>
      </c>
      <c r="U25" s="26">
        <v>3900</v>
      </c>
      <c r="V25" s="166">
        <f t="shared" si="5"/>
        <v>3900</v>
      </c>
      <c r="W25" s="26">
        <v>2</v>
      </c>
      <c r="X25" s="26" t="s">
        <v>57</v>
      </c>
      <c r="Y25" s="26">
        <v>3900</v>
      </c>
      <c r="Z25" s="33">
        <f t="shared" si="7"/>
        <v>7800</v>
      </c>
      <c r="AA25" s="26">
        <v>1</v>
      </c>
      <c r="AB25" s="26" t="s">
        <v>57</v>
      </c>
      <c r="AC25" s="26">
        <v>3900</v>
      </c>
      <c r="AD25" s="166">
        <f t="shared" si="9"/>
        <v>3900</v>
      </c>
      <c r="AE25" s="26">
        <v>3900</v>
      </c>
      <c r="AG25" s="167">
        <v>21</v>
      </c>
      <c r="AH25" s="26" t="s">
        <v>892</v>
      </c>
      <c r="AI25" s="26">
        <v>1</v>
      </c>
      <c r="AJ25" s="26" t="s">
        <v>57</v>
      </c>
      <c r="AK25" s="26">
        <v>1350</v>
      </c>
      <c r="AL25" s="166">
        <f t="shared" si="10"/>
        <v>1350</v>
      </c>
      <c r="AM25" s="26">
        <v>1</v>
      </c>
      <c r="AN25" s="26" t="s">
        <v>57</v>
      </c>
      <c r="AO25" s="26">
        <v>1350</v>
      </c>
      <c r="AP25" s="33">
        <f t="shared" si="12"/>
        <v>1350</v>
      </c>
      <c r="AQ25" s="26">
        <v>1</v>
      </c>
      <c r="AR25" s="26" t="s">
        <v>57</v>
      </c>
      <c r="AS25" s="26">
        <v>1350</v>
      </c>
      <c r="AT25" s="166">
        <f t="shared" si="14"/>
        <v>1350</v>
      </c>
      <c r="AU25" s="26">
        <v>1350</v>
      </c>
      <c r="AW25" s="167">
        <v>21</v>
      </c>
      <c r="AX25" s="26" t="s">
        <v>892</v>
      </c>
      <c r="AY25" s="26">
        <v>1</v>
      </c>
      <c r="AZ25" s="26" t="s">
        <v>57</v>
      </c>
      <c r="BA25" s="26">
        <v>1350</v>
      </c>
      <c r="BB25" s="166">
        <f t="shared" si="15"/>
        <v>1350</v>
      </c>
      <c r="BC25" s="26">
        <v>1</v>
      </c>
      <c r="BD25" s="26" t="s">
        <v>57</v>
      </c>
      <c r="BE25" s="26">
        <v>1350</v>
      </c>
      <c r="BF25" s="33">
        <f t="shared" si="17"/>
        <v>1350</v>
      </c>
      <c r="BG25" s="26">
        <v>1</v>
      </c>
      <c r="BH25" s="26" t="s">
        <v>57</v>
      </c>
      <c r="BI25" s="26">
        <v>1350</v>
      </c>
      <c r="BJ25" s="166">
        <f t="shared" si="19"/>
        <v>1350</v>
      </c>
      <c r="BK25" s="26">
        <v>1350</v>
      </c>
      <c r="BM25" s="167">
        <v>21</v>
      </c>
      <c r="BN25" s="26" t="s">
        <v>892</v>
      </c>
      <c r="BO25" s="26">
        <v>1</v>
      </c>
      <c r="BP25" s="26" t="s">
        <v>57</v>
      </c>
      <c r="BQ25" s="26">
        <v>1350</v>
      </c>
      <c r="BR25" s="166">
        <f t="shared" si="20"/>
        <v>1350</v>
      </c>
      <c r="BS25" s="26">
        <v>1</v>
      </c>
      <c r="BT25" s="26" t="s">
        <v>57</v>
      </c>
      <c r="BU25" s="26">
        <v>1350</v>
      </c>
      <c r="BV25" s="33">
        <f t="shared" si="22"/>
        <v>1350</v>
      </c>
      <c r="BW25" s="26">
        <v>1</v>
      </c>
      <c r="BX25" s="26" t="s">
        <v>57</v>
      </c>
      <c r="BY25" s="26">
        <v>1350</v>
      </c>
      <c r="BZ25" s="166">
        <f t="shared" si="24"/>
        <v>1350</v>
      </c>
      <c r="CA25" s="26">
        <v>1350</v>
      </c>
      <c r="CC25" s="167">
        <v>21</v>
      </c>
      <c r="CD25" s="26" t="s">
        <v>892</v>
      </c>
      <c r="CE25" s="26">
        <v>1</v>
      </c>
      <c r="CF25" s="26" t="s">
        <v>57</v>
      </c>
      <c r="CG25" s="26">
        <v>1350</v>
      </c>
      <c r="CH25" s="166">
        <f t="shared" si="25"/>
        <v>1350</v>
      </c>
      <c r="CI25" s="26">
        <v>1</v>
      </c>
      <c r="CJ25" s="26" t="s">
        <v>57</v>
      </c>
      <c r="CK25" s="26">
        <v>1350</v>
      </c>
      <c r="CL25" s="33">
        <f t="shared" si="27"/>
        <v>1350</v>
      </c>
      <c r="CM25" s="26">
        <v>1</v>
      </c>
      <c r="CN25" s="26" t="s">
        <v>57</v>
      </c>
      <c r="CO25" s="26">
        <v>1350</v>
      </c>
      <c r="CP25" s="166">
        <f t="shared" si="29"/>
        <v>1350</v>
      </c>
      <c r="CQ25" s="26">
        <v>1350</v>
      </c>
      <c r="CS25" s="167">
        <v>21</v>
      </c>
      <c r="CT25" s="26" t="s">
        <v>892</v>
      </c>
      <c r="CU25" s="26">
        <v>1</v>
      </c>
      <c r="CV25" s="26" t="s">
        <v>57</v>
      </c>
      <c r="CW25" s="26">
        <v>1350</v>
      </c>
      <c r="CX25" s="166">
        <f t="shared" si="30"/>
        <v>1350</v>
      </c>
      <c r="CY25" s="26">
        <v>1</v>
      </c>
      <c r="CZ25" s="26" t="s">
        <v>57</v>
      </c>
      <c r="DA25" s="26">
        <v>1350</v>
      </c>
      <c r="DB25" s="33">
        <f t="shared" si="32"/>
        <v>1350</v>
      </c>
      <c r="DC25" s="26">
        <v>1</v>
      </c>
      <c r="DD25" s="26" t="s">
        <v>57</v>
      </c>
      <c r="DE25" s="26">
        <v>1350</v>
      </c>
      <c r="DF25" s="166">
        <f t="shared" si="34"/>
        <v>1350</v>
      </c>
      <c r="DG25" s="26">
        <f t="shared" si="35"/>
        <v>0</v>
      </c>
      <c r="DH25" s="167">
        <v>21</v>
      </c>
      <c r="DI25" s="26" t="s">
        <v>896</v>
      </c>
      <c r="DJ25" s="26">
        <v>1</v>
      </c>
      <c r="DK25" s="26" t="s">
        <v>57</v>
      </c>
      <c r="DL25" s="26">
        <v>3500</v>
      </c>
      <c r="DM25" s="166">
        <f t="shared" si="36"/>
        <v>3500</v>
      </c>
      <c r="DN25" s="26">
        <v>1</v>
      </c>
      <c r="DO25" s="26" t="s">
        <v>57</v>
      </c>
      <c r="DP25" s="26">
        <v>3500</v>
      </c>
      <c r="DQ25" s="33">
        <f t="shared" si="38"/>
        <v>3500</v>
      </c>
      <c r="DR25" s="26">
        <v>1</v>
      </c>
      <c r="DS25" s="26" t="s">
        <v>57</v>
      </c>
      <c r="DT25" s="26">
        <v>3500</v>
      </c>
      <c r="DU25" s="166">
        <f t="shared" si="40"/>
        <v>3500</v>
      </c>
      <c r="DV25" s="26">
        <v>3500</v>
      </c>
      <c r="DX25" s="167">
        <v>21</v>
      </c>
      <c r="DY25" s="26" t="s">
        <v>896</v>
      </c>
      <c r="DZ25" s="26">
        <v>1</v>
      </c>
      <c r="EA25" s="26" t="s">
        <v>57</v>
      </c>
      <c r="EB25" s="26">
        <v>3500</v>
      </c>
      <c r="EC25" s="166">
        <f t="shared" si="41"/>
        <v>3500</v>
      </c>
      <c r="ED25" s="26">
        <v>1</v>
      </c>
      <c r="EE25" s="26" t="s">
        <v>57</v>
      </c>
      <c r="EF25" s="26">
        <v>3500</v>
      </c>
      <c r="EG25" s="33">
        <f t="shared" si="43"/>
        <v>3500</v>
      </c>
      <c r="EH25" s="26">
        <v>1</v>
      </c>
      <c r="EI25" s="26" t="s">
        <v>57</v>
      </c>
      <c r="EJ25" s="26">
        <v>3500</v>
      </c>
      <c r="EK25" s="166">
        <f t="shared" si="45"/>
        <v>3500</v>
      </c>
      <c r="EL25" s="26">
        <v>3500</v>
      </c>
      <c r="EN25" s="167">
        <v>21</v>
      </c>
      <c r="EO25" s="26" t="s">
        <v>897</v>
      </c>
      <c r="EP25" s="26">
        <v>1</v>
      </c>
      <c r="EQ25" s="26" t="s">
        <v>57</v>
      </c>
      <c r="ER25" s="169">
        <v>5000</v>
      </c>
      <c r="ES25" s="166">
        <f t="shared" si="46"/>
        <v>5000</v>
      </c>
      <c r="ET25" s="26">
        <v>1</v>
      </c>
      <c r="EU25" s="26" t="s">
        <v>57</v>
      </c>
      <c r="EV25" s="26">
        <v>5000</v>
      </c>
      <c r="EW25" s="33">
        <f t="shared" si="48"/>
        <v>5000</v>
      </c>
      <c r="EX25" s="26">
        <v>1</v>
      </c>
      <c r="EY25" s="26" t="s">
        <v>57</v>
      </c>
      <c r="EZ25" s="26">
        <v>5000</v>
      </c>
      <c r="FA25" s="166">
        <f t="shared" si="50"/>
        <v>5000</v>
      </c>
      <c r="FB25" s="26">
        <v>5000</v>
      </c>
    </row>
    <row r="26" spans="1:158" ht="15.75" customHeight="1" x14ac:dyDescent="0.3">
      <c r="A26" s="26">
        <v>22</v>
      </c>
      <c r="B26" s="26" t="s">
        <v>895</v>
      </c>
      <c r="C26" s="30">
        <v>1</v>
      </c>
      <c r="D26" s="30" t="s">
        <v>57</v>
      </c>
      <c r="E26" s="30">
        <v>3900</v>
      </c>
      <c r="F26" s="159">
        <f t="shared" si="0"/>
        <v>3900</v>
      </c>
      <c r="G26" s="30">
        <v>2</v>
      </c>
      <c r="H26" s="30" t="s">
        <v>57</v>
      </c>
      <c r="I26" s="30">
        <v>3900</v>
      </c>
      <c r="J26" s="34">
        <f t="shared" si="2"/>
        <v>7800</v>
      </c>
      <c r="K26" s="30">
        <v>1</v>
      </c>
      <c r="L26" s="30" t="s">
        <v>57</v>
      </c>
      <c r="M26" s="30">
        <v>3900</v>
      </c>
      <c r="N26" s="159">
        <f t="shared" si="4"/>
        <v>3900</v>
      </c>
      <c r="O26" s="30">
        <v>3900</v>
      </c>
      <c r="Q26" s="26">
        <v>22</v>
      </c>
      <c r="R26" s="26" t="s">
        <v>898</v>
      </c>
      <c r="S26" s="33">
        <v>1</v>
      </c>
      <c r="T26" s="26" t="s">
        <v>57</v>
      </c>
      <c r="U26" s="33">
        <v>1700</v>
      </c>
      <c r="V26" s="166">
        <f t="shared" si="5"/>
        <v>1700</v>
      </c>
      <c r="W26" s="33">
        <v>0</v>
      </c>
      <c r="X26" s="26" t="s">
        <v>57</v>
      </c>
      <c r="Y26" s="33">
        <v>0</v>
      </c>
      <c r="Z26" s="166">
        <f t="shared" si="7"/>
        <v>0</v>
      </c>
      <c r="AA26" s="33">
        <v>1</v>
      </c>
      <c r="AB26" s="26" t="s">
        <v>57</v>
      </c>
      <c r="AC26" s="33">
        <v>1500</v>
      </c>
      <c r="AD26" s="166">
        <f t="shared" si="9"/>
        <v>1500</v>
      </c>
      <c r="AE26" s="26">
        <v>1500</v>
      </c>
      <c r="AG26" s="167">
        <v>22</v>
      </c>
      <c r="AH26" s="26" t="s">
        <v>895</v>
      </c>
      <c r="AI26" s="26">
        <v>1</v>
      </c>
      <c r="AJ26" s="26" t="s">
        <v>57</v>
      </c>
      <c r="AK26" s="26">
        <v>3900</v>
      </c>
      <c r="AL26" s="166">
        <f t="shared" si="10"/>
        <v>3900</v>
      </c>
      <c r="AM26" s="26">
        <v>2</v>
      </c>
      <c r="AN26" s="26" t="s">
        <v>57</v>
      </c>
      <c r="AO26" s="26">
        <v>3900</v>
      </c>
      <c r="AP26" s="33">
        <f t="shared" si="12"/>
        <v>7800</v>
      </c>
      <c r="AQ26" s="26">
        <v>1</v>
      </c>
      <c r="AR26" s="26" t="s">
        <v>57</v>
      </c>
      <c r="AS26" s="26">
        <v>3900</v>
      </c>
      <c r="AT26" s="166">
        <f t="shared" si="14"/>
        <v>3900</v>
      </c>
      <c r="AU26" s="26">
        <v>3900</v>
      </c>
      <c r="AW26" s="167">
        <v>22</v>
      </c>
      <c r="AX26" s="26" t="s">
        <v>895</v>
      </c>
      <c r="AY26" s="26">
        <v>1</v>
      </c>
      <c r="AZ26" s="26" t="s">
        <v>57</v>
      </c>
      <c r="BA26" s="26">
        <v>3900</v>
      </c>
      <c r="BB26" s="166">
        <f t="shared" si="15"/>
        <v>3900</v>
      </c>
      <c r="BC26" s="26">
        <v>2</v>
      </c>
      <c r="BD26" s="26" t="s">
        <v>57</v>
      </c>
      <c r="BE26" s="26">
        <v>3900</v>
      </c>
      <c r="BF26" s="33">
        <f t="shared" si="17"/>
        <v>7800</v>
      </c>
      <c r="BG26" s="26">
        <v>1</v>
      </c>
      <c r="BH26" s="26" t="s">
        <v>57</v>
      </c>
      <c r="BI26" s="26">
        <v>3900</v>
      </c>
      <c r="BJ26" s="166">
        <f t="shared" si="19"/>
        <v>3900</v>
      </c>
      <c r="BK26" s="26">
        <v>3900</v>
      </c>
      <c r="BM26" s="167">
        <v>22</v>
      </c>
      <c r="BN26" s="26" t="s">
        <v>895</v>
      </c>
      <c r="BO26" s="26">
        <v>1</v>
      </c>
      <c r="BP26" s="26" t="s">
        <v>57</v>
      </c>
      <c r="BQ26" s="26">
        <v>3900</v>
      </c>
      <c r="BR26" s="166">
        <f t="shared" si="20"/>
        <v>3900</v>
      </c>
      <c r="BS26" s="26">
        <v>2</v>
      </c>
      <c r="BT26" s="26" t="s">
        <v>57</v>
      </c>
      <c r="BU26" s="26">
        <v>3900</v>
      </c>
      <c r="BV26" s="33">
        <f t="shared" si="22"/>
        <v>7800</v>
      </c>
      <c r="BW26" s="26">
        <v>1</v>
      </c>
      <c r="BX26" s="26" t="s">
        <v>57</v>
      </c>
      <c r="BY26" s="26">
        <v>3900</v>
      </c>
      <c r="BZ26" s="166">
        <f t="shared" si="24"/>
        <v>3900</v>
      </c>
      <c r="CA26" s="26">
        <v>3900</v>
      </c>
      <c r="CC26" s="167">
        <v>22</v>
      </c>
      <c r="CD26" s="26" t="s">
        <v>895</v>
      </c>
      <c r="CE26" s="26">
        <v>1</v>
      </c>
      <c r="CF26" s="26" t="s">
        <v>57</v>
      </c>
      <c r="CG26" s="26">
        <v>3900</v>
      </c>
      <c r="CH26" s="166">
        <f t="shared" si="25"/>
        <v>3900</v>
      </c>
      <c r="CI26" s="26">
        <v>2</v>
      </c>
      <c r="CJ26" s="26" t="s">
        <v>57</v>
      </c>
      <c r="CK26" s="26">
        <v>3900</v>
      </c>
      <c r="CL26" s="33">
        <f t="shared" si="27"/>
        <v>7800</v>
      </c>
      <c r="CM26" s="26">
        <v>1</v>
      </c>
      <c r="CN26" s="26" t="s">
        <v>57</v>
      </c>
      <c r="CO26" s="26">
        <v>3900</v>
      </c>
      <c r="CP26" s="166">
        <f t="shared" si="29"/>
        <v>3900</v>
      </c>
      <c r="CQ26" s="26">
        <v>3900</v>
      </c>
      <c r="CS26" s="167">
        <v>22</v>
      </c>
      <c r="CT26" s="26" t="s">
        <v>895</v>
      </c>
      <c r="CU26" s="26">
        <v>1</v>
      </c>
      <c r="CV26" s="26" t="s">
        <v>57</v>
      </c>
      <c r="CW26" s="26">
        <v>3900</v>
      </c>
      <c r="CX26" s="166">
        <f t="shared" si="30"/>
        <v>3900</v>
      </c>
      <c r="CY26" s="26">
        <v>2</v>
      </c>
      <c r="CZ26" s="26" t="s">
        <v>57</v>
      </c>
      <c r="DA26" s="26">
        <v>3900</v>
      </c>
      <c r="DB26" s="33">
        <f t="shared" si="32"/>
        <v>7800</v>
      </c>
      <c r="DC26" s="26">
        <v>1</v>
      </c>
      <c r="DD26" s="26" t="s">
        <v>57</v>
      </c>
      <c r="DE26" s="26">
        <v>3900</v>
      </c>
      <c r="DF26" s="166">
        <f t="shared" si="34"/>
        <v>3900</v>
      </c>
      <c r="DG26" s="26">
        <f t="shared" si="35"/>
        <v>0</v>
      </c>
      <c r="DH26" s="167">
        <v>22</v>
      </c>
      <c r="DI26" s="26" t="s">
        <v>899</v>
      </c>
      <c r="DJ26" s="26">
        <v>1</v>
      </c>
      <c r="DK26" s="26" t="s">
        <v>57</v>
      </c>
      <c r="DL26" s="26">
        <v>3900</v>
      </c>
      <c r="DM26" s="166">
        <f t="shared" si="36"/>
        <v>3900</v>
      </c>
      <c r="DN26" s="26">
        <v>2</v>
      </c>
      <c r="DO26" s="26" t="s">
        <v>57</v>
      </c>
      <c r="DP26" s="26">
        <v>3900</v>
      </c>
      <c r="DQ26" s="33">
        <f t="shared" si="38"/>
        <v>7800</v>
      </c>
      <c r="DR26" s="26">
        <v>1</v>
      </c>
      <c r="DS26" s="26" t="s">
        <v>57</v>
      </c>
      <c r="DT26" s="26">
        <v>3900</v>
      </c>
      <c r="DU26" s="166">
        <f t="shared" si="40"/>
        <v>3900</v>
      </c>
      <c r="DV26" s="26">
        <v>3900</v>
      </c>
      <c r="DX26" s="167">
        <v>22</v>
      </c>
      <c r="DY26" s="26" t="s">
        <v>899</v>
      </c>
      <c r="DZ26" s="26">
        <v>1</v>
      </c>
      <c r="EA26" s="26" t="s">
        <v>57</v>
      </c>
      <c r="EB26" s="26">
        <v>3900</v>
      </c>
      <c r="EC26" s="166">
        <f t="shared" si="41"/>
        <v>3900</v>
      </c>
      <c r="ED26" s="26">
        <v>2</v>
      </c>
      <c r="EE26" s="26" t="s">
        <v>57</v>
      </c>
      <c r="EF26" s="26">
        <v>3900</v>
      </c>
      <c r="EG26" s="33">
        <f t="shared" si="43"/>
        <v>7800</v>
      </c>
      <c r="EH26" s="26">
        <v>1</v>
      </c>
      <c r="EI26" s="26" t="s">
        <v>57</v>
      </c>
      <c r="EJ26" s="26">
        <v>3900</v>
      </c>
      <c r="EK26" s="166">
        <f t="shared" si="45"/>
        <v>3900</v>
      </c>
      <c r="EL26" s="26">
        <v>3900</v>
      </c>
      <c r="EN26" s="167">
        <v>22</v>
      </c>
      <c r="EO26" s="26" t="s">
        <v>900</v>
      </c>
      <c r="EP26" s="26">
        <v>1</v>
      </c>
      <c r="EQ26" s="26" t="s">
        <v>57</v>
      </c>
      <c r="ER26" s="169">
        <v>4500</v>
      </c>
      <c r="ES26" s="166">
        <f t="shared" si="46"/>
        <v>4500</v>
      </c>
      <c r="ET26" s="26">
        <v>2</v>
      </c>
      <c r="EU26" s="26" t="s">
        <v>57</v>
      </c>
      <c r="EV26" s="26">
        <v>4500</v>
      </c>
      <c r="EW26" s="33">
        <f t="shared" si="48"/>
        <v>9000</v>
      </c>
      <c r="EX26" s="26">
        <v>1</v>
      </c>
      <c r="EY26" s="26" t="s">
        <v>57</v>
      </c>
      <c r="EZ26" s="26">
        <v>4500</v>
      </c>
      <c r="FA26" s="166">
        <f t="shared" si="50"/>
        <v>4500</v>
      </c>
      <c r="FB26" s="26">
        <v>4500</v>
      </c>
    </row>
    <row r="27" spans="1:158" ht="15.75" customHeight="1" x14ac:dyDescent="0.3">
      <c r="A27" s="26">
        <v>23</v>
      </c>
      <c r="B27" s="26" t="s">
        <v>898</v>
      </c>
      <c r="C27" s="34">
        <v>1</v>
      </c>
      <c r="D27" s="30" t="s">
        <v>57</v>
      </c>
      <c r="E27" s="34">
        <v>1700</v>
      </c>
      <c r="F27" s="159">
        <f t="shared" si="0"/>
        <v>1700</v>
      </c>
      <c r="G27" s="34">
        <v>0</v>
      </c>
      <c r="H27" s="30" t="s">
        <v>57</v>
      </c>
      <c r="I27" s="34">
        <v>0</v>
      </c>
      <c r="J27" s="159">
        <f t="shared" si="2"/>
        <v>0</v>
      </c>
      <c r="K27" s="34">
        <v>1</v>
      </c>
      <c r="L27" s="30" t="s">
        <v>57</v>
      </c>
      <c r="M27" s="34">
        <v>1500</v>
      </c>
      <c r="N27" s="159">
        <f t="shared" si="4"/>
        <v>1500</v>
      </c>
      <c r="O27" s="34">
        <v>1500</v>
      </c>
      <c r="Q27" s="26">
        <v>23</v>
      </c>
      <c r="R27" s="26" t="s">
        <v>901</v>
      </c>
      <c r="S27" s="26">
        <v>7</v>
      </c>
      <c r="T27" s="26" t="s">
        <v>57</v>
      </c>
      <c r="U27" s="26">
        <v>1000</v>
      </c>
      <c r="V27" s="166">
        <f t="shared" si="5"/>
        <v>7000</v>
      </c>
      <c r="W27" s="26">
        <v>9</v>
      </c>
      <c r="X27" s="26" t="s">
        <v>57</v>
      </c>
      <c r="Y27" s="26">
        <v>900</v>
      </c>
      <c r="Z27" s="33">
        <f t="shared" si="7"/>
        <v>8100</v>
      </c>
      <c r="AA27" s="26">
        <v>5</v>
      </c>
      <c r="AB27" s="26" t="s">
        <v>57</v>
      </c>
      <c r="AC27" s="26">
        <v>900</v>
      </c>
      <c r="AD27" s="166">
        <f t="shared" si="9"/>
        <v>4500</v>
      </c>
      <c r="AE27" s="26">
        <v>900</v>
      </c>
      <c r="AG27" s="167">
        <v>23</v>
      </c>
      <c r="AH27" s="26" t="s">
        <v>898</v>
      </c>
      <c r="AI27" s="33">
        <v>1</v>
      </c>
      <c r="AJ27" s="26" t="s">
        <v>57</v>
      </c>
      <c r="AK27" s="33">
        <v>1700</v>
      </c>
      <c r="AL27" s="166">
        <f t="shared" si="10"/>
        <v>1700</v>
      </c>
      <c r="AM27" s="33">
        <v>0</v>
      </c>
      <c r="AN27" s="26" t="s">
        <v>57</v>
      </c>
      <c r="AO27" s="33">
        <v>0</v>
      </c>
      <c r="AP27" s="166">
        <f t="shared" si="12"/>
        <v>0</v>
      </c>
      <c r="AQ27" s="33">
        <v>1</v>
      </c>
      <c r="AR27" s="26" t="s">
        <v>57</v>
      </c>
      <c r="AS27" s="33">
        <v>1500</v>
      </c>
      <c r="AT27" s="166">
        <f t="shared" si="14"/>
        <v>1500</v>
      </c>
      <c r="AU27" s="26">
        <v>1500</v>
      </c>
      <c r="AW27" s="167">
        <v>23</v>
      </c>
      <c r="AX27" s="26" t="s">
        <v>898</v>
      </c>
      <c r="AY27" s="33">
        <v>1</v>
      </c>
      <c r="AZ27" s="26" t="s">
        <v>57</v>
      </c>
      <c r="BA27" s="33">
        <v>1700</v>
      </c>
      <c r="BB27" s="166">
        <f t="shared" si="15"/>
        <v>1700</v>
      </c>
      <c r="BC27" s="33">
        <v>0</v>
      </c>
      <c r="BD27" s="26" t="s">
        <v>57</v>
      </c>
      <c r="BE27" s="33">
        <v>0</v>
      </c>
      <c r="BF27" s="166">
        <f t="shared" si="17"/>
        <v>0</v>
      </c>
      <c r="BG27" s="33">
        <v>1</v>
      </c>
      <c r="BH27" s="26" t="s">
        <v>57</v>
      </c>
      <c r="BI27" s="33">
        <v>1500</v>
      </c>
      <c r="BJ27" s="166">
        <f t="shared" si="19"/>
        <v>1500</v>
      </c>
      <c r="BK27" s="26">
        <v>1500</v>
      </c>
      <c r="BM27" s="167">
        <v>23</v>
      </c>
      <c r="BN27" s="26" t="s">
        <v>898</v>
      </c>
      <c r="BO27" s="33">
        <v>1</v>
      </c>
      <c r="BP27" s="26" t="s">
        <v>57</v>
      </c>
      <c r="BQ27" s="33">
        <v>1700</v>
      </c>
      <c r="BR27" s="166">
        <f t="shared" si="20"/>
        <v>1700</v>
      </c>
      <c r="BS27" s="33">
        <v>0</v>
      </c>
      <c r="BT27" s="26" t="s">
        <v>57</v>
      </c>
      <c r="BU27" s="33">
        <v>0</v>
      </c>
      <c r="BV27" s="166">
        <f t="shared" si="22"/>
        <v>0</v>
      </c>
      <c r="BW27" s="33">
        <v>1</v>
      </c>
      <c r="BX27" s="26" t="s">
        <v>57</v>
      </c>
      <c r="BY27" s="33">
        <v>1500</v>
      </c>
      <c r="BZ27" s="166">
        <f t="shared" si="24"/>
        <v>1500</v>
      </c>
      <c r="CA27" s="26">
        <v>1500</v>
      </c>
      <c r="CC27" s="167">
        <v>23</v>
      </c>
      <c r="CD27" s="26" t="s">
        <v>898</v>
      </c>
      <c r="CE27" s="33">
        <v>1</v>
      </c>
      <c r="CF27" s="26" t="s">
        <v>57</v>
      </c>
      <c r="CG27" s="33">
        <v>1700</v>
      </c>
      <c r="CH27" s="166">
        <f t="shared" si="25"/>
        <v>1700</v>
      </c>
      <c r="CI27" s="33">
        <v>0</v>
      </c>
      <c r="CJ27" s="26" t="s">
        <v>57</v>
      </c>
      <c r="CK27" s="33">
        <v>0</v>
      </c>
      <c r="CL27" s="166">
        <f t="shared" si="27"/>
        <v>0</v>
      </c>
      <c r="CM27" s="33">
        <v>1</v>
      </c>
      <c r="CN27" s="26" t="s">
        <v>57</v>
      </c>
      <c r="CO27" s="33">
        <v>1500</v>
      </c>
      <c r="CP27" s="166">
        <f t="shared" si="29"/>
        <v>1500</v>
      </c>
      <c r="CQ27" s="26">
        <v>1500</v>
      </c>
      <c r="CS27" s="167">
        <v>23</v>
      </c>
      <c r="CT27" s="26" t="s">
        <v>898</v>
      </c>
      <c r="CU27" s="33">
        <v>1</v>
      </c>
      <c r="CV27" s="26" t="s">
        <v>57</v>
      </c>
      <c r="CW27" s="33">
        <v>1700</v>
      </c>
      <c r="CX27" s="166">
        <f t="shared" si="30"/>
        <v>1700</v>
      </c>
      <c r="CY27" s="33">
        <v>0</v>
      </c>
      <c r="CZ27" s="26" t="s">
        <v>57</v>
      </c>
      <c r="DA27" s="33">
        <v>0</v>
      </c>
      <c r="DB27" s="166">
        <f t="shared" si="32"/>
        <v>0</v>
      </c>
      <c r="DC27" s="33">
        <v>1</v>
      </c>
      <c r="DD27" s="26" t="s">
        <v>57</v>
      </c>
      <c r="DE27" s="33">
        <v>1500</v>
      </c>
      <c r="DF27" s="166">
        <f t="shared" si="34"/>
        <v>1500</v>
      </c>
      <c r="DG27" s="26">
        <f t="shared" si="35"/>
        <v>0</v>
      </c>
      <c r="DH27" s="167">
        <v>23</v>
      </c>
      <c r="DI27" s="26" t="s">
        <v>902</v>
      </c>
      <c r="DJ27" s="33">
        <v>1</v>
      </c>
      <c r="DK27" s="26" t="s">
        <v>57</v>
      </c>
      <c r="DL27" s="33">
        <v>1700</v>
      </c>
      <c r="DM27" s="166">
        <f t="shared" si="36"/>
        <v>1700</v>
      </c>
      <c r="DN27" s="33">
        <v>0</v>
      </c>
      <c r="DO27" s="26" t="s">
        <v>57</v>
      </c>
      <c r="DP27" s="33">
        <v>0</v>
      </c>
      <c r="DQ27" s="166">
        <f t="shared" si="38"/>
        <v>0</v>
      </c>
      <c r="DR27" s="33">
        <v>1</v>
      </c>
      <c r="DS27" s="26" t="s">
        <v>57</v>
      </c>
      <c r="DT27" s="33">
        <v>1500</v>
      </c>
      <c r="DU27" s="166">
        <f t="shared" si="40"/>
        <v>1500</v>
      </c>
      <c r="DV27" s="26">
        <v>1500</v>
      </c>
      <c r="DX27" s="167">
        <v>23</v>
      </c>
      <c r="DY27" s="26" t="s">
        <v>902</v>
      </c>
      <c r="DZ27" s="33">
        <v>1</v>
      </c>
      <c r="EA27" s="26" t="s">
        <v>57</v>
      </c>
      <c r="EB27" s="33">
        <v>1700</v>
      </c>
      <c r="EC27" s="166">
        <f t="shared" si="41"/>
        <v>1700</v>
      </c>
      <c r="ED27" s="33">
        <v>0</v>
      </c>
      <c r="EE27" s="26" t="s">
        <v>57</v>
      </c>
      <c r="EF27" s="33">
        <v>0</v>
      </c>
      <c r="EG27" s="166">
        <f t="shared" si="43"/>
        <v>0</v>
      </c>
      <c r="EH27" s="33">
        <v>1</v>
      </c>
      <c r="EI27" s="26" t="s">
        <v>57</v>
      </c>
      <c r="EJ27" s="33">
        <v>1500</v>
      </c>
      <c r="EK27" s="166">
        <f t="shared" si="45"/>
        <v>1500</v>
      </c>
      <c r="EL27" s="26">
        <v>1500</v>
      </c>
      <c r="EN27" s="167">
        <v>23</v>
      </c>
      <c r="EO27" s="26" t="s">
        <v>903</v>
      </c>
      <c r="EP27" s="33">
        <v>1</v>
      </c>
      <c r="EQ27" s="26" t="s">
        <v>57</v>
      </c>
      <c r="ER27" s="170">
        <v>3500</v>
      </c>
      <c r="ES27" s="166">
        <f t="shared" si="46"/>
        <v>3500</v>
      </c>
      <c r="ET27" s="33">
        <v>0</v>
      </c>
      <c r="EU27" s="26" t="s">
        <v>57</v>
      </c>
      <c r="EV27" s="33">
        <v>0</v>
      </c>
      <c r="EW27" s="166">
        <f t="shared" si="48"/>
        <v>0</v>
      </c>
      <c r="EX27" s="33">
        <v>1</v>
      </c>
      <c r="EY27" s="26" t="s">
        <v>57</v>
      </c>
      <c r="EZ27" s="33">
        <v>3500</v>
      </c>
      <c r="FA27" s="166">
        <f t="shared" si="50"/>
        <v>3500</v>
      </c>
      <c r="FB27" s="26">
        <v>3500</v>
      </c>
    </row>
    <row r="28" spans="1:158" ht="15.75" customHeight="1" x14ac:dyDescent="0.3">
      <c r="A28" s="26">
        <v>24</v>
      </c>
      <c r="B28" s="26" t="s">
        <v>901</v>
      </c>
      <c r="C28" s="30">
        <v>7</v>
      </c>
      <c r="D28" s="30" t="s">
        <v>57</v>
      </c>
      <c r="E28" s="30">
        <v>1000</v>
      </c>
      <c r="F28" s="159">
        <f t="shared" si="0"/>
        <v>7000</v>
      </c>
      <c r="G28" s="30">
        <v>9</v>
      </c>
      <c r="H28" s="30" t="s">
        <v>57</v>
      </c>
      <c r="I28" s="30">
        <v>900</v>
      </c>
      <c r="J28" s="34">
        <f t="shared" si="2"/>
        <v>8100</v>
      </c>
      <c r="K28" s="30">
        <v>5</v>
      </c>
      <c r="L28" s="30" t="s">
        <v>57</v>
      </c>
      <c r="M28" s="30">
        <v>900</v>
      </c>
      <c r="N28" s="159">
        <f t="shared" si="4"/>
        <v>4500</v>
      </c>
      <c r="O28" s="30">
        <v>900</v>
      </c>
      <c r="Q28" s="26">
        <v>24</v>
      </c>
      <c r="R28" s="26" t="s">
        <v>904</v>
      </c>
      <c r="S28" s="26">
        <v>2</v>
      </c>
      <c r="T28" s="26" t="s">
        <v>57</v>
      </c>
      <c r="U28" s="26">
        <v>7000</v>
      </c>
      <c r="V28" s="166">
        <f t="shared" si="5"/>
        <v>14000</v>
      </c>
      <c r="W28" s="26">
        <v>2</v>
      </c>
      <c r="X28" s="26" t="s">
        <v>57</v>
      </c>
      <c r="Y28" s="26">
        <v>7000</v>
      </c>
      <c r="Z28" s="33">
        <f t="shared" si="7"/>
        <v>14000</v>
      </c>
      <c r="AA28" s="26">
        <v>1</v>
      </c>
      <c r="AB28" s="26" t="s">
        <v>57</v>
      </c>
      <c r="AC28" s="26">
        <v>7000</v>
      </c>
      <c r="AD28" s="166">
        <f t="shared" si="9"/>
        <v>7000</v>
      </c>
      <c r="AE28" s="26">
        <v>7000</v>
      </c>
      <c r="AG28" s="167">
        <v>24</v>
      </c>
      <c r="AH28" s="26" t="s">
        <v>901</v>
      </c>
      <c r="AI28" s="26">
        <v>7</v>
      </c>
      <c r="AJ28" s="26" t="s">
        <v>57</v>
      </c>
      <c r="AK28" s="26">
        <v>1000</v>
      </c>
      <c r="AL28" s="166">
        <f t="shared" si="10"/>
        <v>7000</v>
      </c>
      <c r="AM28" s="26">
        <v>9</v>
      </c>
      <c r="AN28" s="26" t="s">
        <v>57</v>
      </c>
      <c r="AO28" s="26">
        <v>900</v>
      </c>
      <c r="AP28" s="33">
        <f t="shared" si="12"/>
        <v>8100</v>
      </c>
      <c r="AQ28" s="26">
        <v>5</v>
      </c>
      <c r="AR28" s="26" t="s">
        <v>57</v>
      </c>
      <c r="AS28" s="26">
        <v>900</v>
      </c>
      <c r="AT28" s="166">
        <f t="shared" si="14"/>
        <v>4500</v>
      </c>
      <c r="AU28" s="26">
        <v>900</v>
      </c>
      <c r="AW28" s="167">
        <v>24</v>
      </c>
      <c r="AX28" s="26" t="s">
        <v>901</v>
      </c>
      <c r="AY28" s="26">
        <v>7</v>
      </c>
      <c r="AZ28" s="26" t="s">
        <v>57</v>
      </c>
      <c r="BA28" s="26">
        <v>1000</v>
      </c>
      <c r="BB28" s="166">
        <f t="shared" si="15"/>
        <v>7000</v>
      </c>
      <c r="BC28" s="26">
        <v>9</v>
      </c>
      <c r="BD28" s="26" t="s">
        <v>57</v>
      </c>
      <c r="BE28" s="26">
        <v>900</v>
      </c>
      <c r="BF28" s="33">
        <f t="shared" si="17"/>
        <v>8100</v>
      </c>
      <c r="BG28" s="26">
        <v>5</v>
      </c>
      <c r="BH28" s="26" t="s">
        <v>57</v>
      </c>
      <c r="BI28" s="26">
        <v>900</v>
      </c>
      <c r="BJ28" s="166">
        <f t="shared" si="19"/>
        <v>4500</v>
      </c>
      <c r="BK28" s="26">
        <v>900</v>
      </c>
      <c r="BM28" s="167">
        <v>24</v>
      </c>
      <c r="BN28" s="26" t="s">
        <v>901</v>
      </c>
      <c r="BO28" s="26">
        <v>7</v>
      </c>
      <c r="BP28" s="26" t="s">
        <v>57</v>
      </c>
      <c r="BQ28" s="26">
        <v>1000</v>
      </c>
      <c r="BR28" s="166">
        <f t="shared" si="20"/>
        <v>7000</v>
      </c>
      <c r="BS28" s="26">
        <v>9</v>
      </c>
      <c r="BT28" s="26" t="s">
        <v>57</v>
      </c>
      <c r="BU28" s="26">
        <v>900</v>
      </c>
      <c r="BV28" s="33">
        <f t="shared" si="22"/>
        <v>8100</v>
      </c>
      <c r="BW28" s="26">
        <v>5</v>
      </c>
      <c r="BX28" s="26" t="s">
        <v>57</v>
      </c>
      <c r="BY28" s="26">
        <v>900</v>
      </c>
      <c r="BZ28" s="166">
        <f t="shared" si="24"/>
        <v>4500</v>
      </c>
      <c r="CA28" s="26">
        <v>900</v>
      </c>
      <c r="CC28" s="167">
        <v>24</v>
      </c>
      <c r="CD28" s="26" t="s">
        <v>901</v>
      </c>
      <c r="CE28" s="26">
        <v>7</v>
      </c>
      <c r="CF28" s="26" t="s">
        <v>57</v>
      </c>
      <c r="CG28" s="26">
        <v>1000</v>
      </c>
      <c r="CH28" s="166">
        <f t="shared" si="25"/>
        <v>7000</v>
      </c>
      <c r="CI28" s="26">
        <v>9</v>
      </c>
      <c r="CJ28" s="26" t="s">
        <v>57</v>
      </c>
      <c r="CK28" s="26">
        <v>900</v>
      </c>
      <c r="CL28" s="33">
        <f t="shared" si="27"/>
        <v>8100</v>
      </c>
      <c r="CM28" s="26">
        <v>5</v>
      </c>
      <c r="CN28" s="26" t="s">
        <v>57</v>
      </c>
      <c r="CO28" s="26">
        <v>900</v>
      </c>
      <c r="CP28" s="166">
        <f t="shared" si="29"/>
        <v>4500</v>
      </c>
      <c r="CQ28" s="26">
        <v>900</v>
      </c>
      <c r="CS28" s="167">
        <v>24</v>
      </c>
      <c r="CT28" s="26" t="s">
        <v>901</v>
      </c>
      <c r="CU28" s="26">
        <v>7</v>
      </c>
      <c r="CV28" s="26" t="s">
        <v>57</v>
      </c>
      <c r="CW28" s="26">
        <v>1000</v>
      </c>
      <c r="CX28" s="166">
        <f t="shared" si="30"/>
        <v>7000</v>
      </c>
      <c r="CY28" s="26">
        <v>9</v>
      </c>
      <c r="CZ28" s="26" t="s">
        <v>57</v>
      </c>
      <c r="DA28" s="26">
        <v>900</v>
      </c>
      <c r="DB28" s="33">
        <f t="shared" si="32"/>
        <v>8100</v>
      </c>
      <c r="DC28" s="26">
        <v>5</v>
      </c>
      <c r="DD28" s="26" t="s">
        <v>57</v>
      </c>
      <c r="DE28" s="26">
        <v>900</v>
      </c>
      <c r="DF28" s="166">
        <f t="shared" si="34"/>
        <v>4500</v>
      </c>
      <c r="DG28" s="26">
        <f t="shared" si="35"/>
        <v>0</v>
      </c>
      <c r="DH28" s="167">
        <v>24</v>
      </c>
      <c r="DI28" s="26" t="s">
        <v>905</v>
      </c>
      <c r="DJ28" s="26">
        <v>7</v>
      </c>
      <c r="DK28" s="26" t="s">
        <v>57</v>
      </c>
      <c r="DL28" s="168">
        <v>1550</v>
      </c>
      <c r="DM28" s="166">
        <f t="shared" si="36"/>
        <v>10850</v>
      </c>
      <c r="DN28" s="26">
        <v>9</v>
      </c>
      <c r="DO28" s="26" t="s">
        <v>57</v>
      </c>
      <c r="DP28" s="26">
        <v>1500</v>
      </c>
      <c r="DQ28" s="33">
        <f t="shared" si="38"/>
        <v>13500</v>
      </c>
      <c r="DR28" s="26">
        <v>5</v>
      </c>
      <c r="DS28" s="26" t="s">
        <v>57</v>
      </c>
      <c r="DT28" s="26">
        <v>1500</v>
      </c>
      <c r="DU28" s="166">
        <f t="shared" si="40"/>
        <v>7500</v>
      </c>
      <c r="DV28" s="26">
        <v>1500</v>
      </c>
      <c r="DX28" s="167">
        <v>24</v>
      </c>
      <c r="DY28" s="26" t="s">
        <v>905</v>
      </c>
      <c r="DZ28" s="26">
        <v>7</v>
      </c>
      <c r="EA28" s="26" t="s">
        <v>57</v>
      </c>
      <c r="EB28" s="168">
        <v>1550</v>
      </c>
      <c r="EC28" s="166">
        <f t="shared" si="41"/>
        <v>10850</v>
      </c>
      <c r="ED28" s="26">
        <v>9</v>
      </c>
      <c r="EE28" s="26" t="s">
        <v>57</v>
      </c>
      <c r="EF28" s="26">
        <v>1500</v>
      </c>
      <c r="EG28" s="33">
        <f t="shared" si="43"/>
        <v>13500</v>
      </c>
      <c r="EH28" s="26">
        <v>5</v>
      </c>
      <c r="EI28" s="26" t="s">
        <v>57</v>
      </c>
      <c r="EJ28" s="26">
        <v>1500</v>
      </c>
      <c r="EK28" s="166">
        <f t="shared" si="45"/>
        <v>7500</v>
      </c>
      <c r="EL28" s="26">
        <v>1500</v>
      </c>
      <c r="EN28" s="167">
        <v>24</v>
      </c>
      <c r="EO28" s="26" t="s">
        <v>906</v>
      </c>
      <c r="EP28" s="26">
        <v>7</v>
      </c>
      <c r="EQ28" s="26" t="s">
        <v>57</v>
      </c>
      <c r="ER28" s="169">
        <v>2000</v>
      </c>
      <c r="ES28" s="166">
        <f t="shared" si="46"/>
        <v>14000</v>
      </c>
      <c r="ET28" s="26">
        <v>9</v>
      </c>
      <c r="EU28" s="26" t="s">
        <v>57</v>
      </c>
      <c r="EV28" s="26">
        <v>2000</v>
      </c>
      <c r="EW28" s="33">
        <f t="shared" si="48"/>
        <v>18000</v>
      </c>
      <c r="EX28" s="26">
        <v>5</v>
      </c>
      <c r="EY28" s="26" t="s">
        <v>57</v>
      </c>
      <c r="EZ28" s="26">
        <v>2000</v>
      </c>
      <c r="FA28" s="166">
        <f t="shared" si="50"/>
        <v>10000</v>
      </c>
      <c r="FB28" s="26">
        <v>2000</v>
      </c>
    </row>
    <row r="29" spans="1:158" ht="15.75" customHeight="1" x14ac:dyDescent="0.3">
      <c r="A29" s="26">
        <v>25</v>
      </c>
      <c r="B29" s="26" t="s">
        <v>904</v>
      </c>
      <c r="C29" s="30">
        <v>2</v>
      </c>
      <c r="D29" s="30" t="s">
        <v>57</v>
      </c>
      <c r="E29" s="30">
        <v>7000</v>
      </c>
      <c r="F29" s="159">
        <f t="shared" si="0"/>
        <v>14000</v>
      </c>
      <c r="G29" s="30">
        <v>2</v>
      </c>
      <c r="H29" s="30" t="s">
        <v>57</v>
      </c>
      <c r="I29" s="30">
        <v>7000</v>
      </c>
      <c r="J29" s="34">
        <f t="shared" si="2"/>
        <v>14000</v>
      </c>
      <c r="K29" s="30">
        <v>1</v>
      </c>
      <c r="L29" s="30" t="s">
        <v>57</v>
      </c>
      <c r="M29" s="30">
        <v>7000</v>
      </c>
      <c r="N29" s="159">
        <f t="shared" si="4"/>
        <v>7000</v>
      </c>
      <c r="O29" s="30">
        <v>7000</v>
      </c>
      <c r="Q29" s="26">
        <v>25</v>
      </c>
      <c r="R29" s="26" t="s">
        <v>907</v>
      </c>
      <c r="S29" s="26">
        <v>2</v>
      </c>
      <c r="T29" s="26" t="s">
        <v>57</v>
      </c>
      <c r="U29" s="26">
        <v>3500</v>
      </c>
      <c r="V29" s="166">
        <f t="shared" si="5"/>
        <v>7000</v>
      </c>
      <c r="W29" s="26">
        <v>2</v>
      </c>
      <c r="X29" s="26" t="s">
        <v>57</v>
      </c>
      <c r="Y29" s="26">
        <v>3500</v>
      </c>
      <c r="Z29" s="33">
        <f t="shared" si="7"/>
        <v>7000</v>
      </c>
      <c r="AA29" s="26">
        <v>1</v>
      </c>
      <c r="AB29" s="26" t="s">
        <v>57</v>
      </c>
      <c r="AC29" s="26">
        <v>3500</v>
      </c>
      <c r="AD29" s="166">
        <f t="shared" si="9"/>
        <v>3500</v>
      </c>
      <c r="AE29" s="26">
        <v>3500</v>
      </c>
      <c r="AG29" s="167">
        <v>25</v>
      </c>
      <c r="AH29" s="26" t="s">
        <v>904</v>
      </c>
      <c r="AI29" s="26">
        <v>2</v>
      </c>
      <c r="AJ29" s="26" t="s">
        <v>57</v>
      </c>
      <c r="AK29" s="26">
        <v>7000</v>
      </c>
      <c r="AL29" s="166">
        <f t="shared" si="10"/>
        <v>14000</v>
      </c>
      <c r="AM29" s="26">
        <v>2</v>
      </c>
      <c r="AN29" s="26" t="s">
        <v>57</v>
      </c>
      <c r="AO29" s="26">
        <v>7000</v>
      </c>
      <c r="AP29" s="33">
        <f t="shared" si="12"/>
        <v>14000</v>
      </c>
      <c r="AQ29" s="26">
        <v>1</v>
      </c>
      <c r="AR29" s="26" t="s">
        <v>57</v>
      </c>
      <c r="AS29" s="26">
        <v>7000</v>
      </c>
      <c r="AT29" s="166">
        <f t="shared" si="14"/>
        <v>7000</v>
      </c>
      <c r="AU29" s="26">
        <v>7000</v>
      </c>
      <c r="AW29" s="167">
        <v>25</v>
      </c>
      <c r="AX29" s="26" t="s">
        <v>904</v>
      </c>
      <c r="AY29" s="26">
        <v>2</v>
      </c>
      <c r="AZ29" s="26" t="s">
        <v>57</v>
      </c>
      <c r="BA29" s="26">
        <v>7000</v>
      </c>
      <c r="BB29" s="166">
        <f t="shared" si="15"/>
        <v>14000</v>
      </c>
      <c r="BC29" s="26">
        <v>2</v>
      </c>
      <c r="BD29" s="26" t="s">
        <v>57</v>
      </c>
      <c r="BE29" s="26">
        <v>7000</v>
      </c>
      <c r="BF29" s="33">
        <f t="shared" si="17"/>
        <v>14000</v>
      </c>
      <c r="BG29" s="26">
        <v>1</v>
      </c>
      <c r="BH29" s="26" t="s">
        <v>57</v>
      </c>
      <c r="BI29" s="26">
        <v>7000</v>
      </c>
      <c r="BJ29" s="166">
        <f t="shared" si="19"/>
        <v>7000</v>
      </c>
      <c r="BK29" s="26">
        <v>7000</v>
      </c>
      <c r="BM29" s="167">
        <v>25</v>
      </c>
      <c r="BN29" s="26" t="s">
        <v>904</v>
      </c>
      <c r="BO29" s="26">
        <v>2</v>
      </c>
      <c r="BP29" s="26" t="s">
        <v>57</v>
      </c>
      <c r="BQ29" s="26">
        <v>7000</v>
      </c>
      <c r="BR29" s="166">
        <f t="shared" si="20"/>
        <v>14000</v>
      </c>
      <c r="BS29" s="26">
        <v>2</v>
      </c>
      <c r="BT29" s="26" t="s">
        <v>57</v>
      </c>
      <c r="BU29" s="26">
        <v>7000</v>
      </c>
      <c r="BV29" s="33">
        <f t="shared" si="22"/>
        <v>14000</v>
      </c>
      <c r="BW29" s="26">
        <v>1</v>
      </c>
      <c r="BX29" s="26" t="s">
        <v>57</v>
      </c>
      <c r="BY29" s="26">
        <v>7000</v>
      </c>
      <c r="BZ29" s="166">
        <f t="shared" si="24"/>
        <v>7000</v>
      </c>
      <c r="CA29" s="26">
        <v>7000</v>
      </c>
      <c r="CC29" s="167">
        <v>25</v>
      </c>
      <c r="CD29" s="26" t="s">
        <v>904</v>
      </c>
      <c r="CE29" s="26">
        <v>2</v>
      </c>
      <c r="CF29" s="26" t="s">
        <v>57</v>
      </c>
      <c r="CG29" s="26">
        <v>7000</v>
      </c>
      <c r="CH29" s="166">
        <f t="shared" si="25"/>
        <v>14000</v>
      </c>
      <c r="CI29" s="26">
        <v>2</v>
      </c>
      <c r="CJ29" s="26" t="s">
        <v>57</v>
      </c>
      <c r="CK29" s="26">
        <v>7000</v>
      </c>
      <c r="CL29" s="33">
        <f t="shared" si="27"/>
        <v>14000</v>
      </c>
      <c r="CM29" s="26">
        <v>1</v>
      </c>
      <c r="CN29" s="26" t="s">
        <v>57</v>
      </c>
      <c r="CO29" s="26">
        <v>7000</v>
      </c>
      <c r="CP29" s="166">
        <f t="shared" si="29"/>
        <v>7000</v>
      </c>
      <c r="CQ29" s="26">
        <v>7000</v>
      </c>
      <c r="CS29" s="167">
        <v>25</v>
      </c>
      <c r="CT29" s="26" t="s">
        <v>904</v>
      </c>
      <c r="CU29" s="26">
        <v>2</v>
      </c>
      <c r="CV29" s="26" t="s">
        <v>57</v>
      </c>
      <c r="CW29" s="26">
        <v>7000</v>
      </c>
      <c r="CX29" s="166">
        <f t="shared" si="30"/>
        <v>14000</v>
      </c>
      <c r="CY29" s="26">
        <v>2</v>
      </c>
      <c r="CZ29" s="26" t="s">
        <v>57</v>
      </c>
      <c r="DA29" s="26">
        <v>7000</v>
      </c>
      <c r="DB29" s="33">
        <f t="shared" si="32"/>
        <v>14000</v>
      </c>
      <c r="DC29" s="26">
        <v>1</v>
      </c>
      <c r="DD29" s="26" t="s">
        <v>57</v>
      </c>
      <c r="DE29" s="26">
        <v>7000</v>
      </c>
      <c r="DF29" s="166">
        <f t="shared" si="34"/>
        <v>7000</v>
      </c>
      <c r="DG29" s="26">
        <f t="shared" si="35"/>
        <v>0</v>
      </c>
      <c r="DH29" s="167">
        <v>25</v>
      </c>
      <c r="DI29" s="26" t="s">
        <v>908</v>
      </c>
      <c r="DJ29" s="26">
        <v>2</v>
      </c>
      <c r="DK29" s="26" t="s">
        <v>57</v>
      </c>
      <c r="DL29" s="168">
        <v>9000</v>
      </c>
      <c r="DM29" s="166">
        <f t="shared" si="36"/>
        <v>18000</v>
      </c>
      <c r="DN29" s="26">
        <v>2</v>
      </c>
      <c r="DO29" s="26" t="s">
        <v>57</v>
      </c>
      <c r="DP29" s="26">
        <v>9000</v>
      </c>
      <c r="DQ29" s="33">
        <f t="shared" si="38"/>
        <v>18000</v>
      </c>
      <c r="DR29" s="26">
        <v>1</v>
      </c>
      <c r="DS29" s="26" t="s">
        <v>57</v>
      </c>
      <c r="DT29" s="26">
        <v>9000</v>
      </c>
      <c r="DU29" s="166">
        <f t="shared" si="40"/>
        <v>9000</v>
      </c>
      <c r="DV29" s="26">
        <v>9000</v>
      </c>
      <c r="DX29" s="167">
        <v>25</v>
      </c>
      <c r="DY29" s="26" t="s">
        <v>908</v>
      </c>
      <c r="DZ29" s="26">
        <v>2</v>
      </c>
      <c r="EA29" s="26" t="s">
        <v>57</v>
      </c>
      <c r="EB29" s="168">
        <v>9000</v>
      </c>
      <c r="EC29" s="166">
        <f t="shared" si="41"/>
        <v>18000</v>
      </c>
      <c r="ED29" s="26">
        <v>2</v>
      </c>
      <c r="EE29" s="26" t="s">
        <v>57</v>
      </c>
      <c r="EF29" s="26">
        <v>9000</v>
      </c>
      <c r="EG29" s="33">
        <f t="shared" si="43"/>
        <v>18000</v>
      </c>
      <c r="EH29" s="26">
        <v>1</v>
      </c>
      <c r="EI29" s="26" t="s">
        <v>57</v>
      </c>
      <c r="EJ29" s="26">
        <v>9000</v>
      </c>
      <c r="EK29" s="166">
        <f t="shared" si="45"/>
        <v>9000</v>
      </c>
      <c r="EL29" s="26">
        <v>9000</v>
      </c>
      <c r="EN29" s="167">
        <v>25</v>
      </c>
      <c r="EO29" s="26" t="s">
        <v>908</v>
      </c>
      <c r="EP29" s="26">
        <v>2</v>
      </c>
      <c r="EQ29" s="26" t="s">
        <v>57</v>
      </c>
      <c r="ER29" s="168">
        <v>9000</v>
      </c>
      <c r="ES29" s="166">
        <f t="shared" si="46"/>
        <v>18000</v>
      </c>
      <c r="ET29" s="26">
        <v>2</v>
      </c>
      <c r="EU29" s="26" t="s">
        <v>57</v>
      </c>
      <c r="EV29" s="26">
        <v>9000</v>
      </c>
      <c r="EW29" s="33">
        <f t="shared" si="48"/>
        <v>18000</v>
      </c>
      <c r="EX29" s="26">
        <v>1</v>
      </c>
      <c r="EY29" s="26" t="s">
        <v>57</v>
      </c>
      <c r="EZ29" s="26">
        <v>9000</v>
      </c>
      <c r="FA29" s="166">
        <f t="shared" si="50"/>
        <v>9000</v>
      </c>
      <c r="FB29" s="26">
        <v>9000</v>
      </c>
    </row>
    <row r="30" spans="1:158" ht="15.75" customHeight="1" x14ac:dyDescent="0.3">
      <c r="A30" s="26">
        <v>26</v>
      </c>
      <c r="B30" s="26" t="s">
        <v>907</v>
      </c>
      <c r="C30" s="30">
        <v>2</v>
      </c>
      <c r="D30" s="30" t="s">
        <v>57</v>
      </c>
      <c r="E30" s="30">
        <v>3500</v>
      </c>
      <c r="F30" s="159">
        <f t="shared" si="0"/>
        <v>7000</v>
      </c>
      <c r="G30" s="30">
        <v>2</v>
      </c>
      <c r="H30" s="30" t="s">
        <v>57</v>
      </c>
      <c r="I30" s="30">
        <v>3500</v>
      </c>
      <c r="J30" s="34">
        <f t="shared" si="2"/>
        <v>7000</v>
      </c>
      <c r="K30" s="30">
        <v>1</v>
      </c>
      <c r="L30" s="30" t="s">
        <v>57</v>
      </c>
      <c r="M30" s="30">
        <v>3500</v>
      </c>
      <c r="N30" s="159">
        <f t="shared" si="4"/>
        <v>3500</v>
      </c>
      <c r="O30" s="30">
        <v>3500</v>
      </c>
      <c r="Q30" s="26">
        <v>26</v>
      </c>
      <c r="R30" s="26" t="s">
        <v>909</v>
      </c>
      <c r="S30" s="26">
        <v>1</v>
      </c>
      <c r="T30" s="26" t="s">
        <v>57</v>
      </c>
      <c r="U30" s="168">
        <v>2050</v>
      </c>
      <c r="V30" s="166">
        <f t="shared" si="5"/>
        <v>2050</v>
      </c>
      <c r="W30" s="26">
        <v>2</v>
      </c>
      <c r="X30" s="26" t="s">
        <v>57</v>
      </c>
      <c r="Y30" s="26">
        <v>1925</v>
      </c>
      <c r="Z30" s="33">
        <f t="shared" si="7"/>
        <v>3850</v>
      </c>
      <c r="AA30" s="26">
        <v>1</v>
      </c>
      <c r="AB30" s="26" t="s">
        <v>57</v>
      </c>
      <c r="AC30" s="26">
        <v>1925</v>
      </c>
      <c r="AD30" s="166">
        <f t="shared" si="9"/>
        <v>1925</v>
      </c>
      <c r="AE30" s="26">
        <v>1925</v>
      </c>
      <c r="AG30" s="167">
        <v>26</v>
      </c>
      <c r="AH30" s="26" t="s">
        <v>907</v>
      </c>
      <c r="AI30" s="26">
        <v>2</v>
      </c>
      <c r="AJ30" s="26" t="s">
        <v>57</v>
      </c>
      <c r="AK30" s="26">
        <v>3500</v>
      </c>
      <c r="AL30" s="166">
        <f t="shared" si="10"/>
        <v>7000</v>
      </c>
      <c r="AM30" s="26">
        <v>2</v>
      </c>
      <c r="AN30" s="26" t="s">
        <v>57</v>
      </c>
      <c r="AO30" s="26">
        <v>3500</v>
      </c>
      <c r="AP30" s="33">
        <f t="shared" si="12"/>
        <v>7000</v>
      </c>
      <c r="AQ30" s="26">
        <v>1</v>
      </c>
      <c r="AR30" s="26" t="s">
        <v>57</v>
      </c>
      <c r="AS30" s="26">
        <v>3500</v>
      </c>
      <c r="AT30" s="166">
        <f t="shared" si="14"/>
        <v>3500</v>
      </c>
      <c r="AU30" s="26">
        <v>3500</v>
      </c>
      <c r="AW30" s="167">
        <v>26</v>
      </c>
      <c r="AX30" s="26" t="s">
        <v>907</v>
      </c>
      <c r="AY30" s="26">
        <v>2</v>
      </c>
      <c r="AZ30" s="26" t="s">
        <v>57</v>
      </c>
      <c r="BA30" s="26">
        <v>3500</v>
      </c>
      <c r="BB30" s="166">
        <f t="shared" si="15"/>
        <v>7000</v>
      </c>
      <c r="BC30" s="26">
        <v>2</v>
      </c>
      <c r="BD30" s="26" t="s">
        <v>57</v>
      </c>
      <c r="BE30" s="26">
        <v>3500</v>
      </c>
      <c r="BF30" s="33">
        <f t="shared" si="17"/>
        <v>7000</v>
      </c>
      <c r="BG30" s="26">
        <v>1</v>
      </c>
      <c r="BH30" s="26" t="s">
        <v>57</v>
      </c>
      <c r="BI30" s="26">
        <v>3500</v>
      </c>
      <c r="BJ30" s="166">
        <f t="shared" si="19"/>
        <v>3500</v>
      </c>
      <c r="BK30" s="26">
        <v>3500</v>
      </c>
      <c r="BM30" s="167">
        <v>26</v>
      </c>
      <c r="BN30" s="26" t="s">
        <v>907</v>
      </c>
      <c r="BO30" s="26">
        <v>2</v>
      </c>
      <c r="BP30" s="26" t="s">
        <v>57</v>
      </c>
      <c r="BQ30" s="26">
        <v>3500</v>
      </c>
      <c r="BR30" s="166">
        <f t="shared" si="20"/>
        <v>7000</v>
      </c>
      <c r="BS30" s="26">
        <v>2</v>
      </c>
      <c r="BT30" s="26" t="s">
        <v>57</v>
      </c>
      <c r="BU30" s="26">
        <v>3500</v>
      </c>
      <c r="BV30" s="33">
        <f t="shared" si="22"/>
        <v>7000</v>
      </c>
      <c r="BW30" s="26">
        <v>1</v>
      </c>
      <c r="BX30" s="26" t="s">
        <v>57</v>
      </c>
      <c r="BY30" s="26">
        <v>3500</v>
      </c>
      <c r="BZ30" s="166">
        <f t="shared" si="24"/>
        <v>3500</v>
      </c>
      <c r="CA30" s="26">
        <v>3500</v>
      </c>
      <c r="CC30" s="167">
        <v>26</v>
      </c>
      <c r="CD30" s="26" t="s">
        <v>907</v>
      </c>
      <c r="CE30" s="26">
        <v>2</v>
      </c>
      <c r="CF30" s="26" t="s">
        <v>57</v>
      </c>
      <c r="CG30" s="26">
        <v>3500</v>
      </c>
      <c r="CH30" s="166">
        <f t="shared" si="25"/>
        <v>7000</v>
      </c>
      <c r="CI30" s="26">
        <v>2</v>
      </c>
      <c r="CJ30" s="26" t="s">
        <v>57</v>
      </c>
      <c r="CK30" s="26">
        <v>3500</v>
      </c>
      <c r="CL30" s="33">
        <f t="shared" si="27"/>
        <v>7000</v>
      </c>
      <c r="CM30" s="26">
        <v>1</v>
      </c>
      <c r="CN30" s="26" t="s">
        <v>57</v>
      </c>
      <c r="CO30" s="26">
        <v>3500</v>
      </c>
      <c r="CP30" s="166">
        <f t="shared" si="29"/>
        <v>3500</v>
      </c>
      <c r="CQ30" s="26">
        <v>3500</v>
      </c>
      <c r="CS30" s="167">
        <v>26</v>
      </c>
      <c r="CT30" s="26" t="s">
        <v>907</v>
      </c>
      <c r="CU30" s="26">
        <v>2</v>
      </c>
      <c r="CV30" s="26" t="s">
        <v>57</v>
      </c>
      <c r="CW30" s="26">
        <v>3500</v>
      </c>
      <c r="CX30" s="166">
        <f t="shared" si="30"/>
        <v>7000</v>
      </c>
      <c r="CY30" s="26">
        <v>2</v>
      </c>
      <c r="CZ30" s="26" t="s">
        <v>57</v>
      </c>
      <c r="DA30" s="26">
        <v>3500</v>
      </c>
      <c r="DB30" s="33">
        <f t="shared" si="32"/>
        <v>7000</v>
      </c>
      <c r="DC30" s="26">
        <v>1</v>
      </c>
      <c r="DD30" s="26" t="s">
        <v>57</v>
      </c>
      <c r="DE30" s="26">
        <v>3500</v>
      </c>
      <c r="DF30" s="166">
        <f t="shared" si="34"/>
        <v>3500</v>
      </c>
      <c r="DG30" s="26">
        <f t="shared" si="35"/>
        <v>0</v>
      </c>
      <c r="DH30" s="167">
        <v>26</v>
      </c>
      <c r="DI30" s="26" t="s">
        <v>910</v>
      </c>
      <c r="DJ30" s="26">
        <v>2</v>
      </c>
      <c r="DK30" s="26" t="s">
        <v>57</v>
      </c>
      <c r="DL30" s="168">
        <v>4500</v>
      </c>
      <c r="DM30" s="166">
        <f t="shared" si="36"/>
        <v>9000</v>
      </c>
      <c r="DN30" s="26">
        <v>2</v>
      </c>
      <c r="DO30" s="26" t="s">
        <v>57</v>
      </c>
      <c r="DP30" s="26">
        <v>4500</v>
      </c>
      <c r="DQ30" s="33">
        <f t="shared" si="38"/>
        <v>9000</v>
      </c>
      <c r="DR30" s="26">
        <v>1</v>
      </c>
      <c r="DS30" s="26" t="s">
        <v>57</v>
      </c>
      <c r="DT30" s="26">
        <v>4500</v>
      </c>
      <c r="DU30" s="166">
        <f t="shared" si="40"/>
        <v>4500</v>
      </c>
      <c r="DV30" s="26">
        <v>4500</v>
      </c>
      <c r="DX30" s="167">
        <v>26</v>
      </c>
      <c r="DY30" s="26" t="s">
        <v>910</v>
      </c>
      <c r="DZ30" s="26">
        <v>2</v>
      </c>
      <c r="EA30" s="26" t="s">
        <v>57</v>
      </c>
      <c r="EB30" s="168">
        <v>4500</v>
      </c>
      <c r="EC30" s="166">
        <f t="shared" si="41"/>
        <v>9000</v>
      </c>
      <c r="ED30" s="26">
        <v>2</v>
      </c>
      <c r="EE30" s="26" t="s">
        <v>57</v>
      </c>
      <c r="EF30" s="26">
        <v>4500</v>
      </c>
      <c r="EG30" s="33">
        <f t="shared" si="43"/>
        <v>9000</v>
      </c>
      <c r="EH30" s="26">
        <v>1</v>
      </c>
      <c r="EI30" s="26" t="s">
        <v>57</v>
      </c>
      <c r="EJ30" s="26">
        <v>4500</v>
      </c>
      <c r="EK30" s="166">
        <f t="shared" si="45"/>
        <v>4500</v>
      </c>
      <c r="EL30" s="26">
        <v>4500</v>
      </c>
      <c r="EN30" s="167">
        <v>26</v>
      </c>
      <c r="EO30" s="26" t="s">
        <v>911</v>
      </c>
      <c r="EP30" s="26">
        <v>2</v>
      </c>
      <c r="EQ30" s="26" t="s">
        <v>57</v>
      </c>
      <c r="ER30" s="169">
        <v>17000</v>
      </c>
      <c r="ES30" s="166">
        <f t="shared" si="46"/>
        <v>34000</v>
      </c>
      <c r="ET30" s="26">
        <v>2</v>
      </c>
      <c r="EU30" s="26" t="s">
        <v>57</v>
      </c>
      <c r="EV30" s="26">
        <v>17000</v>
      </c>
      <c r="EW30" s="33">
        <f t="shared" si="48"/>
        <v>34000</v>
      </c>
      <c r="EX30" s="26">
        <v>1</v>
      </c>
      <c r="EY30" s="26" t="s">
        <v>57</v>
      </c>
      <c r="EZ30" s="26">
        <v>17000</v>
      </c>
      <c r="FA30" s="166">
        <f t="shared" si="50"/>
        <v>17000</v>
      </c>
      <c r="FB30" s="26">
        <v>17000</v>
      </c>
    </row>
    <row r="31" spans="1:158" ht="15.75" customHeight="1" x14ac:dyDescent="0.3">
      <c r="A31" s="26">
        <v>27</v>
      </c>
      <c r="B31" s="26" t="s">
        <v>912</v>
      </c>
      <c r="C31" s="30">
        <v>1</v>
      </c>
      <c r="D31" s="30" t="s">
        <v>57</v>
      </c>
      <c r="E31" s="30">
        <v>1550</v>
      </c>
      <c r="F31" s="159">
        <f t="shared" si="0"/>
        <v>1550</v>
      </c>
      <c r="G31" s="30">
        <v>2</v>
      </c>
      <c r="H31" s="30" t="s">
        <v>57</v>
      </c>
      <c r="I31" s="30">
        <v>1425</v>
      </c>
      <c r="J31" s="34">
        <f t="shared" si="2"/>
        <v>2850</v>
      </c>
      <c r="K31" s="30">
        <v>1</v>
      </c>
      <c r="L31" s="30" t="s">
        <v>57</v>
      </c>
      <c r="M31" s="30">
        <v>1425</v>
      </c>
      <c r="N31" s="159">
        <f t="shared" si="4"/>
        <v>1425</v>
      </c>
      <c r="O31" s="30">
        <v>1425</v>
      </c>
      <c r="Q31" s="26">
        <v>27</v>
      </c>
      <c r="R31" s="26" t="s">
        <v>913</v>
      </c>
      <c r="S31" s="26">
        <v>1</v>
      </c>
      <c r="T31" s="26" t="s">
        <v>57</v>
      </c>
      <c r="U31" s="26">
        <v>1200</v>
      </c>
      <c r="V31" s="166">
        <f t="shared" si="5"/>
        <v>1200</v>
      </c>
      <c r="W31" s="26">
        <v>1</v>
      </c>
      <c r="X31" s="26" t="s">
        <v>57</v>
      </c>
      <c r="Y31" s="26">
        <v>1000</v>
      </c>
      <c r="Z31" s="33">
        <f t="shared" si="7"/>
        <v>1000</v>
      </c>
      <c r="AA31" s="26">
        <v>1</v>
      </c>
      <c r="AB31" s="26" t="s">
        <v>57</v>
      </c>
      <c r="AC31" s="26">
        <v>1000</v>
      </c>
      <c r="AD31" s="166">
        <f t="shared" si="9"/>
        <v>1000</v>
      </c>
      <c r="AE31" s="26">
        <v>1000</v>
      </c>
      <c r="AG31" s="167">
        <v>27</v>
      </c>
      <c r="AH31" s="26" t="s">
        <v>912</v>
      </c>
      <c r="AI31" s="26">
        <v>3</v>
      </c>
      <c r="AJ31" s="26" t="s">
        <v>57</v>
      </c>
      <c r="AK31" s="26">
        <v>1550</v>
      </c>
      <c r="AL31" s="166">
        <f t="shared" si="10"/>
        <v>4650</v>
      </c>
      <c r="AM31" s="26">
        <v>6</v>
      </c>
      <c r="AN31" s="26" t="s">
        <v>57</v>
      </c>
      <c r="AO31" s="26">
        <v>1425</v>
      </c>
      <c r="AP31" s="33">
        <f t="shared" si="12"/>
        <v>8550</v>
      </c>
      <c r="AQ31" s="26">
        <v>3</v>
      </c>
      <c r="AR31" s="26" t="s">
        <v>57</v>
      </c>
      <c r="AS31" s="26">
        <v>1425</v>
      </c>
      <c r="AT31" s="166">
        <f t="shared" si="14"/>
        <v>4275</v>
      </c>
      <c r="AU31" s="26">
        <v>1425</v>
      </c>
      <c r="AW31" s="167">
        <v>27</v>
      </c>
      <c r="AX31" s="26" t="s">
        <v>914</v>
      </c>
      <c r="AY31" s="26">
        <v>3</v>
      </c>
      <c r="AZ31" s="26" t="s">
        <v>57</v>
      </c>
      <c r="BA31" s="168">
        <v>1750</v>
      </c>
      <c r="BB31" s="166">
        <f t="shared" si="15"/>
        <v>5250</v>
      </c>
      <c r="BC31" s="26">
        <v>6</v>
      </c>
      <c r="BD31" s="26" t="s">
        <v>57</v>
      </c>
      <c r="BE31" s="26">
        <v>1625</v>
      </c>
      <c r="BF31" s="33">
        <f t="shared" si="17"/>
        <v>9750</v>
      </c>
      <c r="BG31" s="26">
        <v>3</v>
      </c>
      <c r="BH31" s="26" t="s">
        <v>57</v>
      </c>
      <c r="BI31" s="26">
        <v>1625</v>
      </c>
      <c r="BJ31" s="166">
        <f t="shared" si="19"/>
        <v>4875</v>
      </c>
      <c r="BK31" s="26">
        <v>1625</v>
      </c>
      <c r="BM31" s="167">
        <v>27</v>
      </c>
      <c r="BN31" s="26" t="s">
        <v>914</v>
      </c>
      <c r="BO31" s="26">
        <v>4</v>
      </c>
      <c r="BP31" s="26" t="s">
        <v>57</v>
      </c>
      <c r="BQ31" s="168">
        <v>1750</v>
      </c>
      <c r="BR31" s="166">
        <f t="shared" si="20"/>
        <v>7000</v>
      </c>
      <c r="BS31" s="26">
        <v>8</v>
      </c>
      <c r="BT31" s="26" t="s">
        <v>57</v>
      </c>
      <c r="BU31" s="26">
        <v>1625</v>
      </c>
      <c r="BV31" s="33">
        <f t="shared" si="22"/>
        <v>13000</v>
      </c>
      <c r="BW31" s="26">
        <v>4</v>
      </c>
      <c r="BX31" s="26" t="s">
        <v>57</v>
      </c>
      <c r="BY31" s="26">
        <v>1625</v>
      </c>
      <c r="BZ31" s="166">
        <f t="shared" si="24"/>
        <v>6500</v>
      </c>
      <c r="CA31" s="26">
        <v>1625</v>
      </c>
      <c r="CC31" s="167">
        <v>27</v>
      </c>
      <c r="CD31" s="26" t="s">
        <v>914</v>
      </c>
      <c r="CE31" s="26">
        <v>5</v>
      </c>
      <c r="CF31" s="26" t="s">
        <v>57</v>
      </c>
      <c r="CG31" s="168">
        <v>1750</v>
      </c>
      <c r="CH31" s="166">
        <f t="shared" si="25"/>
        <v>8750</v>
      </c>
      <c r="CI31" s="26">
        <v>10</v>
      </c>
      <c r="CJ31" s="26" t="s">
        <v>57</v>
      </c>
      <c r="CK31" s="26">
        <v>1625</v>
      </c>
      <c r="CL31" s="33">
        <f t="shared" si="27"/>
        <v>16250</v>
      </c>
      <c r="CM31" s="26">
        <v>5</v>
      </c>
      <c r="CN31" s="26" t="s">
        <v>57</v>
      </c>
      <c r="CO31" s="26">
        <v>1625</v>
      </c>
      <c r="CP31" s="166">
        <f t="shared" si="29"/>
        <v>8125</v>
      </c>
      <c r="CQ31" s="26">
        <v>1625</v>
      </c>
      <c r="CS31" s="167">
        <v>27</v>
      </c>
      <c r="CT31" s="26" t="s">
        <v>909</v>
      </c>
      <c r="CU31" s="26">
        <v>4</v>
      </c>
      <c r="CV31" s="26" t="s">
        <v>57</v>
      </c>
      <c r="CW31" s="168">
        <v>2050</v>
      </c>
      <c r="CX31" s="166">
        <f t="shared" si="30"/>
        <v>8200</v>
      </c>
      <c r="CY31" s="26">
        <v>8</v>
      </c>
      <c r="CZ31" s="26" t="s">
        <v>57</v>
      </c>
      <c r="DA31" s="26">
        <v>1925</v>
      </c>
      <c r="DB31" s="33">
        <f t="shared" si="32"/>
        <v>15400</v>
      </c>
      <c r="DC31" s="26">
        <v>4</v>
      </c>
      <c r="DD31" s="26" t="s">
        <v>57</v>
      </c>
      <c r="DE31" s="26">
        <v>1925</v>
      </c>
      <c r="DF31" s="166">
        <f t="shared" si="34"/>
        <v>7700</v>
      </c>
      <c r="DG31" s="26">
        <f t="shared" si="35"/>
        <v>-425</v>
      </c>
      <c r="DH31" s="167">
        <v>27</v>
      </c>
      <c r="DI31" s="26" t="s">
        <v>909</v>
      </c>
      <c r="DJ31" s="26">
        <v>5</v>
      </c>
      <c r="DK31" s="26" t="s">
        <v>57</v>
      </c>
      <c r="DL31" s="168">
        <v>2050</v>
      </c>
      <c r="DM31" s="166">
        <f t="shared" si="36"/>
        <v>10250</v>
      </c>
      <c r="DN31" s="26">
        <v>10</v>
      </c>
      <c r="DO31" s="26" t="s">
        <v>57</v>
      </c>
      <c r="DP31" s="26">
        <v>1925</v>
      </c>
      <c r="DQ31" s="33">
        <f t="shared" si="38"/>
        <v>19250</v>
      </c>
      <c r="DR31" s="26">
        <v>5</v>
      </c>
      <c r="DS31" s="26" t="s">
        <v>57</v>
      </c>
      <c r="DT31" s="26">
        <v>1925</v>
      </c>
      <c r="DU31" s="166">
        <f t="shared" si="40"/>
        <v>9625</v>
      </c>
      <c r="DV31" s="26">
        <v>1925</v>
      </c>
      <c r="DX31" s="167">
        <v>27</v>
      </c>
      <c r="DY31" s="26" t="s">
        <v>909</v>
      </c>
      <c r="DZ31" s="26">
        <v>6</v>
      </c>
      <c r="EA31" s="26" t="s">
        <v>57</v>
      </c>
      <c r="EB31" s="168">
        <v>2050</v>
      </c>
      <c r="EC31" s="166">
        <f t="shared" si="41"/>
        <v>12300</v>
      </c>
      <c r="ED31" s="26">
        <v>12</v>
      </c>
      <c r="EE31" s="26" t="s">
        <v>57</v>
      </c>
      <c r="EF31" s="26">
        <v>1925</v>
      </c>
      <c r="EG31" s="33">
        <f t="shared" si="43"/>
        <v>23100</v>
      </c>
      <c r="EH31" s="26">
        <v>6</v>
      </c>
      <c r="EI31" s="26" t="s">
        <v>57</v>
      </c>
      <c r="EJ31" s="26">
        <v>1925</v>
      </c>
      <c r="EK31" s="166">
        <f t="shared" si="45"/>
        <v>11550</v>
      </c>
      <c r="EL31" s="26">
        <v>1925</v>
      </c>
      <c r="EN31" s="167">
        <v>27</v>
      </c>
      <c r="EO31" s="26" t="s">
        <v>909</v>
      </c>
      <c r="EP31" s="26">
        <v>8</v>
      </c>
      <c r="EQ31" s="26" t="s">
        <v>57</v>
      </c>
      <c r="ER31" s="168">
        <v>2050</v>
      </c>
      <c r="ES31" s="166">
        <f t="shared" si="46"/>
        <v>16400</v>
      </c>
      <c r="ET31" s="26">
        <v>16</v>
      </c>
      <c r="EU31" s="26" t="s">
        <v>57</v>
      </c>
      <c r="EV31" s="26">
        <v>1925</v>
      </c>
      <c r="EW31" s="33">
        <f t="shared" si="48"/>
        <v>30800</v>
      </c>
      <c r="EX31" s="26">
        <v>8</v>
      </c>
      <c r="EY31" s="26" t="s">
        <v>57</v>
      </c>
      <c r="EZ31" s="26">
        <v>1925</v>
      </c>
      <c r="FA31" s="166">
        <f t="shared" si="50"/>
        <v>15400</v>
      </c>
      <c r="FB31" s="26">
        <v>1925</v>
      </c>
    </row>
    <row r="32" spans="1:158" ht="15.75" customHeight="1" x14ac:dyDescent="0.3">
      <c r="A32" s="26">
        <v>28</v>
      </c>
      <c r="B32" s="26" t="s">
        <v>913</v>
      </c>
      <c r="C32" s="30">
        <v>1</v>
      </c>
      <c r="D32" s="30" t="s">
        <v>57</v>
      </c>
      <c r="E32" s="30">
        <v>1200</v>
      </c>
      <c r="F32" s="159">
        <f t="shared" si="0"/>
        <v>1200</v>
      </c>
      <c r="G32" s="30">
        <v>1</v>
      </c>
      <c r="H32" s="30" t="s">
        <v>57</v>
      </c>
      <c r="I32" s="30">
        <v>1000</v>
      </c>
      <c r="J32" s="34">
        <f t="shared" si="2"/>
        <v>1000</v>
      </c>
      <c r="K32" s="30">
        <v>1</v>
      </c>
      <c r="L32" s="30" t="s">
        <v>57</v>
      </c>
      <c r="M32" s="30">
        <v>1000</v>
      </c>
      <c r="N32" s="159">
        <f t="shared" si="4"/>
        <v>1000</v>
      </c>
      <c r="O32" s="30">
        <v>1000</v>
      </c>
      <c r="Q32" s="26">
        <v>28</v>
      </c>
      <c r="R32" s="26" t="s">
        <v>915</v>
      </c>
      <c r="S32" s="26">
        <v>1</v>
      </c>
      <c r="T32" s="26" t="s">
        <v>57</v>
      </c>
      <c r="U32" s="26">
        <v>600</v>
      </c>
      <c r="V32" s="166">
        <f t="shared" si="5"/>
        <v>600</v>
      </c>
      <c r="W32" s="26">
        <v>2</v>
      </c>
      <c r="X32" s="26" t="s">
        <v>57</v>
      </c>
      <c r="Y32" s="26">
        <v>600</v>
      </c>
      <c r="Z32" s="33">
        <f t="shared" si="7"/>
        <v>1200</v>
      </c>
      <c r="AA32" s="26">
        <v>1</v>
      </c>
      <c r="AB32" s="26" t="s">
        <v>57</v>
      </c>
      <c r="AC32" s="26">
        <v>600</v>
      </c>
      <c r="AD32" s="166">
        <f t="shared" si="9"/>
        <v>600</v>
      </c>
      <c r="AE32" s="26">
        <v>600</v>
      </c>
      <c r="AG32" s="167">
        <v>28</v>
      </c>
      <c r="AH32" s="26" t="s">
        <v>913</v>
      </c>
      <c r="AI32" s="26">
        <v>1</v>
      </c>
      <c r="AJ32" s="26" t="s">
        <v>57</v>
      </c>
      <c r="AK32" s="26">
        <v>1200</v>
      </c>
      <c r="AL32" s="166">
        <f t="shared" si="10"/>
        <v>1200</v>
      </c>
      <c r="AM32" s="26">
        <v>1</v>
      </c>
      <c r="AN32" s="26" t="s">
        <v>57</v>
      </c>
      <c r="AO32" s="26">
        <v>1000</v>
      </c>
      <c r="AP32" s="33">
        <f t="shared" si="12"/>
        <v>1000</v>
      </c>
      <c r="AQ32" s="26">
        <v>1</v>
      </c>
      <c r="AR32" s="26" t="s">
        <v>57</v>
      </c>
      <c r="AS32" s="26">
        <v>1000</v>
      </c>
      <c r="AT32" s="166">
        <f t="shared" si="14"/>
        <v>1000</v>
      </c>
      <c r="AU32" s="26">
        <v>1000</v>
      </c>
      <c r="AW32" s="167">
        <v>28</v>
      </c>
      <c r="AX32" s="26" t="s">
        <v>913</v>
      </c>
      <c r="AY32" s="26">
        <v>1</v>
      </c>
      <c r="AZ32" s="26" t="s">
        <v>57</v>
      </c>
      <c r="BA32" s="26">
        <v>1200</v>
      </c>
      <c r="BB32" s="166">
        <f t="shared" si="15"/>
        <v>1200</v>
      </c>
      <c r="BC32" s="26">
        <v>1</v>
      </c>
      <c r="BD32" s="26" t="s">
        <v>57</v>
      </c>
      <c r="BE32" s="26">
        <v>1000</v>
      </c>
      <c r="BF32" s="33">
        <f t="shared" si="17"/>
        <v>1000</v>
      </c>
      <c r="BG32" s="26">
        <v>1</v>
      </c>
      <c r="BH32" s="26" t="s">
        <v>57</v>
      </c>
      <c r="BI32" s="26">
        <v>1000</v>
      </c>
      <c r="BJ32" s="166">
        <f t="shared" si="19"/>
        <v>1000</v>
      </c>
      <c r="BK32" s="26">
        <v>1000</v>
      </c>
      <c r="BM32" s="167">
        <v>28</v>
      </c>
      <c r="BN32" s="26" t="s">
        <v>913</v>
      </c>
      <c r="BO32" s="26">
        <v>1</v>
      </c>
      <c r="BP32" s="26" t="s">
        <v>57</v>
      </c>
      <c r="BQ32" s="26">
        <v>1200</v>
      </c>
      <c r="BR32" s="166">
        <f t="shared" si="20"/>
        <v>1200</v>
      </c>
      <c r="BS32" s="26">
        <v>1</v>
      </c>
      <c r="BT32" s="26" t="s">
        <v>57</v>
      </c>
      <c r="BU32" s="26">
        <v>1000</v>
      </c>
      <c r="BV32" s="33">
        <f t="shared" si="22"/>
        <v>1000</v>
      </c>
      <c r="BW32" s="26">
        <v>1</v>
      </c>
      <c r="BX32" s="26" t="s">
        <v>57</v>
      </c>
      <c r="BY32" s="26">
        <v>1000</v>
      </c>
      <c r="BZ32" s="166">
        <f t="shared" si="24"/>
        <v>1000</v>
      </c>
      <c r="CA32" s="26">
        <v>1000</v>
      </c>
      <c r="CC32" s="167">
        <v>28</v>
      </c>
      <c r="CD32" s="26" t="s">
        <v>913</v>
      </c>
      <c r="CE32" s="26">
        <v>1</v>
      </c>
      <c r="CF32" s="26" t="s">
        <v>57</v>
      </c>
      <c r="CG32" s="26">
        <v>1200</v>
      </c>
      <c r="CH32" s="166">
        <f t="shared" si="25"/>
        <v>1200</v>
      </c>
      <c r="CI32" s="26">
        <v>1</v>
      </c>
      <c r="CJ32" s="26" t="s">
        <v>57</v>
      </c>
      <c r="CK32" s="26">
        <v>1000</v>
      </c>
      <c r="CL32" s="33">
        <f t="shared" si="27"/>
        <v>1000</v>
      </c>
      <c r="CM32" s="26">
        <v>1</v>
      </c>
      <c r="CN32" s="26" t="s">
        <v>57</v>
      </c>
      <c r="CO32" s="26">
        <v>1000</v>
      </c>
      <c r="CP32" s="166">
        <f t="shared" si="29"/>
        <v>1000</v>
      </c>
      <c r="CQ32" s="26">
        <v>1000</v>
      </c>
      <c r="CS32" s="167">
        <v>28</v>
      </c>
      <c r="CT32" s="26" t="s">
        <v>913</v>
      </c>
      <c r="CU32" s="26">
        <v>1</v>
      </c>
      <c r="CV32" s="26" t="s">
        <v>57</v>
      </c>
      <c r="CW32" s="26">
        <v>1200</v>
      </c>
      <c r="CX32" s="166">
        <f t="shared" si="30"/>
        <v>1200</v>
      </c>
      <c r="CY32" s="26">
        <v>1</v>
      </c>
      <c r="CZ32" s="26" t="s">
        <v>57</v>
      </c>
      <c r="DA32" s="26">
        <v>1000</v>
      </c>
      <c r="DB32" s="33">
        <f t="shared" si="32"/>
        <v>1000</v>
      </c>
      <c r="DC32" s="26">
        <v>1</v>
      </c>
      <c r="DD32" s="26" t="s">
        <v>57</v>
      </c>
      <c r="DE32" s="26">
        <v>1000</v>
      </c>
      <c r="DF32" s="166">
        <f t="shared" si="34"/>
        <v>1000</v>
      </c>
      <c r="DG32" s="26">
        <f t="shared" si="35"/>
        <v>0</v>
      </c>
      <c r="DH32" s="167">
        <v>28</v>
      </c>
      <c r="DI32" s="26" t="s">
        <v>913</v>
      </c>
      <c r="DJ32" s="26">
        <v>1</v>
      </c>
      <c r="DK32" s="26" t="s">
        <v>57</v>
      </c>
      <c r="DL32" s="26">
        <v>1200</v>
      </c>
      <c r="DM32" s="166">
        <f t="shared" si="36"/>
        <v>1200</v>
      </c>
      <c r="DN32" s="26">
        <v>1</v>
      </c>
      <c r="DO32" s="26" t="s">
        <v>57</v>
      </c>
      <c r="DP32" s="26">
        <v>1000</v>
      </c>
      <c r="DQ32" s="33">
        <f t="shared" si="38"/>
        <v>1000</v>
      </c>
      <c r="DR32" s="26">
        <v>1</v>
      </c>
      <c r="DS32" s="26" t="s">
        <v>57</v>
      </c>
      <c r="DT32" s="26">
        <v>1000</v>
      </c>
      <c r="DU32" s="166">
        <f t="shared" si="40"/>
        <v>1000</v>
      </c>
      <c r="DV32" s="26">
        <v>1000</v>
      </c>
      <c r="DX32" s="167">
        <v>28</v>
      </c>
      <c r="DY32" s="26" t="s">
        <v>913</v>
      </c>
      <c r="DZ32" s="26">
        <v>1</v>
      </c>
      <c r="EA32" s="26" t="s">
        <v>57</v>
      </c>
      <c r="EB32" s="26">
        <v>1200</v>
      </c>
      <c r="EC32" s="166">
        <f t="shared" si="41"/>
        <v>1200</v>
      </c>
      <c r="ED32" s="26">
        <v>1</v>
      </c>
      <c r="EE32" s="26" t="s">
        <v>57</v>
      </c>
      <c r="EF32" s="26">
        <v>1000</v>
      </c>
      <c r="EG32" s="33">
        <f t="shared" si="43"/>
        <v>1000</v>
      </c>
      <c r="EH32" s="26">
        <v>1</v>
      </c>
      <c r="EI32" s="26" t="s">
        <v>57</v>
      </c>
      <c r="EJ32" s="26">
        <v>1000</v>
      </c>
      <c r="EK32" s="166">
        <f t="shared" si="45"/>
        <v>1000</v>
      </c>
      <c r="EL32" s="26">
        <v>1000</v>
      </c>
      <c r="EN32" s="167">
        <v>28</v>
      </c>
      <c r="EO32" s="26" t="s">
        <v>913</v>
      </c>
      <c r="EP32" s="26">
        <v>1</v>
      </c>
      <c r="EQ32" s="26" t="s">
        <v>57</v>
      </c>
      <c r="ER32" s="26">
        <v>1200</v>
      </c>
      <c r="ES32" s="166">
        <f t="shared" si="46"/>
        <v>1200</v>
      </c>
      <c r="ET32" s="26">
        <v>1</v>
      </c>
      <c r="EU32" s="26" t="s">
        <v>57</v>
      </c>
      <c r="EV32" s="26">
        <v>1000</v>
      </c>
      <c r="EW32" s="33">
        <f t="shared" si="48"/>
        <v>1000</v>
      </c>
      <c r="EX32" s="26">
        <v>1</v>
      </c>
      <c r="EY32" s="26" t="s">
        <v>57</v>
      </c>
      <c r="EZ32" s="26">
        <v>1000</v>
      </c>
      <c r="FA32" s="166">
        <f t="shared" si="50"/>
        <v>1000</v>
      </c>
      <c r="FB32" s="26">
        <v>1000</v>
      </c>
    </row>
    <row r="33" spans="1:158" ht="15.75" customHeight="1" x14ac:dyDescent="0.3">
      <c r="A33" s="26">
        <v>29</v>
      </c>
      <c r="B33" s="26" t="s">
        <v>915</v>
      </c>
      <c r="C33" s="30">
        <v>1</v>
      </c>
      <c r="D33" s="30" t="s">
        <v>57</v>
      </c>
      <c r="E33" s="30">
        <v>600</v>
      </c>
      <c r="F33" s="159">
        <f t="shared" si="0"/>
        <v>600</v>
      </c>
      <c r="G33" s="30">
        <v>2</v>
      </c>
      <c r="H33" s="30" t="s">
        <v>57</v>
      </c>
      <c r="I33" s="30">
        <v>600</v>
      </c>
      <c r="J33" s="34">
        <f t="shared" si="2"/>
        <v>1200</v>
      </c>
      <c r="K33" s="30">
        <v>1</v>
      </c>
      <c r="L33" s="30" t="s">
        <v>57</v>
      </c>
      <c r="M33" s="30">
        <v>600</v>
      </c>
      <c r="N33" s="159">
        <f t="shared" si="4"/>
        <v>600</v>
      </c>
      <c r="O33" s="30">
        <v>600</v>
      </c>
      <c r="Q33" s="26">
        <v>29</v>
      </c>
      <c r="R33" s="26" t="s">
        <v>916</v>
      </c>
      <c r="S33" s="26">
        <v>1</v>
      </c>
      <c r="T33" s="26" t="s">
        <v>57</v>
      </c>
      <c r="U33" s="26">
        <v>400</v>
      </c>
      <c r="V33" s="166">
        <f t="shared" si="5"/>
        <v>400</v>
      </c>
      <c r="W33" s="26">
        <v>2</v>
      </c>
      <c r="X33" s="26" t="s">
        <v>57</v>
      </c>
      <c r="Y33" s="26">
        <v>350</v>
      </c>
      <c r="Z33" s="33">
        <f t="shared" si="7"/>
        <v>700</v>
      </c>
      <c r="AA33" s="26">
        <v>1</v>
      </c>
      <c r="AB33" s="26" t="s">
        <v>57</v>
      </c>
      <c r="AC33" s="26">
        <v>350</v>
      </c>
      <c r="AD33" s="166">
        <f t="shared" si="9"/>
        <v>350</v>
      </c>
      <c r="AE33" s="26">
        <v>350</v>
      </c>
      <c r="AG33" s="167">
        <v>29</v>
      </c>
      <c r="AH33" s="26" t="s">
        <v>915</v>
      </c>
      <c r="AI33" s="26">
        <v>1</v>
      </c>
      <c r="AJ33" s="26" t="s">
        <v>57</v>
      </c>
      <c r="AK33" s="26">
        <v>600</v>
      </c>
      <c r="AL33" s="166">
        <f t="shared" si="10"/>
        <v>600</v>
      </c>
      <c r="AM33" s="26">
        <v>2</v>
      </c>
      <c r="AN33" s="26" t="s">
        <v>57</v>
      </c>
      <c r="AO33" s="26">
        <v>600</v>
      </c>
      <c r="AP33" s="33">
        <f t="shared" si="12"/>
        <v>1200</v>
      </c>
      <c r="AQ33" s="26">
        <v>1</v>
      </c>
      <c r="AR33" s="26" t="s">
        <v>57</v>
      </c>
      <c r="AS33" s="26">
        <v>600</v>
      </c>
      <c r="AT33" s="166">
        <f t="shared" si="14"/>
        <v>600</v>
      </c>
      <c r="AU33" s="26">
        <v>600</v>
      </c>
      <c r="AW33" s="167">
        <v>29</v>
      </c>
      <c r="AX33" s="26" t="s">
        <v>915</v>
      </c>
      <c r="AY33" s="26">
        <v>1</v>
      </c>
      <c r="AZ33" s="26" t="s">
        <v>57</v>
      </c>
      <c r="BA33" s="26">
        <v>600</v>
      </c>
      <c r="BB33" s="166">
        <f t="shared" si="15"/>
        <v>600</v>
      </c>
      <c r="BC33" s="26">
        <v>2</v>
      </c>
      <c r="BD33" s="26" t="s">
        <v>57</v>
      </c>
      <c r="BE33" s="26">
        <v>600</v>
      </c>
      <c r="BF33" s="33">
        <f t="shared" si="17"/>
        <v>1200</v>
      </c>
      <c r="BG33" s="26">
        <v>1</v>
      </c>
      <c r="BH33" s="26" t="s">
        <v>57</v>
      </c>
      <c r="BI33" s="26">
        <v>600</v>
      </c>
      <c r="BJ33" s="166">
        <f t="shared" si="19"/>
        <v>600</v>
      </c>
      <c r="BK33" s="26">
        <v>600</v>
      </c>
      <c r="BM33" s="167">
        <v>29</v>
      </c>
      <c r="BN33" s="26" t="s">
        <v>915</v>
      </c>
      <c r="BO33" s="26">
        <v>1</v>
      </c>
      <c r="BP33" s="26" t="s">
        <v>57</v>
      </c>
      <c r="BQ33" s="26">
        <v>600</v>
      </c>
      <c r="BR33" s="166">
        <f t="shared" si="20"/>
        <v>600</v>
      </c>
      <c r="BS33" s="26">
        <v>2</v>
      </c>
      <c r="BT33" s="26" t="s">
        <v>57</v>
      </c>
      <c r="BU33" s="26">
        <v>600</v>
      </c>
      <c r="BV33" s="33">
        <f t="shared" si="22"/>
        <v>1200</v>
      </c>
      <c r="BW33" s="26">
        <v>1</v>
      </c>
      <c r="BX33" s="26" t="s">
        <v>57</v>
      </c>
      <c r="BY33" s="26">
        <v>600</v>
      </c>
      <c r="BZ33" s="166">
        <f t="shared" si="24"/>
        <v>600</v>
      </c>
      <c r="CA33" s="26">
        <v>600</v>
      </c>
      <c r="CC33" s="167">
        <v>29</v>
      </c>
      <c r="CD33" s="26" t="s">
        <v>915</v>
      </c>
      <c r="CE33" s="26">
        <v>1</v>
      </c>
      <c r="CF33" s="26" t="s">
        <v>57</v>
      </c>
      <c r="CG33" s="26">
        <v>600</v>
      </c>
      <c r="CH33" s="166">
        <f t="shared" si="25"/>
        <v>600</v>
      </c>
      <c r="CI33" s="26">
        <v>2</v>
      </c>
      <c r="CJ33" s="26" t="s">
        <v>57</v>
      </c>
      <c r="CK33" s="26">
        <v>600</v>
      </c>
      <c r="CL33" s="33">
        <f t="shared" si="27"/>
        <v>1200</v>
      </c>
      <c r="CM33" s="26">
        <v>1</v>
      </c>
      <c r="CN33" s="26" t="s">
        <v>57</v>
      </c>
      <c r="CO33" s="26">
        <v>600</v>
      </c>
      <c r="CP33" s="166">
        <f t="shared" si="29"/>
        <v>600</v>
      </c>
      <c r="CQ33" s="26">
        <v>600</v>
      </c>
      <c r="CS33" s="167">
        <v>29</v>
      </c>
      <c r="CT33" s="26" t="s">
        <v>915</v>
      </c>
      <c r="CU33" s="26">
        <v>1</v>
      </c>
      <c r="CV33" s="26" t="s">
        <v>57</v>
      </c>
      <c r="CW33" s="26">
        <v>600</v>
      </c>
      <c r="CX33" s="166">
        <f t="shared" si="30"/>
        <v>600</v>
      </c>
      <c r="CY33" s="26">
        <v>2</v>
      </c>
      <c r="CZ33" s="26" t="s">
        <v>57</v>
      </c>
      <c r="DA33" s="26">
        <v>600</v>
      </c>
      <c r="DB33" s="33">
        <f t="shared" si="32"/>
        <v>1200</v>
      </c>
      <c r="DC33" s="26">
        <v>1</v>
      </c>
      <c r="DD33" s="26" t="s">
        <v>57</v>
      </c>
      <c r="DE33" s="26">
        <v>600</v>
      </c>
      <c r="DF33" s="166">
        <f t="shared" si="34"/>
        <v>600</v>
      </c>
      <c r="DG33" s="26">
        <f t="shared" si="35"/>
        <v>0</v>
      </c>
      <c r="DH33" s="167">
        <v>29</v>
      </c>
      <c r="DI33" s="26" t="s">
        <v>915</v>
      </c>
      <c r="DJ33" s="26">
        <v>1</v>
      </c>
      <c r="DK33" s="26" t="s">
        <v>57</v>
      </c>
      <c r="DL33" s="26">
        <v>600</v>
      </c>
      <c r="DM33" s="166">
        <f t="shared" si="36"/>
        <v>600</v>
      </c>
      <c r="DN33" s="26">
        <v>2</v>
      </c>
      <c r="DO33" s="26" t="s">
        <v>57</v>
      </c>
      <c r="DP33" s="26">
        <v>600</v>
      </c>
      <c r="DQ33" s="33">
        <f t="shared" si="38"/>
        <v>1200</v>
      </c>
      <c r="DR33" s="26">
        <v>1</v>
      </c>
      <c r="DS33" s="26" t="s">
        <v>57</v>
      </c>
      <c r="DT33" s="26">
        <v>600</v>
      </c>
      <c r="DU33" s="166">
        <f t="shared" si="40"/>
        <v>600</v>
      </c>
      <c r="DV33" s="26">
        <v>600</v>
      </c>
      <c r="DX33" s="167">
        <v>29</v>
      </c>
      <c r="DY33" s="26" t="s">
        <v>915</v>
      </c>
      <c r="DZ33" s="26">
        <v>1</v>
      </c>
      <c r="EA33" s="26" t="s">
        <v>57</v>
      </c>
      <c r="EB33" s="26">
        <v>600</v>
      </c>
      <c r="EC33" s="166">
        <f t="shared" si="41"/>
        <v>600</v>
      </c>
      <c r="ED33" s="26">
        <v>2</v>
      </c>
      <c r="EE33" s="26" t="s">
        <v>57</v>
      </c>
      <c r="EF33" s="26">
        <v>600</v>
      </c>
      <c r="EG33" s="33">
        <f t="shared" si="43"/>
        <v>1200</v>
      </c>
      <c r="EH33" s="26">
        <v>1</v>
      </c>
      <c r="EI33" s="26" t="s">
        <v>57</v>
      </c>
      <c r="EJ33" s="26">
        <v>600</v>
      </c>
      <c r="EK33" s="166">
        <f t="shared" si="45"/>
        <v>600</v>
      </c>
      <c r="EL33" s="26">
        <v>600</v>
      </c>
      <c r="EN33" s="167">
        <v>29</v>
      </c>
      <c r="EO33" s="26" t="s">
        <v>915</v>
      </c>
      <c r="EP33" s="26">
        <v>1</v>
      </c>
      <c r="EQ33" s="26" t="s">
        <v>57</v>
      </c>
      <c r="ER33" s="26">
        <v>600</v>
      </c>
      <c r="ES33" s="166">
        <f t="shared" si="46"/>
        <v>600</v>
      </c>
      <c r="ET33" s="26">
        <v>2</v>
      </c>
      <c r="EU33" s="26" t="s">
        <v>57</v>
      </c>
      <c r="EV33" s="26">
        <v>600</v>
      </c>
      <c r="EW33" s="33">
        <f t="shared" si="48"/>
        <v>1200</v>
      </c>
      <c r="EX33" s="26">
        <v>1</v>
      </c>
      <c r="EY33" s="26" t="s">
        <v>57</v>
      </c>
      <c r="EZ33" s="26">
        <v>600</v>
      </c>
      <c r="FA33" s="166">
        <f t="shared" si="50"/>
        <v>600</v>
      </c>
      <c r="FB33" s="26">
        <v>600</v>
      </c>
    </row>
    <row r="34" spans="1:158" ht="15.75" customHeight="1" x14ac:dyDescent="0.3">
      <c r="A34" s="26">
        <v>30</v>
      </c>
      <c r="B34" s="26" t="s">
        <v>916</v>
      </c>
      <c r="C34" s="30">
        <v>1</v>
      </c>
      <c r="D34" s="30" t="s">
        <v>57</v>
      </c>
      <c r="E34" s="30">
        <v>400</v>
      </c>
      <c r="F34" s="159">
        <f t="shared" si="0"/>
        <v>400</v>
      </c>
      <c r="G34" s="30">
        <v>2</v>
      </c>
      <c r="H34" s="30" t="s">
        <v>57</v>
      </c>
      <c r="I34" s="30">
        <v>350</v>
      </c>
      <c r="J34" s="34">
        <f t="shared" si="2"/>
        <v>700</v>
      </c>
      <c r="K34" s="30">
        <v>1</v>
      </c>
      <c r="L34" s="30" t="s">
        <v>57</v>
      </c>
      <c r="M34" s="30">
        <v>350</v>
      </c>
      <c r="N34" s="159">
        <f t="shared" si="4"/>
        <v>350</v>
      </c>
      <c r="O34" s="30">
        <v>350</v>
      </c>
      <c r="Q34" s="26">
        <v>30</v>
      </c>
      <c r="R34" s="26" t="s">
        <v>917</v>
      </c>
      <c r="S34" s="26">
        <v>1</v>
      </c>
      <c r="T34" s="26" t="s">
        <v>57</v>
      </c>
      <c r="U34" s="26">
        <v>100</v>
      </c>
      <c r="V34" s="166">
        <f t="shared" si="5"/>
        <v>100</v>
      </c>
      <c r="W34" s="26">
        <v>2</v>
      </c>
      <c r="X34" s="26" t="s">
        <v>57</v>
      </c>
      <c r="Y34" s="26">
        <v>100</v>
      </c>
      <c r="Z34" s="33">
        <f t="shared" si="7"/>
        <v>200</v>
      </c>
      <c r="AA34" s="26">
        <v>1</v>
      </c>
      <c r="AB34" s="26" t="s">
        <v>57</v>
      </c>
      <c r="AC34" s="26">
        <v>100</v>
      </c>
      <c r="AD34" s="166">
        <f t="shared" si="9"/>
        <v>100</v>
      </c>
      <c r="AE34" s="26">
        <v>100</v>
      </c>
      <c r="AG34" s="167">
        <v>30</v>
      </c>
      <c r="AH34" s="26" t="s">
        <v>916</v>
      </c>
      <c r="AI34" s="26">
        <v>1</v>
      </c>
      <c r="AJ34" s="26" t="s">
        <v>57</v>
      </c>
      <c r="AK34" s="26">
        <v>400</v>
      </c>
      <c r="AL34" s="166">
        <f t="shared" si="10"/>
        <v>400</v>
      </c>
      <c r="AM34" s="26">
        <v>2</v>
      </c>
      <c r="AN34" s="26" t="s">
        <v>57</v>
      </c>
      <c r="AO34" s="26">
        <v>350</v>
      </c>
      <c r="AP34" s="33">
        <f t="shared" si="12"/>
        <v>700</v>
      </c>
      <c r="AQ34" s="26">
        <v>1</v>
      </c>
      <c r="AR34" s="26" t="s">
        <v>57</v>
      </c>
      <c r="AS34" s="26">
        <v>350</v>
      </c>
      <c r="AT34" s="166">
        <f t="shared" si="14"/>
        <v>350</v>
      </c>
      <c r="AU34" s="26">
        <v>350</v>
      </c>
      <c r="AW34" s="167">
        <v>30</v>
      </c>
      <c r="AX34" s="26" t="s">
        <v>916</v>
      </c>
      <c r="AY34" s="26">
        <v>1</v>
      </c>
      <c r="AZ34" s="26" t="s">
        <v>57</v>
      </c>
      <c r="BA34" s="26">
        <v>400</v>
      </c>
      <c r="BB34" s="166">
        <v>350</v>
      </c>
      <c r="BC34" s="26">
        <v>2</v>
      </c>
      <c r="BD34" s="26" t="s">
        <v>57</v>
      </c>
      <c r="BE34" s="26">
        <v>350</v>
      </c>
      <c r="BF34" s="33">
        <f t="shared" si="17"/>
        <v>700</v>
      </c>
      <c r="BG34" s="26">
        <v>1</v>
      </c>
      <c r="BH34" s="26" t="s">
        <v>57</v>
      </c>
      <c r="BI34" s="26">
        <v>350</v>
      </c>
      <c r="BJ34" s="166">
        <f t="shared" si="19"/>
        <v>350</v>
      </c>
      <c r="BK34" s="26">
        <v>230</v>
      </c>
      <c r="BM34" s="167">
        <v>30</v>
      </c>
      <c r="BN34" s="26" t="s">
        <v>916</v>
      </c>
      <c r="BO34" s="26">
        <v>1</v>
      </c>
      <c r="BP34" s="26" t="s">
        <v>57</v>
      </c>
      <c r="BQ34" s="26">
        <v>400</v>
      </c>
      <c r="BR34" s="166">
        <f t="shared" si="20"/>
        <v>400</v>
      </c>
      <c r="BS34" s="26">
        <v>2</v>
      </c>
      <c r="BT34" s="26" t="s">
        <v>57</v>
      </c>
      <c r="BU34" s="26">
        <v>350</v>
      </c>
      <c r="BV34" s="33">
        <f t="shared" si="22"/>
        <v>700</v>
      </c>
      <c r="BW34" s="26">
        <v>1</v>
      </c>
      <c r="BX34" s="26" t="s">
        <v>57</v>
      </c>
      <c r="BY34" s="26">
        <v>350</v>
      </c>
      <c r="BZ34" s="166">
        <f t="shared" si="24"/>
        <v>350</v>
      </c>
      <c r="CA34" s="26">
        <v>350</v>
      </c>
      <c r="CC34" s="167">
        <v>30</v>
      </c>
      <c r="CD34" s="26" t="s">
        <v>916</v>
      </c>
      <c r="CE34" s="26">
        <v>1</v>
      </c>
      <c r="CF34" s="26" t="s">
        <v>57</v>
      </c>
      <c r="CG34" s="26">
        <v>400</v>
      </c>
      <c r="CH34" s="166">
        <f t="shared" si="25"/>
        <v>400</v>
      </c>
      <c r="CI34" s="26">
        <v>2</v>
      </c>
      <c r="CJ34" s="26" t="s">
        <v>57</v>
      </c>
      <c r="CK34" s="26">
        <v>350</v>
      </c>
      <c r="CL34" s="33">
        <f t="shared" si="27"/>
        <v>700</v>
      </c>
      <c r="CM34" s="26">
        <v>1</v>
      </c>
      <c r="CN34" s="26" t="s">
        <v>57</v>
      </c>
      <c r="CO34" s="26">
        <v>350</v>
      </c>
      <c r="CP34" s="166">
        <f t="shared" si="29"/>
        <v>350</v>
      </c>
      <c r="CQ34" s="26">
        <v>350</v>
      </c>
      <c r="CS34" s="167">
        <v>30</v>
      </c>
      <c r="CT34" s="26" t="s">
        <v>916</v>
      </c>
      <c r="CU34" s="26">
        <v>1</v>
      </c>
      <c r="CV34" s="26" t="s">
        <v>57</v>
      </c>
      <c r="CW34" s="26">
        <v>350</v>
      </c>
      <c r="CX34" s="166">
        <f t="shared" si="30"/>
        <v>350</v>
      </c>
      <c r="CY34" s="26">
        <v>2</v>
      </c>
      <c r="CZ34" s="26" t="s">
        <v>57</v>
      </c>
      <c r="DA34" s="26">
        <v>350</v>
      </c>
      <c r="DB34" s="33">
        <f t="shared" si="32"/>
        <v>700</v>
      </c>
      <c r="DC34" s="26">
        <v>1</v>
      </c>
      <c r="DD34" s="26" t="s">
        <v>57</v>
      </c>
      <c r="DE34" s="26">
        <v>350</v>
      </c>
      <c r="DF34" s="166">
        <f t="shared" si="34"/>
        <v>350</v>
      </c>
      <c r="DG34" s="26">
        <f t="shared" si="35"/>
        <v>0</v>
      </c>
      <c r="DH34" s="167">
        <v>30</v>
      </c>
      <c r="DI34" s="26" t="s">
        <v>916</v>
      </c>
      <c r="DJ34" s="26">
        <v>1</v>
      </c>
      <c r="DK34" s="26" t="s">
        <v>57</v>
      </c>
      <c r="DL34" s="26">
        <v>350</v>
      </c>
      <c r="DM34" s="166">
        <f t="shared" si="36"/>
        <v>350</v>
      </c>
      <c r="DN34" s="26">
        <v>2</v>
      </c>
      <c r="DO34" s="26" t="s">
        <v>57</v>
      </c>
      <c r="DP34" s="26">
        <v>350</v>
      </c>
      <c r="DQ34" s="33">
        <f t="shared" si="38"/>
        <v>700</v>
      </c>
      <c r="DR34" s="26">
        <v>1</v>
      </c>
      <c r="DS34" s="26" t="s">
        <v>57</v>
      </c>
      <c r="DT34" s="26">
        <v>350</v>
      </c>
      <c r="DU34" s="166">
        <f t="shared" si="40"/>
        <v>350</v>
      </c>
      <c r="DV34" s="26">
        <v>350</v>
      </c>
      <c r="DX34" s="167">
        <v>30</v>
      </c>
      <c r="DY34" s="26" t="s">
        <v>916</v>
      </c>
      <c r="DZ34" s="26">
        <v>1</v>
      </c>
      <c r="EA34" s="26" t="s">
        <v>57</v>
      </c>
      <c r="EB34" s="26">
        <v>350</v>
      </c>
      <c r="EC34" s="166">
        <f t="shared" si="41"/>
        <v>350</v>
      </c>
      <c r="ED34" s="26">
        <v>2</v>
      </c>
      <c r="EE34" s="26" t="s">
        <v>57</v>
      </c>
      <c r="EF34" s="26">
        <v>350</v>
      </c>
      <c r="EG34" s="33">
        <f t="shared" si="43"/>
        <v>700</v>
      </c>
      <c r="EH34" s="26">
        <v>1</v>
      </c>
      <c r="EI34" s="26" t="s">
        <v>57</v>
      </c>
      <c r="EJ34" s="26">
        <v>350</v>
      </c>
      <c r="EK34" s="166">
        <f t="shared" si="45"/>
        <v>350</v>
      </c>
      <c r="EL34" s="26">
        <v>350</v>
      </c>
      <c r="EN34" s="167">
        <v>30</v>
      </c>
      <c r="EO34" s="26" t="s">
        <v>916</v>
      </c>
      <c r="EP34" s="26">
        <v>2</v>
      </c>
      <c r="EQ34" s="26" t="s">
        <v>57</v>
      </c>
      <c r="ER34" s="26">
        <v>350</v>
      </c>
      <c r="ES34" s="166">
        <f t="shared" si="46"/>
        <v>700</v>
      </c>
      <c r="ET34" s="26">
        <v>4</v>
      </c>
      <c r="EU34" s="26" t="s">
        <v>57</v>
      </c>
      <c r="EV34" s="26">
        <v>350</v>
      </c>
      <c r="EW34" s="33">
        <f t="shared" si="48"/>
        <v>1400</v>
      </c>
      <c r="EX34" s="26">
        <v>2</v>
      </c>
      <c r="EY34" s="26" t="s">
        <v>57</v>
      </c>
      <c r="EZ34" s="26">
        <v>350</v>
      </c>
      <c r="FA34" s="166">
        <f t="shared" si="50"/>
        <v>700</v>
      </c>
      <c r="FB34" s="26">
        <v>350</v>
      </c>
    </row>
    <row r="35" spans="1:158" ht="15.75" customHeight="1" x14ac:dyDescent="0.3">
      <c r="A35" s="26">
        <v>31</v>
      </c>
      <c r="B35" s="26" t="s">
        <v>917</v>
      </c>
      <c r="C35" s="30">
        <v>1</v>
      </c>
      <c r="D35" s="30" t="s">
        <v>57</v>
      </c>
      <c r="E35" s="30">
        <v>100</v>
      </c>
      <c r="F35" s="159">
        <f t="shared" si="0"/>
        <v>100</v>
      </c>
      <c r="G35" s="30">
        <v>2</v>
      </c>
      <c r="H35" s="30" t="s">
        <v>57</v>
      </c>
      <c r="I35" s="30">
        <v>100</v>
      </c>
      <c r="J35" s="34">
        <f t="shared" si="2"/>
        <v>200</v>
      </c>
      <c r="K35" s="30">
        <v>1</v>
      </c>
      <c r="L35" s="30" t="s">
        <v>57</v>
      </c>
      <c r="M35" s="30">
        <v>100</v>
      </c>
      <c r="N35" s="159">
        <f t="shared" si="4"/>
        <v>100</v>
      </c>
      <c r="O35" s="30">
        <v>100</v>
      </c>
      <c r="Q35" s="26">
        <v>31</v>
      </c>
      <c r="R35" s="26" t="s">
        <v>918</v>
      </c>
      <c r="S35" s="26">
        <v>1</v>
      </c>
      <c r="T35" s="26" t="s">
        <v>57</v>
      </c>
      <c r="U35" s="26">
        <v>150</v>
      </c>
      <c r="V35" s="166">
        <f t="shared" si="5"/>
        <v>150</v>
      </c>
      <c r="W35" s="26">
        <v>2</v>
      </c>
      <c r="X35" s="26" t="s">
        <v>57</v>
      </c>
      <c r="Y35" s="26">
        <v>100</v>
      </c>
      <c r="Z35" s="33">
        <f t="shared" si="7"/>
        <v>200</v>
      </c>
      <c r="AA35" s="26">
        <v>1</v>
      </c>
      <c r="AB35" s="26" t="s">
        <v>57</v>
      </c>
      <c r="AC35" s="26">
        <v>100</v>
      </c>
      <c r="AD35" s="166">
        <f t="shared" si="9"/>
        <v>100</v>
      </c>
      <c r="AE35" s="26">
        <v>100</v>
      </c>
      <c r="AG35" s="167">
        <v>31</v>
      </c>
      <c r="AH35" s="26" t="s">
        <v>917</v>
      </c>
      <c r="AI35" s="26">
        <v>1</v>
      </c>
      <c r="AJ35" s="26" t="s">
        <v>57</v>
      </c>
      <c r="AK35" s="26">
        <v>100</v>
      </c>
      <c r="AL35" s="166">
        <f t="shared" si="10"/>
        <v>100</v>
      </c>
      <c r="AM35" s="26">
        <v>2</v>
      </c>
      <c r="AN35" s="26" t="s">
        <v>57</v>
      </c>
      <c r="AO35" s="26">
        <v>100</v>
      </c>
      <c r="AP35" s="33">
        <f t="shared" si="12"/>
        <v>200</v>
      </c>
      <c r="AQ35" s="26">
        <v>1</v>
      </c>
      <c r="AR35" s="26" t="s">
        <v>57</v>
      </c>
      <c r="AS35" s="26">
        <v>100</v>
      </c>
      <c r="AT35" s="166">
        <f t="shared" si="14"/>
        <v>100</v>
      </c>
      <c r="AU35" s="26">
        <v>100</v>
      </c>
      <c r="AW35" s="167">
        <v>31</v>
      </c>
      <c r="AX35" s="26" t="s">
        <v>917</v>
      </c>
      <c r="AY35" s="26">
        <v>1</v>
      </c>
      <c r="AZ35" s="26" t="s">
        <v>57</v>
      </c>
      <c r="BA35" s="26">
        <v>100</v>
      </c>
      <c r="BB35" s="166">
        <f>AY35*BA35</f>
        <v>100</v>
      </c>
      <c r="BC35" s="26">
        <v>2</v>
      </c>
      <c r="BD35" s="26" t="s">
        <v>57</v>
      </c>
      <c r="BE35" s="26">
        <v>100</v>
      </c>
      <c r="BF35" s="33">
        <f t="shared" si="17"/>
        <v>200</v>
      </c>
      <c r="BG35" s="26">
        <v>1</v>
      </c>
      <c r="BH35" s="26" t="s">
        <v>57</v>
      </c>
      <c r="BI35" s="26">
        <v>100</v>
      </c>
      <c r="BJ35" s="166">
        <f t="shared" si="19"/>
        <v>100</v>
      </c>
      <c r="BK35" s="26">
        <v>100</v>
      </c>
      <c r="BM35" s="167">
        <v>31</v>
      </c>
      <c r="BN35" s="26" t="s">
        <v>917</v>
      </c>
      <c r="BO35" s="26">
        <v>1</v>
      </c>
      <c r="BP35" s="26" t="s">
        <v>57</v>
      </c>
      <c r="BQ35" s="26">
        <v>100</v>
      </c>
      <c r="BR35" s="166">
        <f t="shared" si="20"/>
        <v>100</v>
      </c>
      <c r="BS35" s="26">
        <v>2</v>
      </c>
      <c r="BT35" s="26" t="s">
        <v>57</v>
      </c>
      <c r="BU35" s="26">
        <v>100</v>
      </c>
      <c r="BV35" s="33">
        <f t="shared" si="22"/>
        <v>200</v>
      </c>
      <c r="BW35" s="26">
        <v>1</v>
      </c>
      <c r="BX35" s="26" t="s">
        <v>57</v>
      </c>
      <c r="BY35" s="26">
        <v>100</v>
      </c>
      <c r="BZ35" s="166">
        <f t="shared" si="24"/>
        <v>100</v>
      </c>
      <c r="CA35" s="26">
        <v>100</v>
      </c>
      <c r="CC35" s="167">
        <v>31</v>
      </c>
      <c r="CD35" s="26" t="s">
        <v>917</v>
      </c>
      <c r="CE35" s="26">
        <v>1</v>
      </c>
      <c r="CF35" s="26" t="s">
        <v>57</v>
      </c>
      <c r="CG35" s="26">
        <v>100</v>
      </c>
      <c r="CH35" s="166">
        <f t="shared" si="25"/>
        <v>100</v>
      </c>
      <c r="CI35" s="26">
        <v>2</v>
      </c>
      <c r="CJ35" s="26" t="s">
        <v>57</v>
      </c>
      <c r="CK35" s="26">
        <v>100</v>
      </c>
      <c r="CL35" s="33">
        <f t="shared" si="27"/>
        <v>200</v>
      </c>
      <c r="CM35" s="26">
        <v>1</v>
      </c>
      <c r="CN35" s="26" t="s">
        <v>57</v>
      </c>
      <c r="CO35" s="26">
        <v>100</v>
      </c>
      <c r="CP35" s="166">
        <f t="shared" si="29"/>
        <v>100</v>
      </c>
      <c r="CQ35" s="26">
        <v>100</v>
      </c>
      <c r="CS35" s="167">
        <v>31</v>
      </c>
      <c r="CT35" s="26" t="s">
        <v>917</v>
      </c>
      <c r="CU35" s="26">
        <v>1</v>
      </c>
      <c r="CV35" s="26" t="s">
        <v>57</v>
      </c>
      <c r="CW35" s="26">
        <v>100</v>
      </c>
      <c r="CX35" s="166">
        <f t="shared" si="30"/>
        <v>100</v>
      </c>
      <c r="CY35" s="26">
        <v>2</v>
      </c>
      <c r="CZ35" s="26" t="s">
        <v>57</v>
      </c>
      <c r="DA35" s="26">
        <v>100</v>
      </c>
      <c r="DB35" s="33">
        <f t="shared" si="32"/>
        <v>200</v>
      </c>
      <c r="DC35" s="26">
        <v>1</v>
      </c>
      <c r="DD35" s="26" t="s">
        <v>57</v>
      </c>
      <c r="DE35" s="26">
        <v>100</v>
      </c>
      <c r="DF35" s="166">
        <f t="shared" si="34"/>
        <v>100</v>
      </c>
      <c r="DG35" s="26">
        <f t="shared" si="35"/>
        <v>0</v>
      </c>
      <c r="DH35" s="167">
        <v>31</v>
      </c>
      <c r="DI35" s="26" t="s">
        <v>917</v>
      </c>
      <c r="DJ35" s="26">
        <v>1</v>
      </c>
      <c r="DK35" s="26" t="s">
        <v>57</v>
      </c>
      <c r="DL35" s="26">
        <v>100</v>
      </c>
      <c r="DM35" s="166">
        <f t="shared" si="36"/>
        <v>100</v>
      </c>
      <c r="DN35" s="26">
        <v>2</v>
      </c>
      <c r="DO35" s="26" t="s">
        <v>57</v>
      </c>
      <c r="DP35" s="26">
        <v>100</v>
      </c>
      <c r="DQ35" s="33">
        <f t="shared" si="38"/>
        <v>200</v>
      </c>
      <c r="DR35" s="26">
        <v>1</v>
      </c>
      <c r="DS35" s="26" t="s">
        <v>57</v>
      </c>
      <c r="DT35" s="26">
        <v>100</v>
      </c>
      <c r="DU35" s="166">
        <f t="shared" si="40"/>
        <v>100</v>
      </c>
      <c r="DV35" s="26">
        <v>100</v>
      </c>
      <c r="DX35" s="167">
        <v>31</v>
      </c>
      <c r="DY35" s="26" t="s">
        <v>917</v>
      </c>
      <c r="DZ35" s="26">
        <v>1</v>
      </c>
      <c r="EA35" s="26" t="s">
        <v>57</v>
      </c>
      <c r="EB35" s="26">
        <v>100</v>
      </c>
      <c r="EC35" s="166">
        <f t="shared" si="41"/>
        <v>100</v>
      </c>
      <c r="ED35" s="26">
        <v>2</v>
      </c>
      <c r="EE35" s="26" t="s">
        <v>57</v>
      </c>
      <c r="EF35" s="26">
        <v>100</v>
      </c>
      <c r="EG35" s="33">
        <f t="shared" si="43"/>
        <v>200</v>
      </c>
      <c r="EH35" s="26">
        <v>1</v>
      </c>
      <c r="EI35" s="26" t="s">
        <v>57</v>
      </c>
      <c r="EJ35" s="26">
        <v>100</v>
      </c>
      <c r="EK35" s="166">
        <f t="shared" si="45"/>
        <v>100</v>
      </c>
      <c r="EL35" s="26">
        <v>100</v>
      </c>
      <c r="EN35" s="167">
        <v>31</v>
      </c>
      <c r="EO35" s="26" t="s">
        <v>917</v>
      </c>
      <c r="EP35" s="26">
        <v>1</v>
      </c>
      <c r="EQ35" s="26" t="s">
        <v>57</v>
      </c>
      <c r="ER35" s="26">
        <v>100</v>
      </c>
      <c r="ES35" s="166">
        <f t="shared" si="46"/>
        <v>100</v>
      </c>
      <c r="ET35" s="26">
        <v>2</v>
      </c>
      <c r="EU35" s="26" t="s">
        <v>57</v>
      </c>
      <c r="EV35" s="26">
        <v>100</v>
      </c>
      <c r="EW35" s="33">
        <f t="shared" si="48"/>
        <v>200</v>
      </c>
      <c r="EX35" s="26">
        <v>1</v>
      </c>
      <c r="EY35" s="26" t="s">
        <v>57</v>
      </c>
      <c r="EZ35" s="26">
        <v>100</v>
      </c>
      <c r="FA35" s="166">
        <f t="shared" si="50"/>
        <v>100</v>
      </c>
      <c r="FB35" s="26">
        <v>100</v>
      </c>
    </row>
    <row r="36" spans="1:158" ht="15.75" customHeight="1" x14ac:dyDescent="0.3">
      <c r="A36" s="26">
        <v>32</v>
      </c>
      <c r="B36" s="26" t="s">
        <v>918</v>
      </c>
      <c r="C36" s="30">
        <v>1</v>
      </c>
      <c r="D36" s="30" t="s">
        <v>57</v>
      </c>
      <c r="E36" s="30">
        <v>150</v>
      </c>
      <c r="F36" s="159">
        <f t="shared" si="0"/>
        <v>150</v>
      </c>
      <c r="G36" s="30">
        <v>2</v>
      </c>
      <c r="H36" s="30" t="s">
        <v>57</v>
      </c>
      <c r="I36" s="30">
        <v>100</v>
      </c>
      <c r="J36" s="34">
        <f t="shared" si="2"/>
        <v>200</v>
      </c>
      <c r="K36" s="30">
        <v>1</v>
      </c>
      <c r="L36" s="30" t="s">
        <v>57</v>
      </c>
      <c r="M36" s="30">
        <v>100</v>
      </c>
      <c r="N36" s="159">
        <f t="shared" si="4"/>
        <v>100</v>
      </c>
      <c r="O36" s="30">
        <v>100</v>
      </c>
      <c r="Q36" s="26">
        <v>32</v>
      </c>
      <c r="R36" s="26" t="s">
        <v>919</v>
      </c>
      <c r="S36" s="26">
        <v>9</v>
      </c>
      <c r="T36" s="26" t="s">
        <v>57</v>
      </c>
      <c r="U36" s="26">
        <v>7</v>
      </c>
      <c r="V36" s="166">
        <f t="shared" si="5"/>
        <v>63</v>
      </c>
      <c r="W36" s="26">
        <v>18</v>
      </c>
      <c r="X36" s="26" t="s">
        <v>57</v>
      </c>
      <c r="Y36" s="26">
        <v>7</v>
      </c>
      <c r="Z36" s="33">
        <f t="shared" si="7"/>
        <v>126</v>
      </c>
      <c r="AA36" s="26">
        <v>9</v>
      </c>
      <c r="AB36" s="26" t="s">
        <v>57</v>
      </c>
      <c r="AC36" s="26">
        <v>7</v>
      </c>
      <c r="AD36" s="166">
        <f t="shared" si="9"/>
        <v>63</v>
      </c>
      <c r="AE36" s="26">
        <v>7</v>
      </c>
      <c r="AG36" s="167">
        <v>32</v>
      </c>
      <c r="AH36" s="26" t="s">
        <v>918</v>
      </c>
      <c r="AI36" s="26">
        <v>1</v>
      </c>
      <c r="AJ36" s="26" t="s">
        <v>57</v>
      </c>
      <c r="AK36" s="26">
        <v>150</v>
      </c>
      <c r="AL36" s="166">
        <f t="shared" si="10"/>
        <v>150</v>
      </c>
      <c r="AM36" s="26">
        <v>2</v>
      </c>
      <c r="AN36" s="26" t="s">
        <v>57</v>
      </c>
      <c r="AO36" s="26">
        <v>100</v>
      </c>
      <c r="AP36" s="33">
        <f t="shared" si="12"/>
        <v>200</v>
      </c>
      <c r="AQ36" s="26">
        <v>1</v>
      </c>
      <c r="AR36" s="26" t="s">
        <v>57</v>
      </c>
      <c r="AS36" s="26">
        <v>100</v>
      </c>
      <c r="AT36" s="166">
        <f t="shared" si="14"/>
        <v>100</v>
      </c>
      <c r="AU36" s="26">
        <v>100</v>
      </c>
      <c r="AW36" s="167">
        <v>32</v>
      </c>
      <c r="AX36" s="26" t="s">
        <v>918</v>
      </c>
      <c r="AY36" s="26">
        <v>1</v>
      </c>
      <c r="AZ36" s="26" t="s">
        <v>57</v>
      </c>
      <c r="BA36" s="26">
        <v>150</v>
      </c>
      <c r="BB36" s="166">
        <f>AY36*BA36</f>
        <v>150</v>
      </c>
      <c r="BC36" s="26">
        <v>2</v>
      </c>
      <c r="BD36" s="26" t="s">
        <v>57</v>
      </c>
      <c r="BE36" s="26">
        <v>100</v>
      </c>
      <c r="BF36" s="33">
        <f t="shared" si="17"/>
        <v>200</v>
      </c>
      <c r="BG36" s="26">
        <v>1</v>
      </c>
      <c r="BH36" s="26" t="s">
        <v>57</v>
      </c>
      <c r="BI36" s="26">
        <v>100</v>
      </c>
      <c r="BJ36" s="166">
        <f t="shared" si="19"/>
        <v>100</v>
      </c>
      <c r="BK36" s="26">
        <v>100</v>
      </c>
      <c r="BM36" s="167">
        <v>32</v>
      </c>
      <c r="BN36" s="26" t="s">
        <v>918</v>
      </c>
      <c r="BO36" s="26">
        <v>1</v>
      </c>
      <c r="BP36" s="26" t="s">
        <v>57</v>
      </c>
      <c r="BQ36" s="26">
        <v>150</v>
      </c>
      <c r="BR36" s="166">
        <f t="shared" si="20"/>
        <v>150</v>
      </c>
      <c r="BS36" s="26">
        <v>2</v>
      </c>
      <c r="BT36" s="26" t="s">
        <v>57</v>
      </c>
      <c r="BU36" s="26">
        <v>100</v>
      </c>
      <c r="BV36" s="33">
        <f t="shared" si="22"/>
        <v>200</v>
      </c>
      <c r="BW36" s="26">
        <v>1</v>
      </c>
      <c r="BX36" s="26" t="s">
        <v>57</v>
      </c>
      <c r="BY36" s="26">
        <v>100</v>
      </c>
      <c r="BZ36" s="166">
        <f t="shared" si="24"/>
        <v>100</v>
      </c>
      <c r="CA36" s="26">
        <v>100</v>
      </c>
      <c r="CC36" s="167">
        <v>32</v>
      </c>
      <c r="CD36" s="26" t="s">
        <v>918</v>
      </c>
      <c r="CE36" s="26">
        <v>1</v>
      </c>
      <c r="CF36" s="26" t="s">
        <v>57</v>
      </c>
      <c r="CG36" s="26">
        <v>150</v>
      </c>
      <c r="CH36" s="166">
        <f t="shared" si="25"/>
        <v>150</v>
      </c>
      <c r="CI36" s="26">
        <v>2</v>
      </c>
      <c r="CJ36" s="26" t="s">
        <v>57</v>
      </c>
      <c r="CK36" s="26">
        <v>100</v>
      </c>
      <c r="CL36" s="33">
        <f t="shared" si="27"/>
        <v>200</v>
      </c>
      <c r="CM36" s="26">
        <v>1</v>
      </c>
      <c r="CN36" s="26" t="s">
        <v>57</v>
      </c>
      <c r="CO36" s="26">
        <v>100</v>
      </c>
      <c r="CP36" s="166">
        <f t="shared" si="29"/>
        <v>100</v>
      </c>
      <c r="CQ36" s="26">
        <v>100</v>
      </c>
      <c r="CS36" s="167">
        <v>32</v>
      </c>
      <c r="CT36" s="26" t="s">
        <v>918</v>
      </c>
      <c r="CU36" s="26">
        <v>1</v>
      </c>
      <c r="CV36" s="26" t="s">
        <v>57</v>
      </c>
      <c r="CW36" s="26">
        <v>150</v>
      </c>
      <c r="CX36" s="166">
        <f t="shared" si="30"/>
        <v>150</v>
      </c>
      <c r="CY36" s="26">
        <v>2</v>
      </c>
      <c r="CZ36" s="26" t="s">
        <v>57</v>
      </c>
      <c r="DA36" s="26">
        <v>100</v>
      </c>
      <c r="DB36" s="33">
        <f t="shared" si="32"/>
        <v>200</v>
      </c>
      <c r="DC36" s="26">
        <v>1</v>
      </c>
      <c r="DD36" s="26" t="s">
        <v>57</v>
      </c>
      <c r="DE36" s="26">
        <v>100</v>
      </c>
      <c r="DF36" s="166">
        <f t="shared" si="34"/>
        <v>100</v>
      </c>
      <c r="DG36" s="26">
        <f t="shared" si="35"/>
        <v>0</v>
      </c>
      <c r="DH36" s="167">
        <v>32</v>
      </c>
      <c r="DI36" s="26" t="s">
        <v>918</v>
      </c>
      <c r="DJ36" s="26">
        <v>1</v>
      </c>
      <c r="DK36" s="26" t="s">
        <v>57</v>
      </c>
      <c r="DL36" s="26">
        <v>150</v>
      </c>
      <c r="DM36" s="166">
        <f t="shared" si="36"/>
        <v>150</v>
      </c>
      <c r="DN36" s="26">
        <v>2</v>
      </c>
      <c r="DO36" s="26" t="s">
        <v>57</v>
      </c>
      <c r="DP36" s="26">
        <v>100</v>
      </c>
      <c r="DQ36" s="33">
        <f t="shared" si="38"/>
        <v>200</v>
      </c>
      <c r="DR36" s="26">
        <v>1</v>
      </c>
      <c r="DS36" s="26" t="s">
        <v>57</v>
      </c>
      <c r="DT36" s="26">
        <v>100</v>
      </c>
      <c r="DU36" s="166">
        <f t="shared" si="40"/>
        <v>100</v>
      </c>
      <c r="DV36" s="26">
        <v>100</v>
      </c>
      <c r="DX36" s="167">
        <v>32</v>
      </c>
      <c r="DY36" s="26" t="s">
        <v>918</v>
      </c>
      <c r="DZ36" s="26">
        <v>1</v>
      </c>
      <c r="EA36" s="26" t="s">
        <v>57</v>
      </c>
      <c r="EB36" s="26">
        <v>150</v>
      </c>
      <c r="EC36" s="166">
        <f t="shared" si="41"/>
        <v>150</v>
      </c>
      <c r="ED36" s="26">
        <v>2</v>
      </c>
      <c r="EE36" s="26" t="s">
        <v>57</v>
      </c>
      <c r="EF36" s="26">
        <v>100</v>
      </c>
      <c r="EG36" s="33">
        <f t="shared" si="43"/>
        <v>200</v>
      </c>
      <c r="EH36" s="26">
        <v>1</v>
      </c>
      <c r="EI36" s="26" t="s">
        <v>57</v>
      </c>
      <c r="EJ36" s="26">
        <v>100</v>
      </c>
      <c r="EK36" s="166">
        <f t="shared" si="45"/>
        <v>100</v>
      </c>
      <c r="EL36" s="26">
        <v>100</v>
      </c>
      <c r="EN36" s="167">
        <v>32</v>
      </c>
      <c r="EO36" s="26" t="s">
        <v>918</v>
      </c>
      <c r="EP36" s="26">
        <v>1</v>
      </c>
      <c r="EQ36" s="26" t="s">
        <v>57</v>
      </c>
      <c r="ER36" s="26">
        <v>150</v>
      </c>
      <c r="ES36" s="166">
        <f t="shared" si="46"/>
        <v>150</v>
      </c>
      <c r="ET36" s="26">
        <v>2</v>
      </c>
      <c r="EU36" s="26" t="s">
        <v>57</v>
      </c>
      <c r="EV36" s="26">
        <v>100</v>
      </c>
      <c r="EW36" s="33">
        <f t="shared" si="48"/>
        <v>200</v>
      </c>
      <c r="EX36" s="26">
        <v>1</v>
      </c>
      <c r="EY36" s="26" t="s">
        <v>57</v>
      </c>
      <c r="EZ36" s="26">
        <v>100</v>
      </c>
      <c r="FA36" s="166">
        <f t="shared" si="50"/>
        <v>100</v>
      </c>
      <c r="FB36" s="26">
        <v>100</v>
      </c>
    </row>
    <row r="37" spans="1:158" ht="15.75" customHeight="1" x14ac:dyDescent="0.3">
      <c r="A37" s="26">
        <v>33</v>
      </c>
      <c r="B37" s="26" t="s">
        <v>919</v>
      </c>
      <c r="C37" s="30">
        <v>9</v>
      </c>
      <c r="D37" s="30" t="s">
        <v>57</v>
      </c>
      <c r="E37" s="30">
        <v>7</v>
      </c>
      <c r="F37" s="159">
        <f t="shared" si="0"/>
        <v>63</v>
      </c>
      <c r="G37" s="30">
        <v>18</v>
      </c>
      <c r="H37" s="30" t="s">
        <v>57</v>
      </c>
      <c r="I37" s="30">
        <v>7</v>
      </c>
      <c r="J37" s="34">
        <f t="shared" si="2"/>
        <v>126</v>
      </c>
      <c r="K37" s="30">
        <v>9</v>
      </c>
      <c r="L37" s="30" t="s">
        <v>57</v>
      </c>
      <c r="M37" s="30">
        <v>7</v>
      </c>
      <c r="N37" s="159">
        <f t="shared" si="4"/>
        <v>63</v>
      </c>
      <c r="O37" s="30">
        <v>7</v>
      </c>
      <c r="Q37" s="26">
        <v>33</v>
      </c>
      <c r="R37" s="26" t="s">
        <v>920</v>
      </c>
      <c r="S37" s="26">
        <v>1</v>
      </c>
      <c r="T37" s="26" t="s">
        <v>921</v>
      </c>
      <c r="U37" s="26">
        <v>100</v>
      </c>
      <c r="V37" s="166">
        <f t="shared" si="5"/>
        <v>100</v>
      </c>
      <c r="W37" s="26">
        <v>2</v>
      </c>
      <c r="X37" s="26" t="s">
        <v>922</v>
      </c>
      <c r="Y37" s="26">
        <v>100</v>
      </c>
      <c r="Z37" s="33">
        <f t="shared" si="7"/>
        <v>200</v>
      </c>
      <c r="AA37" s="26">
        <v>1</v>
      </c>
      <c r="AB37" s="26" t="s">
        <v>921</v>
      </c>
      <c r="AC37" s="26">
        <v>100</v>
      </c>
      <c r="AD37" s="166">
        <f t="shared" si="9"/>
        <v>100</v>
      </c>
      <c r="AE37" s="26">
        <v>100</v>
      </c>
      <c r="AG37" s="167">
        <v>33</v>
      </c>
      <c r="AH37" s="26" t="s">
        <v>919</v>
      </c>
      <c r="AI37" s="26">
        <v>27</v>
      </c>
      <c r="AJ37" s="26" t="s">
        <v>57</v>
      </c>
      <c r="AK37" s="26">
        <v>7</v>
      </c>
      <c r="AL37" s="166">
        <f t="shared" si="10"/>
        <v>189</v>
      </c>
      <c r="AM37" s="26">
        <v>54</v>
      </c>
      <c r="AN37" s="26" t="s">
        <v>57</v>
      </c>
      <c r="AO37" s="26">
        <v>7</v>
      </c>
      <c r="AP37" s="33">
        <f t="shared" si="12"/>
        <v>378</v>
      </c>
      <c r="AQ37" s="26">
        <v>27</v>
      </c>
      <c r="AR37" s="26" t="s">
        <v>57</v>
      </c>
      <c r="AS37" s="26">
        <v>7</v>
      </c>
      <c r="AT37" s="166">
        <f t="shared" si="14"/>
        <v>189</v>
      </c>
      <c r="AU37" s="26">
        <v>7</v>
      </c>
      <c r="AW37" s="167">
        <v>33</v>
      </c>
      <c r="AX37" s="26" t="s">
        <v>919</v>
      </c>
      <c r="AY37" s="26">
        <v>27</v>
      </c>
      <c r="AZ37" s="26" t="s">
        <v>57</v>
      </c>
      <c r="BA37" s="26">
        <v>7</v>
      </c>
      <c r="BB37" s="166">
        <f>AY37*BA37</f>
        <v>189</v>
      </c>
      <c r="BC37" s="26">
        <v>54</v>
      </c>
      <c r="BD37" s="26" t="s">
        <v>57</v>
      </c>
      <c r="BE37" s="26">
        <v>7</v>
      </c>
      <c r="BF37" s="33">
        <f t="shared" si="17"/>
        <v>378</v>
      </c>
      <c r="BG37" s="26">
        <v>27</v>
      </c>
      <c r="BH37" s="26" t="s">
        <v>57</v>
      </c>
      <c r="BI37" s="26">
        <v>7</v>
      </c>
      <c r="BJ37" s="166">
        <f t="shared" si="19"/>
        <v>189</v>
      </c>
      <c r="BK37" s="26">
        <v>7</v>
      </c>
      <c r="BM37" s="167">
        <v>33</v>
      </c>
      <c r="BN37" s="26" t="s">
        <v>919</v>
      </c>
      <c r="BO37" s="26">
        <v>36</v>
      </c>
      <c r="BP37" s="26" t="s">
        <v>57</v>
      </c>
      <c r="BQ37" s="26">
        <v>7</v>
      </c>
      <c r="BR37" s="166">
        <f t="shared" si="20"/>
        <v>252</v>
      </c>
      <c r="BS37" s="26">
        <v>72</v>
      </c>
      <c r="BT37" s="26" t="s">
        <v>57</v>
      </c>
      <c r="BU37" s="26">
        <v>7</v>
      </c>
      <c r="BV37" s="33">
        <f t="shared" si="22"/>
        <v>504</v>
      </c>
      <c r="BW37" s="26">
        <v>36</v>
      </c>
      <c r="BX37" s="26" t="s">
        <v>57</v>
      </c>
      <c r="BY37" s="26">
        <v>7</v>
      </c>
      <c r="BZ37" s="166">
        <f t="shared" si="24"/>
        <v>252</v>
      </c>
      <c r="CA37" s="26">
        <v>7</v>
      </c>
      <c r="CC37" s="167">
        <v>33</v>
      </c>
      <c r="CD37" s="26" t="s">
        <v>919</v>
      </c>
      <c r="CE37" s="26">
        <v>45</v>
      </c>
      <c r="CF37" s="26" t="s">
        <v>57</v>
      </c>
      <c r="CG37" s="26">
        <v>7</v>
      </c>
      <c r="CH37" s="166">
        <f t="shared" si="25"/>
        <v>315</v>
      </c>
      <c r="CI37" s="26">
        <v>90</v>
      </c>
      <c r="CJ37" s="26" t="s">
        <v>57</v>
      </c>
      <c r="CK37" s="26">
        <v>7</v>
      </c>
      <c r="CL37" s="33">
        <f t="shared" si="27"/>
        <v>630</v>
      </c>
      <c r="CM37" s="26">
        <v>45</v>
      </c>
      <c r="CN37" s="26" t="s">
        <v>57</v>
      </c>
      <c r="CO37" s="26">
        <v>7</v>
      </c>
      <c r="CP37" s="166">
        <f t="shared" si="29"/>
        <v>315</v>
      </c>
      <c r="CQ37" s="26">
        <v>7</v>
      </c>
      <c r="CS37" s="167">
        <v>33</v>
      </c>
      <c r="CT37" s="26" t="s">
        <v>919</v>
      </c>
      <c r="CU37" s="26">
        <v>45</v>
      </c>
      <c r="CV37" s="26" t="s">
        <v>57</v>
      </c>
      <c r="CW37" s="26">
        <v>7</v>
      </c>
      <c r="CX37" s="166">
        <f t="shared" si="30"/>
        <v>315</v>
      </c>
      <c r="CY37" s="26">
        <v>90</v>
      </c>
      <c r="CZ37" s="26" t="s">
        <v>57</v>
      </c>
      <c r="DA37" s="26">
        <v>7</v>
      </c>
      <c r="DB37" s="33">
        <f t="shared" si="32"/>
        <v>630</v>
      </c>
      <c r="DC37" s="26">
        <v>45</v>
      </c>
      <c r="DD37" s="26" t="s">
        <v>57</v>
      </c>
      <c r="DE37" s="26">
        <v>7</v>
      </c>
      <c r="DF37" s="166">
        <f t="shared" si="34"/>
        <v>315</v>
      </c>
      <c r="DG37" s="26">
        <f t="shared" si="35"/>
        <v>0</v>
      </c>
      <c r="DH37" s="167">
        <v>33</v>
      </c>
      <c r="DI37" s="26" t="s">
        <v>919</v>
      </c>
      <c r="DJ37" s="26">
        <v>45</v>
      </c>
      <c r="DK37" s="26" t="s">
        <v>57</v>
      </c>
      <c r="DL37" s="26">
        <v>7</v>
      </c>
      <c r="DM37" s="166">
        <f t="shared" si="36"/>
        <v>315</v>
      </c>
      <c r="DN37" s="26">
        <v>90</v>
      </c>
      <c r="DO37" s="26" t="s">
        <v>57</v>
      </c>
      <c r="DP37" s="26">
        <v>7</v>
      </c>
      <c r="DQ37" s="33">
        <f t="shared" si="38"/>
        <v>630</v>
      </c>
      <c r="DR37" s="26">
        <v>45</v>
      </c>
      <c r="DS37" s="26" t="s">
        <v>57</v>
      </c>
      <c r="DT37" s="26">
        <v>7</v>
      </c>
      <c r="DU37" s="166">
        <f t="shared" si="40"/>
        <v>315</v>
      </c>
      <c r="DV37" s="26">
        <v>7</v>
      </c>
      <c r="DX37" s="167">
        <v>33</v>
      </c>
      <c r="DY37" s="26" t="s">
        <v>919</v>
      </c>
      <c r="DZ37" s="26">
        <v>45</v>
      </c>
      <c r="EA37" s="26" t="s">
        <v>57</v>
      </c>
      <c r="EB37" s="26">
        <v>7</v>
      </c>
      <c r="EC37" s="166">
        <f t="shared" si="41"/>
        <v>315</v>
      </c>
      <c r="ED37" s="26">
        <v>90</v>
      </c>
      <c r="EE37" s="26" t="s">
        <v>57</v>
      </c>
      <c r="EF37" s="26">
        <v>7</v>
      </c>
      <c r="EG37" s="33">
        <f t="shared" si="43"/>
        <v>630</v>
      </c>
      <c r="EH37" s="26">
        <v>45</v>
      </c>
      <c r="EI37" s="26" t="s">
        <v>57</v>
      </c>
      <c r="EJ37" s="26">
        <v>7</v>
      </c>
      <c r="EK37" s="166">
        <f t="shared" si="45"/>
        <v>315</v>
      </c>
      <c r="EL37" s="26">
        <v>7</v>
      </c>
      <c r="EN37" s="167">
        <v>33</v>
      </c>
      <c r="EO37" s="26" t="s">
        <v>919</v>
      </c>
      <c r="EP37" s="26">
        <v>63</v>
      </c>
      <c r="EQ37" s="26" t="s">
        <v>57</v>
      </c>
      <c r="ER37" s="26">
        <v>7</v>
      </c>
      <c r="ES37" s="166">
        <f t="shared" si="46"/>
        <v>441</v>
      </c>
      <c r="ET37" s="26">
        <v>126</v>
      </c>
      <c r="EU37" s="26" t="s">
        <v>57</v>
      </c>
      <c r="EV37" s="26">
        <v>7</v>
      </c>
      <c r="EW37" s="33">
        <f t="shared" si="48"/>
        <v>882</v>
      </c>
      <c r="EX37" s="26">
        <v>63</v>
      </c>
      <c r="EY37" s="26" t="s">
        <v>57</v>
      </c>
      <c r="EZ37" s="26">
        <v>7</v>
      </c>
      <c r="FA37" s="166">
        <f t="shared" si="50"/>
        <v>441</v>
      </c>
      <c r="FB37" s="26">
        <v>7</v>
      </c>
    </row>
    <row r="38" spans="1:158" ht="15.75" customHeight="1" x14ac:dyDescent="0.3">
      <c r="A38" s="26">
        <v>34</v>
      </c>
      <c r="B38" s="26" t="s">
        <v>920</v>
      </c>
      <c r="C38" s="30">
        <v>1</v>
      </c>
      <c r="D38" s="30" t="s">
        <v>921</v>
      </c>
      <c r="E38" s="30">
        <v>100</v>
      </c>
      <c r="F38" s="159">
        <f t="shared" si="0"/>
        <v>100</v>
      </c>
      <c r="G38" s="30">
        <v>2</v>
      </c>
      <c r="H38" s="30" t="s">
        <v>922</v>
      </c>
      <c r="I38" s="30">
        <v>100</v>
      </c>
      <c r="J38" s="34">
        <f t="shared" si="2"/>
        <v>200</v>
      </c>
      <c r="K38" s="30">
        <v>1</v>
      </c>
      <c r="L38" s="30" t="s">
        <v>921</v>
      </c>
      <c r="M38" s="30">
        <v>100</v>
      </c>
      <c r="N38" s="159">
        <f t="shared" si="4"/>
        <v>100</v>
      </c>
      <c r="O38" s="30">
        <v>100</v>
      </c>
      <c r="Q38" s="26">
        <v>34</v>
      </c>
      <c r="R38" s="26" t="s">
        <v>923</v>
      </c>
      <c r="S38" s="26" t="s">
        <v>924</v>
      </c>
      <c r="T38" s="26"/>
      <c r="U38" s="26"/>
      <c r="V38" s="166"/>
      <c r="W38" s="26">
        <v>1</v>
      </c>
      <c r="X38" s="26" t="s">
        <v>868</v>
      </c>
      <c r="Y38" s="26">
        <v>200</v>
      </c>
      <c r="Z38" s="33">
        <f t="shared" si="7"/>
        <v>200</v>
      </c>
      <c r="AA38" s="26" t="s">
        <v>924</v>
      </c>
      <c r="AB38" s="26"/>
      <c r="AC38" s="26"/>
      <c r="AD38" s="166"/>
      <c r="AE38" s="26"/>
      <c r="AG38" s="167">
        <v>34</v>
      </c>
      <c r="AH38" s="26" t="s">
        <v>920</v>
      </c>
      <c r="AI38" s="26">
        <v>2</v>
      </c>
      <c r="AJ38" s="26" t="s">
        <v>921</v>
      </c>
      <c r="AK38" s="26">
        <v>100</v>
      </c>
      <c r="AL38" s="166">
        <f t="shared" si="10"/>
        <v>200</v>
      </c>
      <c r="AM38" s="26">
        <v>4</v>
      </c>
      <c r="AN38" s="26" t="s">
        <v>922</v>
      </c>
      <c r="AO38" s="26">
        <v>100</v>
      </c>
      <c r="AP38" s="33">
        <f t="shared" si="12"/>
        <v>400</v>
      </c>
      <c r="AQ38" s="26">
        <v>2</v>
      </c>
      <c r="AR38" s="26" t="s">
        <v>921</v>
      </c>
      <c r="AS38" s="26">
        <v>100</v>
      </c>
      <c r="AT38" s="166">
        <f t="shared" si="14"/>
        <v>200</v>
      </c>
      <c r="AU38" s="26">
        <v>100</v>
      </c>
      <c r="AW38" s="167">
        <v>34</v>
      </c>
      <c r="AX38" s="26" t="s">
        <v>920</v>
      </c>
      <c r="AY38" s="26">
        <v>2</v>
      </c>
      <c r="AZ38" s="26" t="s">
        <v>921</v>
      </c>
      <c r="BA38" s="26">
        <v>100</v>
      </c>
      <c r="BB38" s="166">
        <f>AY38*BA38</f>
        <v>200</v>
      </c>
      <c r="BC38" s="26">
        <v>4</v>
      </c>
      <c r="BD38" s="26" t="s">
        <v>922</v>
      </c>
      <c r="BE38" s="26">
        <v>100</v>
      </c>
      <c r="BF38" s="33">
        <f t="shared" si="17"/>
        <v>400</v>
      </c>
      <c r="BG38" s="26">
        <v>2</v>
      </c>
      <c r="BH38" s="26" t="s">
        <v>921</v>
      </c>
      <c r="BI38" s="26">
        <v>100</v>
      </c>
      <c r="BJ38" s="166">
        <f t="shared" si="19"/>
        <v>200</v>
      </c>
      <c r="BK38" s="26">
        <v>100</v>
      </c>
      <c r="BM38" s="167">
        <v>34</v>
      </c>
      <c r="BN38" s="26" t="s">
        <v>920</v>
      </c>
      <c r="BO38" s="26">
        <v>3</v>
      </c>
      <c r="BP38" s="26" t="s">
        <v>921</v>
      </c>
      <c r="BQ38" s="26">
        <v>100</v>
      </c>
      <c r="BR38" s="166">
        <f t="shared" si="20"/>
        <v>300</v>
      </c>
      <c r="BS38" s="26">
        <v>6</v>
      </c>
      <c r="BT38" s="26" t="s">
        <v>922</v>
      </c>
      <c r="BU38" s="26">
        <v>100</v>
      </c>
      <c r="BV38" s="33">
        <f t="shared" si="22"/>
        <v>600</v>
      </c>
      <c r="BW38" s="26">
        <v>3</v>
      </c>
      <c r="BX38" s="26" t="s">
        <v>921</v>
      </c>
      <c r="BY38" s="26">
        <v>100</v>
      </c>
      <c r="BZ38" s="166">
        <f t="shared" si="24"/>
        <v>300</v>
      </c>
      <c r="CA38" s="26">
        <v>100</v>
      </c>
      <c r="CC38" s="167">
        <v>34</v>
      </c>
      <c r="CD38" s="26" t="s">
        <v>920</v>
      </c>
      <c r="CE38" s="26">
        <v>3.5</v>
      </c>
      <c r="CF38" s="26" t="s">
        <v>921</v>
      </c>
      <c r="CG38" s="26">
        <v>100</v>
      </c>
      <c r="CH38" s="166">
        <f t="shared" si="25"/>
        <v>350</v>
      </c>
      <c r="CI38" s="26">
        <v>7</v>
      </c>
      <c r="CJ38" s="26" t="s">
        <v>922</v>
      </c>
      <c r="CK38" s="26">
        <v>100</v>
      </c>
      <c r="CL38" s="33">
        <f t="shared" si="27"/>
        <v>700</v>
      </c>
      <c r="CM38" s="26">
        <v>3.5</v>
      </c>
      <c r="CN38" s="26" t="s">
        <v>921</v>
      </c>
      <c r="CO38" s="26">
        <v>100</v>
      </c>
      <c r="CP38" s="166">
        <f t="shared" si="29"/>
        <v>350</v>
      </c>
      <c r="CQ38" s="26">
        <v>100</v>
      </c>
      <c r="CS38" s="167">
        <v>34</v>
      </c>
      <c r="CT38" s="26" t="s">
        <v>920</v>
      </c>
      <c r="CU38" s="26">
        <v>3.5</v>
      </c>
      <c r="CV38" s="26" t="s">
        <v>921</v>
      </c>
      <c r="CW38" s="26">
        <v>100</v>
      </c>
      <c r="CX38" s="166">
        <f t="shared" si="30"/>
        <v>350</v>
      </c>
      <c r="CY38" s="26">
        <v>7</v>
      </c>
      <c r="CZ38" s="26" t="s">
        <v>922</v>
      </c>
      <c r="DA38" s="26">
        <v>100</v>
      </c>
      <c r="DB38" s="33">
        <f t="shared" si="32"/>
        <v>700</v>
      </c>
      <c r="DC38" s="26">
        <v>3.5</v>
      </c>
      <c r="DD38" s="26" t="s">
        <v>921</v>
      </c>
      <c r="DE38" s="26">
        <v>100</v>
      </c>
      <c r="DF38" s="166">
        <f t="shared" si="34"/>
        <v>350</v>
      </c>
      <c r="DG38" s="26">
        <f t="shared" si="35"/>
        <v>0</v>
      </c>
      <c r="DH38" s="167">
        <v>34</v>
      </c>
      <c r="DI38" s="26" t="s">
        <v>920</v>
      </c>
      <c r="DJ38" s="26">
        <v>4</v>
      </c>
      <c r="DK38" s="26" t="s">
        <v>921</v>
      </c>
      <c r="DL38" s="26">
        <v>100</v>
      </c>
      <c r="DM38" s="166">
        <f t="shared" si="36"/>
        <v>400</v>
      </c>
      <c r="DN38" s="26">
        <v>8</v>
      </c>
      <c r="DO38" s="26" t="s">
        <v>922</v>
      </c>
      <c r="DP38" s="26">
        <v>100</v>
      </c>
      <c r="DQ38" s="33">
        <f t="shared" si="38"/>
        <v>800</v>
      </c>
      <c r="DR38" s="26">
        <v>4</v>
      </c>
      <c r="DS38" s="26" t="s">
        <v>921</v>
      </c>
      <c r="DT38" s="26">
        <v>100</v>
      </c>
      <c r="DU38" s="166">
        <f t="shared" si="40"/>
        <v>400</v>
      </c>
      <c r="DV38" s="26">
        <v>100</v>
      </c>
      <c r="DX38" s="167">
        <v>34</v>
      </c>
      <c r="DY38" s="26" t="s">
        <v>920</v>
      </c>
      <c r="DZ38" s="26">
        <v>4</v>
      </c>
      <c r="EA38" s="26" t="s">
        <v>921</v>
      </c>
      <c r="EB38" s="26">
        <v>80</v>
      </c>
      <c r="EC38" s="166">
        <f t="shared" si="41"/>
        <v>320</v>
      </c>
      <c r="ED38" s="26">
        <v>8</v>
      </c>
      <c r="EE38" s="26" t="s">
        <v>922</v>
      </c>
      <c r="EF38" s="26">
        <v>80</v>
      </c>
      <c r="EG38" s="33">
        <f t="shared" si="43"/>
        <v>640</v>
      </c>
      <c r="EH38" s="26">
        <v>4</v>
      </c>
      <c r="EI38" s="26" t="s">
        <v>921</v>
      </c>
      <c r="EJ38" s="26">
        <v>80</v>
      </c>
      <c r="EK38" s="166">
        <f t="shared" si="45"/>
        <v>320</v>
      </c>
      <c r="EL38" s="26">
        <v>80</v>
      </c>
      <c r="EN38" s="167">
        <v>34</v>
      </c>
      <c r="EO38" s="26" t="s">
        <v>920</v>
      </c>
      <c r="EP38" s="26">
        <v>5</v>
      </c>
      <c r="EQ38" s="26" t="s">
        <v>921</v>
      </c>
      <c r="ER38" s="26">
        <v>100</v>
      </c>
      <c r="ES38" s="166">
        <f t="shared" si="46"/>
        <v>500</v>
      </c>
      <c r="ET38" s="26">
        <v>10</v>
      </c>
      <c r="EU38" s="26" t="s">
        <v>922</v>
      </c>
      <c r="EV38" s="26">
        <v>100</v>
      </c>
      <c r="EW38" s="33">
        <f t="shared" si="48"/>
        <v>1000</v>
      </c>
      <c r="EX38" s="26">
        <v>5</v>
      </c>
      <c r="EY38" s="26" t="s">
        <v>921</v>
      </c>
      <c r="EZ38" s="26">
        <v>100</v>
      </c>
      <c r="FA38" s="166">
        <f t="shared" si="50"/>
        <v>500</v>
      </c>
      <c r="FB38" s="26">
        <v>100</v>
      </c>
    </row>
    <row r="39" spans="1:158" ht="15.75" customHeight="1" x14ac:dyDescent="0.3">
      <c r="A39" s="26">
        <v>35</v>
      </c>
      <c r="B39" s="26" t="s">
        <v>923</v>
      </c>
      <c r="C39" s="30" t="s">
        <v>924</v>
      </c>
      <c r="D39" s="30"/>
      <c r="E39" s="30"/>
      <c r="F39" s="159"/>
      <c r="G39" s="30">
        <v>1</v>
      </c>
      <c r="H39" s="30" t="s">
        <v>868</v>
      </c>
      <c r="I39" s="30">
        <v>150</v>
      </c>
      <c r="J39" s="34">
        <f t="shared" si="2"/>
        <v>150</v>
      </c>
      <c r="K39" s="30" t="s">
        <v>924</v>
      </c>
      <c r="L39" s="30"/>
      <c r="M39" s="30"/>
      <c r="N39" s="159"/>
      <c r="O39" s="30"/>
      <c r="Q39" s="26">
        <v>35</v>
      </c>
      <c r="R39" s="26" t="s">
        <v>925</v>
      </c>
      <c r="S39" s="26">
        <v>2</v>
      </c>
      <c r="T39" s="26" t="s">
        <v>57</v>
      </c>
      <c r="U39" s="26">
        <v>300</v>
      </c>
      <c r="V39" s="166">
        <f t="shared" ref="V39:V46" si="51">S39*U39</f>
        <v>600</v>
      </c>
      <c r="W39" s="26">
        <v>2</v>
      </c>
      <c r="X39" s="26" t="s">
        <v>57</v>
      </c>
      <c r="Y39" s="26">
        <v>300</v>
      </c>
      <c r="Z39" s="33">
        <f t="shared" si="7"/>
        <v>600</v>
      </c>
      <c r="AA39" s="26">
        <v>1</v>
      </c>
      <c r="AB39" s="26" t="s">
        <v>57</v>
      </c>
      <c r="AC39" s="26">
        <v>300</v>
      </c>
      <c r="AD39" s="166">
        <f t="shared" ref="AD39:AD46" si="52">AA39*AC39</f>
        <v>300</v>
      </c>
      <c r="AE39" s="26">
        <v>300</v>
      </c>
      <c r="AG39" s="167">
        <v>35</v>
      </c>
      <c r="AH39" s="26" t="s">
        <v>923</v>
      </c>
      <c r="AI39" s="26" t="s">
        <v>924</v>
      </c>
      <c r="AJ39" s="26"/>
      <c r="AK39" s="26"/>
      <c r="AL39" s="166">
        <v>0</v>
      </c>
      <c r="AM39" s="26">
        <v>1</v>
      </c>
      <c r="AN39" s="26" t="s">
        <v>868</v>
      </c>
      <c r="AO39" s="26">
        <v>200</v>
      </c>
      <c r="AP39" s="33">
        <f t="shared" si="12"/>
        <v>200</v>
      </c>
      <c r="AQ39" s="26" t="s">
        <v>924</v>
      </c>
      <c r="AR39" s="26"/>
      <c r="AS39" s="26"/>
      <c r="AT39" s="166">
        <v>0</v>
      </c>
      <c r="AU39" s="26"/>
      <c r="AW39" s="167">
        <v>35</v>
      </c>
      <c r="AX39" s="26" t="s">
        <v>923</v>
      </c>
      <c r="AY39" s="26" t="s">
        <v>924</v>
      </c>
      <c r="AZ39" s="26"/>
      <c r="BA39" s="26"/>
      <c r="BB39" s="166">
        <v>0</v>
      </c>
      <c r="BC39" s="26">
        <v>1</v>
      </c>
      <c r="BD39" s="26" t="s">
        <v>868</v>
      </c>
      <c r="BE39" s="26">
        <v>200</v>
      </c>
      <c r="BF39" s="33">
        <f t="shared" si="17"/>
        <v>200</v>
      </c>
      <c r="BG39" s="26" t="s">
        <v>924</v>
      </c>
      <c r="BH39" s="26"/>
      <c r="BI39" s="26"/>
      <c r="BJ39" s="166">
        <v>0</v>
      </c>
      <c r="BK39" s="26"/>
      <c r="BM39" s="167">
        <v>35</v>
      </c>
      <c r="BN39" s="26" t="s">
        <v>923</v>
      </c>
      <c r="BO39" s="26" t="s">
        <v>924</v>
      </c>
      <c r="BP39" s="26"/>
      <c r="BQ39" s="26"/>
      <c r="BR39" s="166">
        <v>0</v>
      </c>
      <c r="BS39" s="26">
        <v>1</v>
      </c>
      <c r="BT39" s="26" t="s">
        <v>868</v>
      </c>
      <c r="BU39" s="26">
        <v>200</v>
      </c>
      <c r="BV39" s="33">
        <f t="shared" si="22"/>
        <v>200</v>
      </c>
      <c r="BW39" s="26" t="s">
        <v>924</v>
      </c>
      <c r="BX39" s="26"/>
      <c r="BY39" s="26"/>
      <c r="BZ39" s="166">
        <v>0</v>
      </c>
      <c r="CA39" s="26"/>
      <c r="CC39" s="167">
        <v>35</v>
      </c>
      <c r="CD39" s="26" t="s">
        <v>923</v>
      </c>
      <c r="CE39" s="26" t="s">
        <v>924</v>
      </c>
      <c r="CF39" s="26"/>
      <c r="CG39" s="26"/>
      <c r="CH39" s="166">
        <v>0</v>
      </c>
      <c r="CI39" s="26">
        <v>1</v>
      </c>
      <c r="CJ39" s="26" t="s">
        <v>868</v>
      </c>
      <c r="CK39" s="26">
        <v>200</v>
      </c>
      <c r="CL39" s="33">
        <f t="shared" si="27"/>
        <v>200</v>
      </c>
      <c r="CM39" s="26" t="s">
        <v>924</v>
      </c>
      <c r="CN39" s="26"/>
      <c r="CO39" s="26"/>
      <c r="CP39" s="166">
        <v>0</v>
      </c>
      <c r="CQ39" s="26"/>
      <c r="CS39" s="167">
        <v>35</v>
      </c>
      <c r="CT39" s="26" t="s">
        <v>923</v>
      </c>
      <c r="CU39" s="26" t="s">
        <v>924</v>
      </c>
      <c r="CV39" s="26"/>
      <c r="CW39" s="26"/>
      <c r="CX39" s="166">
        <v>0</v>
      </c>
      <c r="CY39" s="26">
        <v>1</v>
      </c>
      <c r="CZ39" s="26" t="s">
        <v>868</v>
      </c>
      <c r="DA39" s="26">
        <v>200</v>
      </c>
      <c r="DB39" s="33">
        <f t="shared" si="32"/>
        <v>200</v>
      </c>
      <c r="DC39" s="26" t="s">
        <v>924</v>
      </c>
      <c r="DD39" s="26"/>
      <c r="DE39" s="26"/>
      <c r="DF39" s="166">
        <v>0</v>
      </c>
      <c r="DG39" s="26">
        <f t="shared" si="35"/>
        <v>0</v>
      </c>
      <c r="DH39" s="167">
        <v>35</v>
      </c>
      <c r="DI39" s="26" t="s">
        <v>926</v>
      </c>
      <c r="DJ39" s="26" t="s">
        <v>924</v>
      </c>
      <c r="DK39" s="26"/>
      <c r="DL39" s="26"/>
      <c r="DM39" s="166">
        <v>0</v>
      </c>
      <c r="DN39" s="26">
        <v>1</v>
      </c>
      <c r="DO39" s="26" t="s">
        <v>868</v>
      </c>
      <c r="DP39" s="26">
        <v>250</v>
      </c>
      <c r="DQ39" s="33">
        <f t="shared" si="38"/>
        <v>250</v>
      </c>
      <c r="DR39" s="26" t="s">
        <v>924</v>
      </c>
      <c r="DS39" s="26"/>
      <c r="DT39" s="26"/>
      <c r="DU39" s="166">
        <v>0</v>
      </c>
      <c r="DV39" s="26"/>
      <c r="DX39" s="167">
        <v>35</v>
      </c>
      <c r="DY39" s="26" t="s">
        <v>926</v>
      </c>
      <c r="DZ39" s="26" t="s">
        <v>924</v>
      </c>
      <c r="EA39" s="26"/>
      <c r="EB39" s="26"/>
      <c r="EC39" s="166">
        <v>0</v>
      </c>
      <c r="ED39" s="26">
        <v>1</v>
      </c>
      <c r="EE39" s="26" t="s">
        <v>868</v>
      </c>
      <c r="EF39" s="26">
        <v>250</v>
      </c>
      <c r="EG39" s="33">
        <f t="shared" si="43"/>
        <v>250</v>
      </c>
      <c r="EH39" s="26" t="s">
        <v>924</v>
      </c>
      <c r="EI39" s="26"/>
      <c r="EJ39" s="26"/>
      <c r="EK39" s="166">
        <v>0</v>
      </c>
      <c r="EL39" s="26"/>
      <c r="EN39" s="167">
        <v>35</v>
      </c>
      <c r="EO39" s="26" t="s">
        <v>926</v>
      </c>
      <c r="EP39" s="26" t="s">
        <v>924</v>
      </c>
      <c r="EQ39" s="26"/>
      <c r="ER39" s="26"/>
      <c r="ES39" s="166"/>
      <c r="ET39" s="26">
        <v>1</v>
      </c>
      <c r="EU39" s="26" t="s">
        <v>868</v>
      </c>
      <c r="EV39" s="26">
        <v>250</v>
      </c>
      <c r="EW39" s="33">
        <f t="shared" si="48"/>
        <v>250</v>
      </c>
      <c r="EX39" s="26" t="s">
        <v>924</v>
      </c>
      <c r="EY39" s="26"/>
      <c r="EZ39" s="26"/>
      <c r="FA39" s="166"/>
      <c r="FB39" s="26"/>
    </row>
    <row r="40" spans="1:158" ht="15.75" customHeight="1" x14ac:dyDescent="0.3">
      <c r="A40" s="26">
        <v>36</v>
      </c>
      <c r="B40" s="26" t="s">
        <v>925</v>
      </c>
      <c r="C40" s="30">
        <v>2</v>
      </c>
      <c r="D40" s="30" t="s">
        <v>57</v>
      </c>
      <c r="E40" s="30">
        <v>300</v>
      </c>
      <c r="F40" s="159">
        <f t="shared" ref="F40:F47" si="53">C40*E40</f>
        <v>600</v>
      </c>
      <c r="G40" s="30">
        <v>2</v>
      </c>
      <c r="H40" s="30" t="s">
        <v>57</v>
      </c>
      <c r="I40" s="30">
        <v>300</v>
      </c>
      <c r="J40" s="34">
        <f t="shared" si="2"/>
        <v>600</v>
      </c>
      <c r="K40" s="30">
        <v>1</v>
      </c>
      <c r="L40" s="30" t="s">
        <v>57</v>
      </c>
      <c r="M40" s="30">
        <v>300</v>
      </c>
      <c r="N40" s="159">
        <f t="shared" ref="N40:N47" si="54">K40*M40</f>
        <v>300</v>
      </c>
      <c r="O40" s="30">
        <v>300</v>
      </c>
      <c r="Q40" s="26">
        <v>36</v>
      </c>
      <c r="R40" s="26" t="s">
        <v>927</v>
      </c>
      <c r="S40" s="26">
        <v>5</v>
      </c>
      <c r="T40" s="26" t="s">
        <v>57</v>
      </c>
      <c r="U40" s="26">
        <v>36</v>
      </c>
      <c r="V40" s="166">
        <f t="shared" si="51"/>
        <v>180</v>
      </c>
      <c r="W40" s="26">
        <v>6</v>
      </c>
      <c r="X40" s="26" t="s">
        <v>57</v>
      </c>
      <c r="Y40" s="26">
        <v>36</v>
      </c>
      <c r="Z40" s="33">
        <f t="shared" si="7"/>
        <v>216</v>
      </c>
      <c r="AA40" s="26">
        <v>5</v>
      </c>
      <c r="AB40" s="26" t="s">
        <v>57</v>
      </c>
      <c r="AC40" s="26">
        <v>36</v>
      </c>
      <c r="AD40" s="166">
        <f t="shared" si="52"/>
        <v>180</v>
      </c>
      <c r="AE40" s="26">
        <v>36</v>
      </c>
      <c r="AG40" s="167">
        <v>36</v>
      </c>
      <c r="AH40" s="26" t="s">
        <v>925</v>
      </c>
      <c r="AI40" s="26">
        <v>2</v>
      </c>
      <c r="AJ40" s="26" t="s">
        <v>57</v>
      </c>
      <c r="AK40" s="26">
        <v>300</v>
      </c>
      <c r="AL40" s="166">
        <f t="shared" ref="AL40:AL47" si="55">AI40*AK40</f>
        <v>600</v>
      </c>
      <c r="AM40" s="26">
        <v>2</v>
      </c>
      <c r="AN40" s="26" t="s">
        <v>57</v>
      </c>
      <c r="AO40" s="26">
        <v>300</v>
      </c>
      <c r="AP40" s="33">
        <f t="shared" si="12"/>
        <v>600</v>
      </c>
      <c r="AQ40" s="26">
        <v>1</v>
      </c>
      <c r="AR40" s="26" t="s">
        <v>57</v>
      </c>
      <c r="AS40" s="26">
        <v>300</v>
      </c>
      <c r="AT40" s="166">
        <f t="shared" ref="AT40:AT47" si="56">AQ40*AS40</f>
        <v>300</v>
      </c>
      <c r="AU40" s="26">
        <v>300</v>
      </c>
      <c r="AW40" s="167">
        <v>36</v>
      </c>
      <c r="AX40" s="26" t="s">
        <v>925</v>
      </c>
      <c r="AY40" s="26">
        <v>2</v>
      </c>
      <c r="AZ40" s="26" t="s">
        <v>57</v>
      </c>
      <c r="BA40" s="26">
        <v>300</v>
      </c>
      <c r="BB40" s="166">
        <f t="shared" ref="BB40:BB47" si="57">AY40*BA40</f>
        <v>600</v>
      </c>
      <c r="BC40" s="26">
        <v>2</v>
      </c>
      <c r="BD40" s="26" t="s">
        <v>57</v>
      </c>
      <c r="BE40" s="26">
        <v>300</v>
      </c>
      <c r="BF40" s="33">
        <f t="shared" si="17"/>
        <v>600</v>
      </c>
      <c r="BG40" s="26">
        <v>1</v>
      </c>
      <c r="BH40" s="26" t="s">
        <v>57</v>
      </c>
      <c r="BI40" s="26">
        <v>300</v>
      </c>
      <c r="BJ40" s="166">
        <f t="shared" ref="BJ40:BJ47" si="58">BG40*BI40</f>
        <v>300</v>
      </c>
      <c r="BK40" s="26">
        <v>300</v>
      </c>
      <c r="BM40" s="167">
        <v>36</v>
      </c>
      <c r="BN40" s="26" t="s">
        <v>925</v>
      </c>
      <c r="BO40" s="26">
        <v>2</v>
      </c>
      <c r="BP40" s="26" t="s">
        <v>57</v>
      </c>
      <c r="BQ40" s="26">
        <v>300</v>
      </c>
      <c r="BR40" s="166">
        <f t="shared" ref="BR40:BR47" si="59">BO40*BQ40</f>
        <v>600</v>
      </c>
      <c r="BS40" s="26">
        <v>2</v>
      </c>
      <c r="BT40" s="26" t="s">
        <v>57</v>
      </c>
      <c r="BU40" s="26">
        <v>300</v>
      </c>
      <c r="BV40" s="33">
        <f t="shared" si="22"/>
        <v>600</v>
      </c>
      <c r="BW40" s="26">
        <v>1</v>
      </c>
      <c r="BX40" s="26" t="s">
        <v>57</v>
      </c>
      <c r="BY40" s="26">
        <v>300</v>
      </c>
      <c r="BZ40" s="166">
        <f t="shared" ref="BZ40:BZ47" si="60">BW40*BY40</f>
        <v>300</v>
      </c>
      <c r="CA40" s="26">
        <v>300</v>
      </c>
      <c r="CC40" s="167">
        <v>36</v>
      </c>
      <c r="CD40" s="26" t="s">
        <v>925</v>
      </c>
      <c r="CE40" s="26">
        <v>2</v>
      </c>
      <c r="CF40" s="26" t="s">
        <v>57</v>
      </c>
      <c r="CG40" s="26">
        <v>300</v>
      </c>
      <c r="CH40" s="166">
        <f t="shared" ref="CH40:CH47" si="61">CE40*CG40</f>
        <v>600</v>
      </c>
      <c r="CI40" s="26">
        <v>2</v>
      </c>
      <c r="CJ40" s="26" t="s">
        <v>57</v>
      </c>
      <c r="CK40" s="26">
        <v>300</v>
      </c>
      <c r="CL40" s="33">
        <f t="shared" si="27"/>
        <v>600</v>
      </c>
      <c r="CM40" s="26">
        <v>1</v>
      </c>
      <c r="CN40" s="26" t="s">
        <v>57</v>
      </c>
      <c r="CO40" s="26">
        <v>300</v>
      </c>
      <c r="CP40" s="166">
        <f t="shared" ref="CP40:CP47" si="62">CM40*CO40</f>
        <v>300</v>
      </c>
      <c r="CQ40" s="26">
        <v>300</v>
      </c>
      <c r="CS40" s="167">
        <v>36</v>
      </c>
      <c r="CT40" s="26" t="s">
        <v>925</v>
      </c>
      <c r="CU40" s="26">
        <v>2</v>
      </c>
      <c r="CV40" s="26" t="s">
        <v>57</v>
      </c>
      <c r="CW40" s="26">
        <v>300</v>
      </c>
      <c r="CX40" s="166">
        <f t="shared" ref="CX40:CX47" si="63">CU40*CW40</f>
        <v>600</v>
      </c>
      <c r="CY40" s="26">
        <v>2</v>
      </c>
      <c r="CZ40" s="26" t="s">
        <v>57</v>
      </c>
      <c r="DA40" s="26">
        <v>300</v>
      </c>
      <c r="DB40" s="33">
        <f t="shared" si="32"/>
        <v>600</v>
      </c>
      <c r="DC40" s="26">
        <v>1</v>
      </c>
      <c r="DD40" s="26" t="s">
        <v>57</v>
      </c>
      <c r="DE40" s="26">
        <v>300</v>
      </c>
      <c r="DF40" s="166">
        <f t="shared" ref="DF40:DF47" si="64">DC40*DE40</f>
        <v>300</v>
      </c>
      <c r="DG40" s="26">
        <f t="shared" si="35"/>
        <v>0</v>
      </c>
      <c r="DH40" s="167">
        <v>36</v>
      </c>
      <c r="DI40" s="26" t="s">
        <v>928</v>
      </c>
      <c r="DJ40" s="26">
        <v>2</v>
      </c>
      <c r="DK40" s="26" t="s">
        <v>57</v>
      </c>
      <c r="DL40" s="168">
        <v>800</v>
      </c>
      <c r="DM40" s="166">
        <f t="shared" ref="DM40:DM47" si="65">DJ40*DL40</f>
        <v>1600</v>
      </c>
      <c r="DN40" s="26">
        <v>2</v>
      </c>
      <c r="DO40" s="26" t="s">
        <v>57</v>
      </c>
      <c r="DP40" s="26">
        <v>600</v>
      </c>
      <c r="DQ40" s="33">
        <f t="shared" si="38"/>
        <v>1200</v>
      </c>
      <c r="DR40" s="26">
        <v>1</v>
      </c>
      <c r="DS40" s="26" t="s">
        <v>57</v>
      </c>
      <c r="DT40" s="26">
        <v>600</v>
      </c>
      <c r="DU40" s="166">
        <f t="shared" ref="DU40:DU47" si="66">DR40*DT40</f>
        <v>600</v>
      </c>
      <c r="DV40" s="26">
        <v>600</v>
      </c>
      <c r="DX40" s="167">
        <v>36</v>
      </c>
      <c r="DY40" s="26" t="s">
        <v>928</v>
      </c>
      <c r="DZ40" s="26">
        <v>2</v>
      </c>
      <c r="EA40" s="26" t="s">
        <v>57</v>
      </c>
      <c r="EB40" s="168">
        <v>800</v>
      </c>
      <c r="EC40" s="166">
        <f t="shared" ref="EC40:EC47" si="67">DZ40*EB40</f>
        <v>1600</v>
      </c>
      <c r="ED40" s="26">
        <v>2</v>
      </c>
      <c r="EE40" s="26" t="s">
        <v>57</v>
      </c>
      <c r="EF40" s="26">
        <v>600</v>
      </c>
      <c r="EG40" s="33">
        <f t="shared" si="43"/>
        <v>1200</v>
      </c>
      <c r="EH40" s="26">
        <v>1</v>
      </c>
      <c r="EI40" s="26" t="s">
        <v>57</v>
      </c>
      <c r="EJ40" s="26">
        <v>600</v>
      </c>
      <c r="EK40" s="166">
        <f t="shared" ref="EK40:EK47" si="68">EH40*EJ40</f>
        <v>600</v>
      </c>
      <c r="EL40" s="26">
        <v>600</v>
      </c>
      <c r="EN40" s="167">
        <v>36</v>
      </c>
      <c r="EO40" s="26" t="s">
        <v>928</v>
      </c>
      <c r="EP40" s="26">
        <v>2</v>
      </c>
      <c r="EQ40" s="26" t="s">
        <v>57</v>
      </c>
      <c r="ER40" s="168">
        <v>800</v>
      </c>
      <c r="ES40" s="166">
        <f t="shared" ref="ES40:ES47" si="69">EP40*ER40</f>
        <v>1600</v>
      </c>
      <c r="ET40" s="26">
        <v>2</v>
      </c>
      <c r="EU40" s="26" t="s">
        <v>57</v>
      </c>
      <c r="EV40" s="26">
        <v>600</v>
      </c>
      <c r="EW40" s="33">
        <f t="shared" si="48"/>
        <v>1200</v>
      </c>
      <c r="EX40" s="26">
        <v>1</v>
      </c>
      <c r="EY40" s="26" t="s">
        <v>57</v>
      </c>
      <c r="EZ40" s="26">
        <v>600</v>
      </c>
      <c r="FA40" s="166">
        <f t="shared" ref="FA40:FA47" si="70">EX40*EZ40</f>
        <v>600</v>
      </c>
      <c r="FB40" s="26">
        <v>600</v>
      </c>
    </row>
    <row r="41" spans="1:158" ht="15.75" customHeight="1" x14ac:dyDescent="0.3">
      <c r="A41" s="26">
        <v>37</v>
      </c>
      <c r="B41" s="26" t="s">
        <v>927</v>
      </c>
      <c r="C41" s="30">
        <v>5</v>
      </c>
      <c r="D41" s="30" t="s">
        <v>57</v>
      </c>
      <c r="E41" s="30">
        <v>37</v>
      </c>
      <c r="F41" s="159">
        <f t="shared" si="53"/>
        <v>185</v>
      </c>
      <c r="G41" s="30">
        <v>6</v>
      </c>
      <c r="H41" s="30" t="s">
        <v>57</v>
      </c>
      <c r="I41" s="30">
        <v>37</v>
      </c>
      <c r="J41" s="34">
        <f t="shared" si="2"/>
        <v>222</v>
      </c>
      <c r="K41" s="30">
        <v>5</v>
      </c>
      <c r="L41" s="30" t="s">
        <v>57</v>
      </c>
      <c r="M41" s="30">
        <v>37</v>
      </c>
      <c r="N41" s="159">
        <f t="shared" si="54"/>
        <v>185</v>
      </c>
      <c r="O41" s="30">
        <v>37</v>
      </c>
      <c r="Q41" s="26">
        <v>37</v>
      </c>
      <c r="R41" s="26" t="s">
        <v>929</v>
      </c>
      <c r="S41" s="26">
        <v>2</v>
      </c>
      <c r="T41" s="26" t="s">
        <v>806</v>
      </c>
      <c r="U41" s="26">
        <v>100</v>
      </c>
      <c r="V41" s="166">
        <f t="shared" si="51"/>
        <v>200</v>
      </c>
      <c r="W41" s="26">
        <v>1.5</v>
      </c>
      <c r="X41" s="26" t="s">
        <v>806</v>
      </c>
      <c r="Y41" s="26">
        <v>100</v>
      </c>
      <c r="Z41" s="33">
        <f t="shared" si="7"/>
        <v>150</v>
      </c>
      <c r="AA41" s="26">
        <v>2</v>
      </c>
      <c r="AB41" s="26" t="s">
        <v>806</v>
      </c>
      <c r="AC41" s="26">
        <v>100</v>
      </c>
      <c r="AD41" s="166">
        <f t="shared" si="52"/>
        <v>200</v>
      </c>
      <c r="AE41" s="26">
        <v>100</v>
      </c>
      <c r="AG41" s="167">
        <v>37</v>
      </c>
      <c r="AH41" s="26" t="s">
        <v>927</v>
      </c>
      <c r="AI41" s="26">
        <v>5</v>
      </c>
      <c r="AJ41" s="26" t="s">
        <v>57</v>
      </c>
      <c r="AK41" s="26">
        <v>36</v>
      </c>
      <c r="AL41" s="166">
        <f t="shared" si="55"/>
        <v>180</v>
      </c>
      <c r="AM41" s="26">
        <v>6</v>
      </c>
      <c r="AN41" s="26" t="s">
        <v>57</v>
      </c>
      <c r="AO41" s="26">
        <v>36</v>
      </c>
      <c r="AP41" s="33">
        <f t="shared" si="12"/>
        <v>216</v>
      </c>
      <c r="AQ41" s="26">
        <v>5</v>
      </c>
      <c r="AR41" s="26" t="s">
        <v>57</v>
      </c>
      <c r="AS41" s="26">
        <v>36</v>
      </c>
      <c r="AT41" s="166">
        <f t="shared" si="56"/>
        <v>180</v>
      </c>
      <c r="AU41" s="26">
        <v>36</v>
      </c>
      <c r="AW41" s="167">
        <v>37</v>
      </c>
      <c r="AX41" s="26" t="s">
        <v>927</v>
      </c>
      <c r="AY41" s="26">
        <v>5</v>
      </c>
      <c r="AZ41" s="26" t="s">
        <v>57</v>
      </c>
      <c r="BA41" s="26">
        <v>36</v>
      </c>
      <c r="BB41" s="166">
        <f t="shared" si="57"/>
        <v>180</v>
      </c>
      <c r="BC41" s="26">
        <v>6</v>
      </c>
      <c r="BD41" s="26" t="s">
        <v>57</v>
      </c>
      <c r="BE41" s="26">
        <v>36</v>
      </c>
      <c r="BF41" s="33">
        <f t="shared" si="17"/>
        <v>216</v>
      </c>
      <c r="BG41" s="26">
        <v>5</v>
      </c>
      <c r="BH41" s="26" t="s">
        <v>57</v>
      </c>
      <c r="BI41" s="26">
        <v>36</v>
      </c>
      <c r="BJ41" s="166">
        <f t="shared" si="58"/>
        <v>180</v>
      </c>
      <c r="BK41" s="26">
        <v>36</v>
      </c>
      <c r="BM41" s="167">
        <v>37</v>
      </c>
      <c r="BN41" s="26" t="s">
        <v>927</v>
      </c>
      <c r="BO41" s="26">
        <v>5</v>
      </c>
      <c r="BP41" s="26" t="s">
        <v>57</v>
      </c>
      <c r="BQ41" s="26">
        <v>36</v>
      </c>
      <c r="BR41" s="166">
        <f t="shared" si="59"/>
        <v>180</v>
      </c>
      <c r="BS41" s="26">
        <v>6</v>
      </c>
      <c r="BT41" s="26" t="s">
        <v>57</v>
      </c>
      <c r="BU41" s="26">
        <v>36</v>
      </c>
      <c r="BV41" s="33">
        <f t="shared" si="22"/>
        <v>216</v>
      </c>
      <c r="BW41" s="26">
        <v>5</v>
      </c>
      <c r="BX41" s="26" t="s">
        <v>57</v>
      </c>
      <c r="BY41" s="26">
        <v>36</v>
      </c>
      <c r="BZ41" s="166">
        <f t="shared" si="60"/>
        <v>180</v>
      </c>
      <c r="CA41" s="26">
        <v>36</v>
      </c>
      <c r="CC41" s="167">
        <v>37</v>
      </c>
      <c r="CD41" s="26" t="s">
        <v>927</v>
      </c>
      <c r="CE41" s="26">
        <v>5</v>
      </c>
      <c r="CF41" s="26" t="s">
        <v>57</v>
      </c>
      <c r="CG41" s="26">
        <v>36</v>
      </c>
      <c r="CH41" s="166">
        <f t="shared" si="61"/>
        <v>180</v>
      </c>
      <c r="CI41" s="26">
        <v>6</v>
      </c>
      <c r="CJ41" s="26" t="s">
        <v>57</v>
      </c>
      <c r="CK41" s="26">
        <v>36</v>
      </c>
      <c r="CL41" s="33">
        <f t="shared" si="27"/>
        <v>216</v>
      </c>
      <c r="CM41" s="26">
        <v>5</v>
      </c>
      <c r="CN41" s="26" t="s">
        <v>57</v>
      </c>
      <c r="CO41" s="26">
        <v>36</v>
      </c>
      <c r="CP41" s="166">
        <f t="shared" si="62"/>
        <v>180</v>
      </c>
      <c r="CQ41" s="26">
        <v>36</v>
      </c>
      <c r="CS41" s="167">
        <v>37</v>
      </c>
      <c r="CT41" s="26" t="s">
        <v>927</v>
      </c>
      <c r="CU41" s="26">
        <v>5</v>
      </c>
      <c r="CV41" s="26" t="s">
        <v>57</v>
      </c>
      <c r="CW41" s="26">
        <v>36</v>
      </c>
      <c r="CX41" s="166">
        <f t="shared" si="63"/>
        <v>180</v>
      </c>
      <c r="CY41" s="26">
        <v>6</v>
      </c>
      <c r="CZ41" s="26" t="s">
        <v>57</v>
      </c>
      <c r="DA41" s="26">
        <v>36</v>
      </c>
      <c r="DB41" s="33">
        <f t="shared" si="32"/>
        <v>216</v>
      </c>
      <c r="DC41" s="26">
        <v>5</v>
      </c>
      <c r="DD41" s="26" t="s">
        <v>57</v>
      </c>
      <c r="DE41" s="26">
        <v>36</v>
      </c>
      <c r="DF41" s="166">
        <f t="shared" si="64"/>
        <v>180</v>
      </c>
      <c r="DG41" s="26">
        <f t="shared" si="35"/>
        <v>0</v>
      </c>
      <c r="DH41" s="167">
        <v>37</v>
      </c>
      <c r="DI41" s="26" t="s">
        <v>927</v>
      </c>
      <c r="DJ41" s="26">
        <v>5</v>
      </c>
      <c r="DK41" s="26" t="s">
        <v>57</v>
      </c>
      <c r="DL41" s="26">
        <v>36</v>
      </c>
      <c r="DM41" s="166">
        <f t="shared" si="65"/>
        <v>180</v>
      </c>
      <c r="DN41" s="26">
        <v>6</v>
      </c>
      <c r="DO41" s="26" t="s">
        <v>57</v>
      </c>
      <c r="DP41" s="26">
        <v>36</v>
      </c>
      <c r="DQ41" s="33">
        <f t="shared" si="38"/>
        <v>216</v>
      </c>
      <c r="DR41" s="26">
        <v>5</v>
      </c>
      <c r="DS41" s="26" t="s">
        <v>57</v>
      </c>
      <c r="DT41" s="26">
        <v>36</v>
      </c>
      <c r="DU41" s="166">
        <f t="shared" si="66"/>
        <v>180</v>
      </c>
      <c r="DV41" s="26">
        <v>36</v>
      </c>
      <c r="DX41" s="167">
        <v>37</v>
      </c>
      <c r="DY41" s="26" t="s">
        <v>927</v>
      </c>
      <c r="DZ41" s="26">
        <v>5</v>
      </c>
      <c r="EA41" s="26" t="s">
        <v>57</v>
      </c>
      <c r="EB41" s="26">
        <v>36</v>
      </c>
      <c r="EC41" s="166">
        <f t="shared" si="67"/>
        <v>180</v>
      </c>
      <c r="ED41" s="26">
        <v>6</v>
      </c>
      <c r="EE41" s="26" t="s">
        <v>57</v>
      </c>
      <c r="EF41" s="26">
        <v>36</v>
      </c>
      <c r="EG41" s="33">
        <f t="shared" si="43"/>
        <v>216</v>
      </c>
      <c r="EH41" s="26">
        <v>5</v>
      </c>
      <c r="EI41" s="26" t="s">
        <v>57</v>
      </c>
      <c r="EJ41" s="26">
        <v>36</v>
      </c>
      <c r="EK41" s="166">
        <f t="shared" si="68"/>
        <v>180</v>
      </c>
      <c r="EL41" s="26">
        <v>36</v>
      </c>
      <c r="EN41" s="167">
        <v>37</v>
      </c>
      <c r="EO41" s="26" t="s">
        <v>927</v>
      </c>
      <c r="EP41" s="26">
        <v>5</v>
      </c>
      <c r="EQ41" s="26" t="s">
        <v>57</v>
      </c>
      <c r="ER41" s="26">
        <v>36</v>
      </c>
      <c r="ES41" s="166">
        <f t="shared" si="69"/>
        <v>180</v>
      </c>
      <c r="ET41" s="26">
        <v>6</v>
      </c>
      <c r="EU41" s="26" t="s">
        <v>57</v>
      </c>
      <c r="EV41" s="26">
        <v>36</v>
      </c>
      <c r="EW41" s="33">
        <f t="shared" si="48"/>
        <v>216</v>
      </c>
      <c r="EX41" s="26">
        <v>5</v>
      </c>
      <c r="EY41" s="26" t="s">
        <v>57</v>
      </c>
      <c r="EZ41" s="26">
        <v>36</v>
      </c>
      <c r="FA41" s="166">
        <f t="shared" si="70"/>
        <v>180</v>
      </c>
      <c r="FB41" s="26">
        <v>36</v>
      </c>
    </row>
    <row r="42" spans="1:158" ht="15.75" customHeight="1" x14ac:dyDescent="0.3">
      <c r="A42" s="26">
        <v>38</v>
      </c>
      <c r="B42" s="26" t="s">
        <v>929</v>
      </c>
      <c r="C42" s="30">
        <v>2</v>
      </c>
      <c r="D42" s="30" t="s">
        <v>806</v>
      </c>
      <c r="E42" s="30">
        <v>100</v>
      </c>
      <c r="F42" s="159">
        <f t="shared" si="53"/>
        <v>200</v>
      </c>
      <c r="G42" s="30">
        <v>1.5</v>
      </c>
      <c r="H42" s="30" t="s">
        <v>806</v>
      </c>
      <c r="I42" s="30">
        <v>100</v>
      </c>
      <c r="J42" s="34">
        <f t="shared" si="2"/>
        <v>150</v>
      </c>
      <c r="K42" s="30">
        <v>2</v>
      </c>
      <c r="L42" s="30" t="s">
        <v>806</v>
      </c>
      <c r="M42" s="30">
        <v>100</v>
      </c>
      <c r="N42" s="159">
        <f t="shared" si="54"/>
        <v>200</v>
      </c>
      <c r="O42" s="30">
        <v>100</v>
      </c>
      <c r="Q42" s="26">
        <v>38</v>
      </c>
      <c r="R42" s="26" t="s">
        <v>930</v>
      </c>
      <c r="S42" s="26">
        <v>1</v>
      </c>
      <c r="T42" s="26" t="s">
        <v>931</v>
      </c>
      <c r="U42" s="26">
        <v>150</v>
      </c>
      <c r="V42" s="166">
        <f t="shared" si="51"/>
        <v>150</v>
      </c>
      <c r="W42" s="26">
        <v>1</v>
      </c>
      <c r="X42" s="26" t="s">
        <v>931</v>
      </c>
      <c r="Y42" s="26">
        <v>150</v>
      </c>
      <c r="Z42" s="33">
        <f t="shared" si="7"/>
        <v>150</v>
      </c>
      <c r="AA42" s="26">
        <v>1</v>
      </c>
      <c r="AB42" s="26" t="s">
        <v>931</v>
      </c>
      <c r="AC42" s="26">
        <v>150</v>
      </c>
      <c r="AD42" s="166">
        <f t="shared" si="52"/>
        <v>150</v>
      </c>
      <c r="AE42" s="26">
        <v>150</v>
      </c>
      <c r="AG42" s="167">
        <v>38</v>
      </c>
      <c r="AH42" s="26" t="s">
        <v>929</v>
      </c>
      <c r="AI42" s="26">
        <v>2</v>
      </c>
      <c r="AJ42" s="26" t="s">
        <v>806</v>
      </c>
      <c r="AK42" s="26">
        <v>100</v>
      </c>
      <c r="AL42" s="166">
        <f t="shared" si="55"/>
        <v>200</v>
      </c>
      <c r="AM42" s="26">
        <v>1.5</v>
      </c>
      <c r="AN42" s="26" t="s">
        <v>806</v>
      </c>
      <c r="AO42" s="26">
        <v>100</v>
      </c>
      <c r="AP42" s="33">
        <f t="shared" si="12"/>
        <v>150</v>
      </c>
      <c r="AQ42" s="26">
        <v>2</v>
      </c>
      <c r="AR42" s="26" t="s">
        <v>806</v>
      </c>
      <c r="AS42" s="26">
        <v>100</v>
      </c>
      <c r="AT42" s="166">
        <f t="shared" si="56"/>
        <v>200</v>
      </c>
      <c r="AU42" s="26">
        <v>100</v>
      </c>
      <c r="AW42" s="167">
        <v>38</v>
      </c>
      <c r="AX42" s="26" t="s">
        <v>929</v>
      </c>
      <c r="AY42" s="26">
        <v>2</v>
      </c>
      <c r="AZ42" s="26" t="s">
        <v>806</v>
      </c>
      <c r="BA42" s="26">
        <v>100</v>
      </c>
      <c r="BB42" s="166">
        <f t="shared" si="57"/>
        <v>200</v>
      </c>
      <c r="BC42" s="26">
        <v>1.5</v>
      </c>
      <c r="BD42" s="26" t="s">
        <v>806</v>
      </c>
      <c r="BE42" s="26">
        <v>100</v>
      </c>
      <c r="BF42" s="33">
        <f t="shared" si="17"/>
        <v>150</v>
      </c>
      <c r="BG42" s="26">
        <v>2</v>
      </c>
      <c r="BH42" s="26" t="s">
        <v>806</v>
      </c>
      <c r="BI42" s="26">
        <v>100</v>
      </c>
      <c r="BJ42" s="166">
        <f t="shared" si="58"/>
        <v>200</v>
      </c>
      <c r="BK42" s="26">
        <v>100</v>
      </c>
      <c r="BM42" s="167">
        <v>38</v>
      </c>
      <c r="BN42" s="26" t="s">
        <v>929</v>
      </c>
      <c r="BO42" s="26">
        <v>2</v>
      </c>
      <c r="BP42" s="26" t="s">
        <v>806</v>
      </c>
      <c r="BQ42" s="26">
        <v>100</v>
      </c>
      <c r="BR42" s="166">
        <f t="shared" si="59"/>
        <v>200</v>
      </c>
      <c r="BS42" s="26">
        <v>1.5</v>
      </c>
      <c r="BT42" s="26" t="s">
        <v>806</v>
      </c>
      <c r="BU42" s="26">
        <v>100</v>
      </c>
      <c r="BV42" s="33">
        <f t="shared" si="22"/>
        <v>150</v>
      </c>
      <c r="BW42" s="26">
        <v>2</v>
      </c>
      <c r="BX42" s="26" t="s">
        <v>806</v>
      </c>
      <c r="BY42" s="26">
        <v>80</v>
      </c>
      <c r="BZ42" s="166">
        <f t="shared" si="60"/>
        <v>160</v>
      </c>
      <c r="CA42" s="26">
        <v>100</v>
      </c>
      <c r="CC42" s="167">
        <v>38</v>
      </c>
      <c r="CD42" s="26" t="s">
        <v>929</v>
      </c>
      <c r="CE42" s="26">
        <v>2</v>
      </c>
      <c r="CF42" s="26" t="s">
        <v>806</v>
      </c>
      <c r="CG42" s="26">
        <v>100</v>
      </c>
      <c r="CH42" s="166">
        <f t="shared" si="61"/>
        <v>200</v>
      </c>
      <c r="CI42" s="26">
        <v>1.5</v>
      </c>
      <c r="CJ42" s="26" t="s">
        <v>806</v>
      </c>
      <c r="CK42" s="26">
        <v>100</v>
      </c>
      <c r="CL42" s="33">
        <f t="shared" si="27"/>
        <v>150</v>
      </c>
      <c r="CM42" s="26">
        <v>2</v>
      </c>
      <c r="CN42" s="26" t="s">
        <v>806</v>
      </c>
      <c r="CO42" s="26">
        <v>100</v>
      </c>
      <c r="CP42" s="166">
        <f t="shared" si="62"/>
        <v>200</v>
      </c>
      <c r="CQ42" s="26">
        <v>100</v>
      </c>
      <c r="CS42" s="167">
        <v>38</v>
      </c>
      <c r="CT42" s="26" t="s">
        <v>929</v>
      </c>
      <c r="CU42" s="26">
        <v>2</v>
      </c>
      <c r="CV42" s="26" t="s">
        <v>806</v>
      </c>
      <c r="CW42" s="26">
        <v>100</v>
      </c>
      <c r="CX42" s="166">
        <f t="shared" si="63"/>
        <v>200</v>
      </c>
      <c r="CY42" s="26">
        <v>1.5</v>
      </c>
      <c r="CZ42" s="26" t="s">
        <v>806</v>
      </c>
      <c r="DA42" s="26">
        <v>100</v>
      </c>
      <c r="DB42" s="33">
        <f t="shared" si="32"/>
        <v>150</v>
      </c>
      <c r="DC42" s="26">
        <v>2</v>
      </c>
      <c r="DD42" s="26" t="s">
        <v>806</v>
      </c>
      <c r="DE42" s="26">
        <v>100</v>
      </c>
      <c r="DF42" s="166">
        <f t="shared" si="64"/>
        <v>200</v>
      </c>
      <c r="DG42" s="26">
        <f t="shared" si="35"/>
        <v>0</v>
      </c>
      <c r="DH42" s="167">
        <v>38</v>
      </c>
      <c r="DI42" s="26" t="s">
        <v>932</v>
      </c>
      <c r="DJ42" s="26">
        <v>3.5</v>
      </c>
      <c r="DK42" s="26" t="s">
        <v>806</v>
      </c>
      <c r="DL42" s="26">
        <v>100</v>
      </c>
      <c r="DM42" s="166">
        <f t="shared" si="65"/>
        <v>350</v>
      </c>
      <c r="DN42" s="26">
        <v>3.5</v>
      </c>
      <c r="DO42" s="26" t="s">
        <v>806</v>
      </c>
      <c r="DP42" s="26">
        <v>100</v>
      </c>
      <c r="DQ42" s="33">
        <f t="shared" si="38"/>
        <v>350</v>
      </c>
      <c r="DR42" s="26">
        <v>3.5</v>
      </c>
      <c r="DS42" s="26" t="s">
        <v>806</v>
      </c>
      <c r="DT42" s="26">
        <v>100</v>
      </c>
      <c r="DU42" s="166">
        <f t="shared" si="66"/>
        <v>350</v>
      </c>
      <c r="DV42" s="26">
        <v>100</v>
      </c>
      <c r="DX42" s="167">
        <v>38</v>
      </c>
      <c r="DY42" s="26" t="s">
        <v>932</v>
      </c>
      <c r="DZ42" s="26">
        <v>3.5</v>
      </c>
      <c r="EA42" s="26" t="s">
        <v>806</v>
      </c>
      <c r="EB42" s="26">
        <v>100</v>
      </c>
      <c r="EC42" s="166">
        <f t="shared" si="67"/>
        <v>350</v>
      </c>
      <c r="ED42" s="26">
        <v>3.5</v>
      </c>
      <c r="EE42" s="26" t="s">
        <v>806</v>
      </c>
      <c r="EF42" s="26">
        <v>100</v>
      </c>
      <c r="EG42" s="33">
        <f t="shared" si="43"/>
        <v>350</v>
      </c>
      <c r="EH42" s="26">
        <v>3.5</v>
      </c>
      <c r="EI42" s="26" t="s">
        <v>806</v>
      </c>
      <c r="EJ42" s="26">
        <v>100</v>
      </c>
      <c r="EK42" s="166">
        <f t="shared" si="68"/>
        <v>350</v>
      </c>
      <c r="EL42" s="26">
        <v>100</v>
      </c>
      <c r="EN42" s="167">
        <v>38</v>
      </c>
      <c r="EO42" s="26" t="s">
        <v>932</v>
      </c>
      <c r="EP42" s="26">
        <v>3.5</v>
      </c>
      <c r="EQ42" s="26" t="s">
        <v>806</v>
      </c>
      <c r="ER42" s="26">
        <v>100</v>
      </c>
      <c r="ES42" s="166">
        <f t="shared" si="69"/>
        <v>350</v>
      </c>
      <c r="ET42" s="26">
        <v>3.5</v>
      </c>
      <c r="EU42" s="26" t="s">
        <v>806</v>
      </c>
      <c r="EV42" s="26">
        <v>100</v>
      </c>
      <c r="EW42" s="33">
        <f t="shared" si="48"/>
        <v>350</v>
      </c>
      <c r="EX42" s="26">
        <v>3.5</v>
      </c>
      <c r="EY42" s="26" t="s">
        <v>806</v>
      </c>
      <c r="EZ42" s="26">
        <v>100</v>
      </c>
      <c r="FA42" s="166">
        <f t="shared" si="70"/>
        <v>350</v>
      </c>
      <c r="FB42" s="26">
        <v>100</v>
      </c>
    </row>
    <row r="43" spans="1:158" ht="15.75" customHeight="1" x14ac:dyDescent="0.3">
      <c r="A43" s="26">
        <v>39</v>
      </c>
      <c r="B43" s="26" t="s">
        <v>930</v>
      </c>
      <c r="C43" s="30">
        <v>1</v>
      </c>
      <c r="D43" s="30" t="s">
        <v>931</v>
      </c>
      <c r="E43" s="30">
        <v>150</v>
      </c>
      <c r="F43" s="159">
        <f t="shared" si="53"/>
        <v>150</v>
      </c>
      <c r="G43" s="30">
        <v>1</v>
      </c>
      <c r="H43" s="30" t="s">
        <v>931</v>
      </c>
      <c r="I43" s="30">
        <v>150</v>
      </c>
      <c r="J43" s="34">
        <f t="shared" si="2"/>
        <v>150</v>
      </c>
      <c r="K43" s="30">
        <v>1</v>
      </c>
      <c r="L43" s="30" t="s">
        <v>931</v>
      </c>
      <c r="M43" s="30">
        <v>150</v>
      </c>
      <c r="N43" s="159">
        <f t="shared" si="54"/>
        <v>150</v>
      </c>
      <c r="O43" s="30">
        <v>150</v>
      </c>
      <c r="Q43" s="26">
        <v>39</v>
      </c>
      <c r="R43" s="26" t="s">
        <v>933</v>
      </c>
      <c r="S43" s="26">
        <v>0.5</v>
      </c>
      <c r="T43" s="26" t="s">
        <v>934</v>
      </c>
      <c r="U43" s="26">
        <v>250</v>
      </c>
      <c r="V43" s="166">
        <f t="shared" si="51"/>
        <v>125</v>
      </c>
      <c r="W43" s="26">
        <v>1</v>
      </c>
      <c r="X43" s="26" t="s">
        <v>931</v>
      </c>
      <c r="Y43" s="26">
        <v>250</v>
      </c>
      <c r="Z43" s="33">
        <f t="shared" si="7"/>
        <v>250</v>
      </c>
      <c r="AA43" s="26">
        <v>0.5</v>
      </c>
      <c r="AB43" s="26" t="s">
        <v>934</v>
      </c>
      <c r="AC43" s="26">
        <v>250</v>
      </c>
      <c r="AD43" s="166">
        <f t="shared" si="52"/>
        <v>125</v>
      </c>
      <c r="AE43" s="26">
        <v>250</v>
      </c>
      <c r="AG43" s="167">
        <v>39</v>
      </c>
      <c r="AH43" s="26" t="s">
        <v>930</v>
      </c>
      <c r="AI43" s="26">
        <v>1</v>
      </c>
      <c r="AJ43" s="26" t="s">
        <v>931</v>
      </c>
      <c r="AK43" s="26">
        <v>150</v>
      </c>
      <c r="AL43" s="166">
        <f t="shared" si="55"/>
        <v>150</v>
      </c>
      <c r="AM43" s="26">
        <v>1</v>
      </c>
      <c r="AN43" s="26" t="s">
        <v>931</v>
      </c>
      <c r="AO43" s="26">
        <v>150</v>
      </c>
      <c r="AP43" s="33">
        <f t="shared" si="12"/>
        <v>150</v>
      </c>
      <c r="AQ43" s="26">
        <v>1</v>
      </c>
      <c r="AR43" s="26" t="s">
        <v>931</v>
      </c>
      <c r="AS43" s="26">
        <v>150</v>
      </c>
      <c r="AT43" s="166">
        <f t="shared" si="56"/>
        <v>150</v>
      </c>
      <c r="AU43" s="26">
        <v>150</v>
      </c>
      <c r="AW43" s="167">
        <v>39</v>
      </c>
      <c r="AX43" s="26" t="s">
        <v>930</v>
      </c>
      <c r="AY43" s="26">
        <v>1</v>
      </c>
      <c r="AZ43" s="26" t="s">
        <v>931</v>
      </c>
      <c r="BA43" s="26">
        <v>150</v>
      </c>
      <c r="BB43" s="166">
        <f t="shared" si="57"/>
        <v>150</v>
      </c>
      <c r="BC43" s="26">
        <v>1</v>
      </c>
      <c r="BD43" s="26" t="s">
        <v>931</v>
      </c>
      <c r="BE43" s="26">
        <v>150</v>
      </c>
      <c r="BF43" s="33">
        <f t="shared" si="17"/>
        <v>150</v>
      </c>
      <c r="BG43" s="26">
        <v>1</v>
      </c>
      <c r="BH43" s="26" t="s">
        <v>931</v>
      </c>
      <c r="BI43" s="26">
        <v>150</v>
      </c>
      <c r="BJ43" s="166">
        <f t="shared" si="58"/>
        <v>150</v>
      </c>
      <c r="BK43" s="26">
        <v>150</v>
      </c>
      <c r="BM43" s="167">
        <v>39</v>
      </c>
      <c r="BN43" s="26" t="s">
        <v>930</v>
      </c>
      <c r="BO43" s="26">
        <v>1</v>
      </c>
      <c r="BP43" s="26" t="s">
        <v>931</v>
      </c>
      <c r="BQ43" s="26">
        <v>150</v>
      </c>
      <c r="BR43" s="166">
        <f t="shared" si="59"/>
        <v>150</v>
      </c>
      <c r="BS43" s="26">
        <v>1</v>
      </c>
      <c r="BT43" s="26" t="s">
        <v>931</v>
      </c>
      <c r="BU43" s="26">
        <v>150</v>
      </c>
      <c r="BV43" s="33">
        <f t="shared" si="22"/>
        <v>150</v>
      </c>
      <c r="BW43" s="26">
        <v>1</v>
      </c>
      <c r="BX43" s="26" t="s">
        <v>931</v>
      </c>
      <c r="BY43" s="26">
        <v>150</v>
      </c>
      <c r="BZ43" s="166">
        <f t="shared" si="60"/>
        <v>150</v>
      </c>
      <c r="CA43" s="26">
        <v>150</v>
      </c>
      <c r="CC43" s="167">
        <v>39</v>
      </c>
      <c r="CD43" s="26" t="s">
        <v>930</v>
      </c>
      <c r="CE43" s="26">
        <v>1</v>
      </c>
      <c r="CF43" s="26" t="s">
        <v>931</v>
      </c>
      <c r="CG43" s="26">
        <v>150</v>
      </c>
      <c r="CH43" s="166">
        <f t="shared" si="61"/>
        <v>150</v>
      </c>
      <c r="CI43" s="26">
        <v>1</v>
      </c>
      <c r="CJ43" s="26" t="s">
        <v>931</v>
      </c>
      <c r="CK43" s="26">
        <v>150</v>
      </c>
      <c r="CL43" s="33">
        <f t="shared" si="27"/>
        <v>150</v>
      </c>
      <c r="CM43" s="26">
        <v>1</v>
      </c>
      <c r="CN43" s="26" t="s">
        <v>931</v>
      </c>
      <c r="CO43" s="26">
        <v>150</v>
      </c>
      <c r="CP43" s="166">
        <f t="shared" si="62"/>
        <v>150</v>
      </c>
      <c r="CQ43" s="26">
        <v>150</v>
      </c>
      <c r="CS43" s="167">
        <v>39</v>
      </c>
      <c r="CT43" s="26" t="s">
        <v>930</v>
      </c>
      <c r="CU43" s="26">
        <v>1</v>
      </c>
      <c r="CV43" s="26" t="s">
        <v>931</v>
      </c>
      <c r="CW43" s="26">
        <v>150</v>
      </c>
      <c r="CX43" s="166">
        <f t="shared" si="63"/>
        <v>150</v>
      </c>
      <c r="CY43" s="26">
        <v>1</v>
      </c>
      <c r="CZ43" s="26" t="s">
        <v>931</v>
      </c>
      <c r="DA43" s="26">
        <v>150</v>
      </c>
      <c r="DB43" s="33">
        <f t="shared" si="32"/>
        <v>150</v>
      </c>
      <c r="DC43" s="26">
        <v>1</v>
      </c>
      <c r="DD43" s="26" t="s">
        <v>931</v>
      </c>
      <c r="DE43" s="26">
        <v>150</v>
      </c>
      <c r="DF43" s="166">
        <f t="shared" si="64"/>
        <v>150</v>
      </c>
      <c r="DG43" s="26">
        <f t="shared" si="35"/>
        <v>0</v>
      </c>
      <c r="DH43" s="167">
        <v>39</v>
      </c>
      <c r="DI43" s="26" t="s">
        <v>930</v>
      </c>
      <c r="DJ43" s="26">
        <v>2</v>
      </c>
      <c r="DK43" s="26" t="s">
        <v>931</v>
      </c>
      <c r="DL43" s="26">
        <v>150</v>
      </c>
      <c r="DM43" s="166">
        <f t="shared" si="65"/>
        <v>300</v>
      </c>
      <c r="DN43" s="26">
        <v>2</v>
      </c>
      <c r="DO43" s="26" t="s">
        <v>931</v>
      </c>
      <c r="DP43" s="26">
        <v>150</v>
      </c>
      <c r="DQ43" s="33">
        <f t="shared" si="38"/>
        <v>300</v>
      </c>
      <c r="DR43" s="26">
        <v>2</v>
      </c>
      <c r="DS43" s="26" t="s">
        <v>931</v>
      </c>
      <c r="DT43" s="26">
        <v>150</v>
      </c>
      <c r="DU43" s="166">
        <f t="shared" si="66"/>
        <v>300</v>
      </c>
      <c r="DV43" s="26">
        <v>150</v>
      </c>
      <c r="DX43" s="167">
        <v>39</v>
      </c>
      <c r="DY43" s="26" t="s">
        <v>930</v>
      </c>
      <c r="DZ43" s="26">
        <v>2</v>
      </c>
      <c r="EA43" s="26" t="s">
        <v>931</v>
      </c>
      <c r="EB43" s="26">
        <v>150</v>
      </c>
      <c r="EC43" s="166">
        <f t="shared" si="67"/>
        <v>300</v>
      </c>
      <c r="ED43" s="26">
        <v>2</v>
      </c>
      <c r="EE43" s="26" t="s">
        <v>931</v>
      </c>
      <c r="EF43" s="26">
        <v>150</v>
      </c>
      <c r="EG43" s="33">
        <f t="shared" si="43"/>
        <v>300</v>
      </c>
      <c r="EH43" s="26">
        <v>2</v>
      </c>
      <c r="EI43" s="26" t="s">
        <v>931</v>
      </c>
      <c r="EJ43" s="26">
        <v>150</v>
      </c>
      <c r="EK43" s="166">
        <f t="shared" si="68"/>
        <v>300</v>
      </c>
      <c r="EL43" s="26">
        <v>150</v>
      </c>
      <c r="EN43" s="167">
        <v>39</v>
      </c>
      <c r="EO43" s="26" t="s">
        <v>930</v>
      </c>
      <c r="EP43" s="26">
        <v>2</v>
      </c>
      <c r="EQ43" s="26" t="s">
        <v>931</v>
      </c>
      <c r="ER43" s="26">
        <v>150</v>
      </c>
      <c r="ES43" s="166">
        <f t="shared" si="69"/>
        <v>300</v>
      </c>
      <c r="ET43" s="26">
        <v>2</v>
      </c>
      <c r="EU43" s="26" t="s">
        <v>931</v>
      </c>
      <c r="EV43" s="26">
        <v>150</v>
      </c>
      <c r="EW43" s="33">
        <f t="shared" si="48"/>
        <v>300</v>
      </c>
      <c r="EX43" s="26">
        <v>2</v>
      </c>
      <c r="EY43" s="26" t="s">
        <v>931</v>
      </c>
      <c r="EZ43" s="26">
        <v>150</v>
      </c>
      <c r="FA43" s="166">
        <f t="shared" si="70"/>
        <v>300</v>
      </c>
      <c r="FB43" s="26">
        <v>150</v>
      </c>
    </row>
    <row r="44" spans="1:158" ht="15.75" customHeight="1" x14ac:dyDescent="0.3">
      <c r="A44" s="26">
        <v>40</v>
      </c>
      <c r="B44" s="26" t="s">
        <v>933</v>
      </c>
      <c r="C44" s="30">
        <v>0.5</v>
      </c>
      <c r="D44" s="30" t="s">
        <v>934</v>
      </c>
      <c r="E44" s="30">
        <v>250</v>
      </c>
      <c r="F44" s="159">
        <f t="shared" si="53"/>
        <v>125</v>
      </c>
      <c r="G44" s="30">
        <v>1</v>
      </c>
      <c r="H44" s="30" t="s">
        <v>931</v>
      </c>
      <c r="I44" s="30">
        <v>180</v>
      </c>
      <c r="J44" s="34">
        <f t="shared" si="2"/>
        <v>180</v>
      </c>
      <c r="K44" s="30">
        <v>0.5</v>
      </c>
      <c r="L44" s="30" t="s">
        <v>934</v>
      </c>
      <c r="M44" s="30">
        <v>200</v>
      </c>
      <c r="N44" s="159">
        <f t="shared" si="54"/>
        <v>100</v>
      </c>
      <c r="O44" s="30">
        <v>250</v>
      </c>
      <c r="Q44" s="26">
        <v>40</v>
      </c>
      <c r="R44" s="26" t="s">
        <v>935</v>
      </c>
      <c r="S44" s="26">
        <v>1</v>
      </c>
      <c r="T44" s="26" t="s">
        <v>931</v>
      </c>
      <c r="U44" s="26">
        <v>350</v>
      </c>
      <c r="V44" s="166">
        <f t="shared" si="51"/>
        <v>350</v>
      </c>
      <c r="W44" s="26">
        <v>1</v>
      </c>
      <c r="X44" s="26" t="s">
        <v>931</v>
      </c>
      <c r="Y44" s="26">
        <v>280</v>
      </c>
      <c r="Z44" s="33">
        <f t="shared" si="7"/>
        <v>280</v>
      </c>
      <c r="AA44" s="26">
        <v>1</v>
      </c>
      <c r="AB44" s="26" t="s">
        <v>931</v>
      </c>
      <c r="AC44" s="26">
        <v>280</v>
      </c>
      <c r="AD44" s="166">
        <f t="shared" si="52"/>
        <v>280</v>
      </c>
      <c r="AE44" s="26">
        <v>280</v>
      </c>
      <c r="AG44" s="167">
        <v>40</v>
      </c>
      <c r="AH44" s="26" t="s">
        <v>933</v>
      </c>
      <c r="AI44" s="26">
        <v>0.5</v>
      </c>
      <c r="AJ44" s="26" t="s">
        <v>934</v>
      </c>
      <c r="AK44" s="26">
        <v>250</v>
      </c>
      <c r="AL44" s="166">
        <f t="shared" si="55"/>
        <v>125</v>
      </c>
      <c r="AM44" s="26">
        <v>1</v>
      </c>
      <c r="AN44" s="26" t="s">
        <v>931</v>
      </c>
      <c r="AO44" s="26">
        <v>250</v>
      </c>
      <c r="AP44" s="33">
        <f t="shared" si="12"/>
        <v>250</v>
      </c>
      <c r="AQ44" s="26">
        <v>0.5</v>
      </c>
      <c r="AR44" s="26" t="s">
        <v>934</v>
      </c>
      <c r="AS44" s="26">
        <v>250</v>
      </c>
      <c r="AT44" s="166">
        <f t="shared" si="56"/>
        <v>125</v>
      </c>
      <c r="AU44" s="26">
        <v>250</v>
      </c>
      <c r="AW44" s="167">
        <v>40</v>
      </c>
      <c r="AX44" s="26" t="s">
        <v>933</v>
      </c>
      <c r="AY44" s="26">
        <v>0.5</v>
      </c>
      <c r="AZ44" s="26" t="s">
        <v>934</v>
      </c>
      <c r="BA44" s="26">
        <v>250</v>
      </c>
      <c r="BB44" s="166">
        <f t="shared" si="57"/>
        <v>125</v>
      </c>
      <c r="BC44" s="26">
        <v>1</v>
      </c>
      <c r="BD44" s="26" t="s">
        <v>931</v>
      </c>
      <c r="BE44" s="26">
        <v>250</v>
      </c>
      <c r="BF44" s="33">
        <f t="shared" si="17"/>
        <v>250</v>
      </c>
      <c r="BG44" s="26">
        <v>0.5</v>
      </c>
      <c r="BH44" s="26" t="s">
        <v>934</v>
      </c>
      <c r="BI44" s="26">
        <v>250</v>
      </c>
      <c r="BJ44" s="166">
        <f t="shared" si="58"/>
        <v>125</v>
      </c>
      <c r="BK44" s="26">
        <v>250</v>
      </c>
      <c r="BM44" s="167">
        <v>40</v>
      </c>
      <c r="BN44" s="26" t="s">
        <v>933</v>
      </c>
      <c r="BO44" s="26">
        <v>0.5</v>
      </c>
      <c r="BP44" s="26" t="s">
        <v>934</v>
      </c>
      <c r="BQ44" s="26">
        <v>250</v>
      </c>
      <c r="BR44" s="166">
        <f t="shared" si="59"/>
        <v>125</v>
      </c>
      <c r="BS44" s="26">
        <v>1</v>
      </c>
      <c r="BT44" s="26" t="s">
        <v>931</v>
      </c>
      <c r="BU44" s="26">
        <v>250</v>
      </c>
      <c r="BV44" s="33">
        <f t="shared" si="22"/>
        <v>250</v>
      </c>
      <c r="BW44" s="26">
        <v>0.5</v>
      </c>
      <c r="BX44" s="26" t="s">
        <v>934</v>
      </c>
      <c r="BY44" s="26">
        <v>250</v>
      </c>
      <c r="BZ44" s="166">
        <f t="shared" si="60"/>
        <v>125</v>
      </c>
      <c r="CA44" s="26">
        <v>250</v>
      </c>
      <c r="CC44" s="167">
        <v>40</v>
      </c>
      <c r="CD44" s="26" t="s">
        <v>933</v>
      </c>
      <c r="CE44" s="26">
        <v>0.5</v>
      </c>
      <c r="CF44" s="26" t="s">
        <v>934</v>
      </c>
      <c r="CG44" s="26">
        <v>250</v>
      </c>
      <c r="CH44" s="166">
        <f t="shared" si="61"/>
        <v>125</v>
      </c>
      <c r="CI44" s="26">
        <v>1</v>
      </c>
      <c r="CJ44" s="26" t="s">
        <v>931</v>
      </c>
      <c r="CK44" s="26">
        <v>250</v>
      </c>
      <c r="CL44" s="33">
        <f t="shared" si="27"/>
        <v>250</v>
      </c>
      <c r="CM44" s="26">
        <v>0.5</v>
      </c>
      <c r="CN44" s="26" t="s">
        <v>934</v>
      </c>
      <c r="CO44" s="26">
        <v>250</v>
      </c>
      <c r="CP44" s="166">
        <f t="shared" si="62"/>
        <v>125</v>
      </c>
      <c r="CQ44" s="26">
        <v>250</v>
      </c>
      <c r="CS44" s="167">
        <v>40</v>
      </c>
      <c r="CT44" s="26" t="s">
        <v>933</v>
      </c>
      <c r="CU44" s="26">
        <v>0.5</v>
      </c>
      <c r="CV44" s="26" t="s">
        <v>934</v>
      </c>
      <c r="CW44" s="26">
        <v>250</v>
      </c>
      <c r="CX44" s="166">
        <f t="shared" si="63"/>
        <v>125</v>
      </c>
      <c r="CY44" s="26">
        <v>1</v>
      </c>
      <c r="CZ44" s="26" t="s">
        <v>931</v>
      </c>
      <c r="DA44" s="26">
        <v>250</v>
      </c>
      <c r="DB44" s="33">
        <f t="shared" si="32"/>
        <v>250</v>
      </c>
      <c r="DC44" s="26">
        <v>0.5</v>
      </c>
      <c r="DD44" s="26" t="s">
        <v>934</v>
      </c>
      <c r="DE44" s="26">
        <v>250</v>
      </c>
      <c r="DF44" s="166">
        <f t="shared" si="64"/>
        <v>125</v>
      </c>
      <c r="DG44" s="26">
        <f t="shared" si="35"/>
        <v>0</v>
      </c>
      <c r="DH44" s="167">
        <v>40</v>
      </c>
      <c r="DI44" s="26" t="s">
        <v>933</v>
      </c>
      <c r="DJ44" s="26">
        <v>1</v>
      </c>
      <c r="DK44" s="26" t="s">
        <v>805</v>
      </c>
      <c r="DL44" s="26">
        <v>250</v>
      </c>
      <c r="DM44" s="166">
        <f t="shared" si="65"/>
        <v>250</v>
      </c>
      <c r="DN44" s="26">
        <v>1</v>
      </c>
      <c r="DO44" s="26" t="s">
        <v>931</v>
      </c>
      <c r="DP44" s="26">
        <v>250</v>
      </c>
      <c r="DQ44" s="33">
        <f t="shared" si="38"/>
        <v>250</v>
      </c>
      <c r="DR44" s="26">
        <v>1</v>
      </c>
      <c r="DS44" s="26" t="s">
        <v>805</v>
      </c>
      <c r="DT44" s="26">
        <v>250</v>
      </c>
      <c r="DU44" s="166">
        <f t="shared" si="66"/>
        <v>250</v>
      </c>
      <c r="DV44" s="26">
        <v>250</v>
      </c>
      <c r="DX44" s="167">
        <v>40</v>
      </c>
      <c r="DY44" s="26" t="s">
        <v>933</v>
      </c>
      <c r="DZ44" s="26">
        <v>1</v>
      </c>
      <c r="EA44" s="26" t="s">
        <v>805</v>
      </c>
      <c r="EB44" s="26">
        <v>250</v>
      </c>
      <c r="EC44" s="166">
        <f t="shared" si="67"/>
        <v>250</v>
      </c>
      <c r="ED44" s="26">
        <v>1</v>
      </c>
      <c r="EE44" s="26" t="s">
        <v>931</v>
      </c>
      <c r="EF44" s="26">
        <v>250</v>
      </c>
      <c r="EG44" s="33">
        <f t="shared" si="43"/>
        <v>250</v>
      </c>
      <c r="EH44" s="26">
        <v>1</v>
      </c>
      <c r="EI44" s="26" t="s">
        <v>805</v>
      </c>
      <c r="EJ44" s="26">
        <v>250</v>
      </c>
      <c r="EK44" s="166">
        <f t="shared" si="68"/>
        <v>250</v>
      </c>
      <c r="EL44" s="26">
        <v>250</v>
      </c>
      <c r="EN44" s="167">
        <v>40</v>
      </c>
      <c r="EO44" s="26" t="s">
        <v>933</v>
      </c>
      <c r="EP44" s="26">
        <v>1</v>
      </c>
      <c r="EQ44" s="26" t="s">
        <v>805</v>
      </c>
      <c r="ER44" s="26">
        <v>250</v>
      </c>
      <c r="ES44" s="166">
        <f t="shared" si="69"/>
        <v>250</v>
      </c>
      <c r="ET44" s="26">
        <v>1</v>
      </c>
      <c r="EU44" s="26" t="s">
        <v>931</v>
      </c>
      <c r="EV44" s="26">
        <v>250</v>
      </c>
      <c r="EW44" s="33">
        <f t="shared" si="48"/>
        <v>250</v>
      </c>
      <c r="EX44" s="26">
        <v>1</v>
      </c>
      <c r="EY44" s="26" t="s">
        <v>805</v>
      </c>
      <c r="EZ44" s="26">
        <v>250</v>
      </c>
      <c r="FA44" s="166">
        <f t="shared" si="70"/>
        <v>250</v>
      </c>
      <c r="FB44" s="26">
        <v>250</v>
      </c>
    </row>
    <row r="45" spans="1:158" ht="15.75" customHeight="1" x14ac:dyDescent="0.3">
      <c r="A45" s="26">
        <v>41</v>
      </c>
      <c r="B45" s="26" t="s">
        <v>935</v>
      </c>
      <c r="C45" s="30">
        <v>1</v>
      </c>
      <c r="D45" s="30" t="s">
        <v>931</v>
      </c>
      <c r="E45" s="30">
        <v>350</v>
      </c>
      <c r="F45" s="159">
        <f t="shared" si="53"/>
        <v>350</v>
      </c>
      <c r="G45" s="30">
        <v>1</v>
      </c>
      <c r="H45" s="30" t="s">
        <v>931</v>
      </c>
      <c r="I45" s="30">
        <v>280</v>
      </c>
      <c r="J45" s="34">
        <f t="shared" si="2"/>
        <v>280</v>
      </c>
      <c r="K45" s="30">
        <v>1</v>
      </c>
      <c r="L45" s="30" t="s">
        <v>931</v>
      </c>
      <c r="M45" s="30">
        <v>280</v>
      </c>
      <c r="N45" s="159">
        <f t="shared" si="54"/>
        <v>280</v>
      </c>
      <c r="O45" s="30">
        <v>280</v>
      </c>
      <c r="Q45" s="26">
        <v>41</v>
      </c>
      <c r="R45" s="26" t="s">
        <v>936</v>
      </c>
      <c r="S45" s="26">
        <v>2</v>
      </c>
      <c r="T45" s="26" t="s">
        <v>57</v>
      </c>
      <c r="U45" s="26">
        <v>5</v>
      </c>
      <c r="V45" s="166">
        <f t="shared" si="51"/>
        <v>10</v>
      </c>
      <c r="W45" s="26">
        <v>2</v>
      </c>
      <c r="X45" s="26" t="s">
        <v>57</v>
      </c>
      <c r="Y45" s="26">
        <v>5</v>
      </c>
      <c r="Z45" s="33">
        <f t="shared" si="7"/>
        <v>10</v>
      </c>
      <c r="AA45" s="26">
        <v>2</v>
      </c>
      <c r="AB45" s="26" t="s">
        <v>57</v>
      </c>
      <c r="AC45" s="26">
        <v>5</v>
      </c>
      <c r="AD45" s="166">
        <f t="shared" si="52"/>
        <v>10</v>
      </c>
      <c r="AE45" s="26">
        <v>5</v>
      </c>
      <c r="AG45" s="167">
        <v>41</v>
      </c>
      <c r="AH45" s="26" t="s">
        <v>935</v>
      </c>
      <c r="AI45" s="26">
        <v>1</v>
      </c>
      <c r="AJ45" s="26" t="s">
        <v>931</v>
      </c>
      <c r="AK45" s="26">
        <v>350</v>
      </c>
      <c r="AL45" s="166">
        <f t="shared" si="55"/>
        <v>350</v>
      </c>
      <c r="AM45" s="26">
        <v>1</v>
      </c>
      <c r="AN45" s="26" t="s">
        <v>931</v>
      </c>
      <c r="AO45" s="26">
        <v>250</v>
      </c>
      <c r="AP45" s="33">
        <v>280</v>
      </c>
      <c r="AQ45" s="26">
        <v>1</v>
      </c>
      <c r="AR45" s="26" t="s">
        <v>931</v>
      </c>
      <c r="AS45" s="26">
        <v>280</v>
      </c>
      <c r="AT45" s="166">
        <f t="shared" si="56"/>
        <v>280</v>
      </c>
      <c r="AU45" s="26">
        <v>280</v>
      </c>
      <c r="AW45" s="167">
        <v>41</v>
      </c>
      <c r="AX45" s="26" t="s">
        <v>935</v>
      </c>
      <c r="AY45" s="26">
        <v>1</v>
      </c>
      <c r="AZ45" s="26" t="s">
        <v>931</v>
      </c>
      <c r="BA45" s="26">
        <v>350</v>
      </c>
      <c r="BB45" s="166">
        <f t="shared" si="57"/>
        <v>350</v>
      </c>
      <c r="BC45" s="26">
        <v>1</v>
      </c>
      <c r="BD45" s="26" t="s">
        <v>931</v>
      </c>
      <c r="BE45" s="26">
        <v>280</v>
      </c>
      <c r="BF45" s="33">
        <f t="shared" si="17"/>
        <v>280</v>
      </c>
      <c r="BG45" s="26">
        <v>1</v>
      </c>
      <c r="BH45" s="26" t="s">
        <v>931</v>
      </c>
      <c r="BI45" s="26">
        <v>280</v>
      </c>
      <c r="BJ45" s="166">
        <f t="shared" si="58"/>
        <v>280</v>
      </c>
      <c r="BK45" s="26">
        <v>280</v>
      </c>
      <c r="BM45" s="167">
        <v>41</v>
      </c>
      <c r="BN45" s="26" t="s">
        <v>935</v>
      </c>
      <c r="BO45" s="26">
        <v>1</v>
      </c>
      <c r="BP45" s="26" t="s">
        <v>931</v>
      </c>
      <c r="BQ45" s="26">
        <v>350</v>
      </c>
      <c r="BR45" s="166">
        <f t="shared" si="59"/>
        <v>350</v>
      </c>
      <c r="BS45" s="26">
        <v>1</v>
      </c>
      <c r="BT45" s="26" t="s">
        <v>931</v>
      </c>
      <c r="BU45" s="26">
        <v>250</v>
      </c>
      <c r="BV45" s="33">
        <v>280</v>
      </c>
      <c r="BW45" s="26">
        <v>1</v>
      </c>
      <c r="BX45" s="26" t="s">
        <v>931</v>
      </c>
      <c r="BY45" s="26">
        <v>280</v>
      </c>
      <c r="BZ45" s="166">
        <f t="shared" si="60"/>
        <v>280</v>
      </c>
      <c r="CA45" s="26">
        <v>280</v>
      </c>
      <c r="CC45" s="167">
        <v>41</v>
      </c>
      <c r="CD45" s="26" t="s">
        <v>935</v>
      </c>
      <c r="CE45" s="26">
        <v>1</v>
      </c>
      <c r="CF45" s="26" t="s">
        <v>931</v>
      </c>
      <c r="CG45" s="26">
        <v>350</v>
      </c>
      <c r="CH45" s="166">
        <f t="shared" si="61"/>
        <v>350</v>
      </c>
      <c r="CI45" s="26">
        <v>1</v>
      </c>
      <c r="CJ45" s="26" t="s">
        <v>931</v>
      </c>
      <c r="CK45" s="26">
        <v>280</v>
      </c>
      <c r="CL45" s="33">
        <f t="shared" si="27"/>
        <v>280</v>
      </c>
      <c r="CM45" s="26">
        <v>1</v>
      </c>
      <c r="CN45" s="26" t="s">
        <v>931</v>
      </c>
      <c r="CO45" s="26">
        <v>280</v>
      </c>
      <c r="CP45" s="166">
        <f t="shared" si="62"/>
        <v>280</v>
      </c>
      <c r="CQ45" s="26">
        <v>280</v>
      </c>
      <c r="CS45" s="167">
        <v>41</v>
      </c>
      <c r="CT45" s="26" t="s">
        <v>935</v>
      </c>
      <c r="CU45" s="26">
        <v>1</v>
      </c>
      <c r="CV45" s="26" t="s">
        <v>931</v>
      </c>
      <c r="CW45" s="26">
        <v>350</v>
      </c>
      <c r="CX45" s="166">
        <f t="shared" si="63"/>
        <v>350</v>
      </c>
      <c r="CY45" s="26">
        <v>1</v>
      </c>
      <c r="CZ45" s="26" t="s">
        <v>931</v>
      </c>
      <c r="DA45" s="26">
        <v>280</v>
      </c>
      <c r="DB45" s="33">
        <f t="shared" si="32"/>
        <v>280</v>
      </c>
      <c r="DC45" s="26">
        <v>1</v>
      </c>
      <c r="DD45" s="26" t="s">
        <v>931</v>
      </c>
      <c r="DE45" s="26">
        <v>280</v>
      </c>
      <c r="DF45" s="166">
        <f t="shared" si="64"/>
        <v>280</v>
      </c>
      <c r="DG45" s="26">
        <f t="shared" si="35"/>
        <v>0</v>
      </c>
      <c r="DH45" s="167">
        <v>41</v>
      </c>
      <c r="DI45" s="26" t="s">
        <v>935</v>
      </c>
      <c r="DJ45" s="26">
        <v>2</v>
      </c>
      <c r="DK45" s="26" t="s">
        <v>931</v>
      </c>
      <c r="DL45" s="26">
        <v>350</v>
      </c>
      <c r="DM45" s="166">
        <f t="shared" si="65"/>
        <v>700</v>
      </c>
      <c r="DN45" s="26">
        <v>2</v>
      </c>
      <c r="DO45" s="26" t="s">
        <v>931</v>
      </c>
      <c r="DP45" s="26">
        <v>280</v>
      </c>
      <c r="DQ45" s="33">
        <f t="shared" si="38"/>
        <v>560</v>
      </c>
      <c r="DR45" s="26">
        <v>2</v>
      </c>
      <c r="DS45" s="26" t="s">
        <v>931</v>
      </c>
      <c r="DT45" s="26">
        <v>280</v>
      </c>
      <c r="DU45" s="166">
        <f t="shared" si="66"/>
        <v>560</v>
      </c>
      <c r="DV45" s="26">
        <v>280</v>
      </c>
      <c r="DX45" s="167">
        <v>41</v>
      </c>
      <c r="DY45" s="26" t="s">
        <v>935</v>
      </c>
      <c r="DZ45" s="26">
        <v>2</v>
      </c>
      <c r="EA45" s="26" t="s">
        <v>931</v>
      </c>
      <c r="EB45" s="26">
        <v>350</v>
      </c>
      <c r="EC45" s="166">
        <f t="shared" si="67"/>
        <v>700</v>
      </c>
      <c r="ED45" s="26">
        <v>2</v>
      </c>
      <c r="EE45" s="26" t="s">
        <v>931</v>
      </c>
      <c r="EF45" s="26">
        <v>280</v>
      </c>
      <c r="EG45" s="33">
        <f t="shared" si="43"/>
        <v>560</v>
      </c>
      <c r="EH45" s="26">
        <v>2</v>
      </c>
      <c r="EI45" s="26" t="s">
        <v>931</v>
      </c>
      <c r="EJ45" s="26">
        <v>280</v>
      </c>
      <c r="EK45" s="166">
        <f t="shared" si="68"/>
        <v>560</v>
      </c>
      <c r="EL45" s="26">
        <v>280</v>
      </c>
      <c r="EN45" s="167">
        <v>41</v>
      </c>
      <c r="EO45" s="26" t="s">
        <v>935</v>
      </c>
      <c r="EP45" s="26">
        <v>2</v>
      </c>
      <c r="EQ45" s="26" t="s">
        <v>931</v>
      </c>
      <c r="ER45" s="26">
        <v>350</v>
      </c>
      <c r="ES45" s="166">
        <f t="shared" si="69"/>
        <v>700</v>
      </c>
      <c r="ET45" s="26">
        <v>2</v>
      </c>
      <c r="EU45" s="26" t="s">
        <v>931</v>
      </c>
      <c r="EV45" s="26">
        <v>280</v>
      </c>
      <c r="EW45" s="33">
        <f t="shared" si="48"/>
        <v>560</v>
      </c>
      <c r="EX45" s="26">
        <v>2</v>
      </c>
      <c r="EY45" s="26" t="s">
        <v>931</v>
      </c>
      <c r="EZ45" s="26">
        <v>280</v>
      </c>
      <c r="FA45" s="166">
        <f t="shared" si="70"/>
        <v>560</v>
      </c>
      <c r="FB45" s="26">
        <v>280</v>
      </c>
    </row>
    <row r="46" spans="1:158" ht="15.75" customHeight="1" x14ac:dyDescent="0.3">
      <c r="A46" s="26">
        <v>42</v>
      </c>
      <c r="B46" s="26" t="s">
        <v>936</v>
      </c>
      <c r="C46" s="30">
        <v>2</v>
      </c>
      <c r="D46" s="30" t="s">
        <v>57</v>
      </c>
      <c r="E46" s="30">
        <v>5</v>
      </c>
      <c r="F46" s="159">
        <f t="shared" si="53"/>
        <v>10</v>
      </c>
      <c r="G46" s="30">
        <v>2</v>
      </c>
      <c r="H46" s="30" t="s">
        <v>57</v>
      </c>
      <c r="I46" s="30">
        <v>5</v>
      </c>
      <c r="J46" s="34">
        <f t="shared" si="2"/>
        <v>10</v>
      </c>
      <c r="K46" s="30">
        <v>2</v>
      </c>
      <c r="L46" s="30" t="s">
        <v>57</v>
      </c>
      <c r="M46" s="30">
        <v>5</v>
      </c>
      <c r="N46" s="159">
        <f t="shared" si="54"/>
        <v>10</v>
      </c>
      <c r="O46" s="30">
        <v>5</v>
      </c>
      <c r="Q46" s="26">
        <v>42</v>
      </c>
      <c r="R46" s="26" t="s">
        <v>937</v>
      </c>
      <c r="S46" s="26">
        <v>2</v>
      </c>
      <c r="T46" s="26" t="s">
        <v>806</v>
      </c>
      <c r="U46" s="26">
        <v>120</v>
      </c>
      <c r="V46" s="166">
        <f t="shared" si="51"/>
        <v>240</v>
      </c>
      <c r="W46" s="26">
        <v>2</v>
      </c>
      <c r="X46" s="26" t="s">
        <v>806</v>
      </c>
      <c r="Y46" s="26">
        <v>120</v>
      </c>
      <c r="Z46" s="33">
        <f t="shared" si="7"/>
        <v>240</v>
      </c>
      <c r="AA46" s="26">
        <v>2</v>
      </c>
      <c r="AB46" s="26" t="s">
        <v>806</v>
      </c>
      <c r="AC46" s="26">
        <v>120</v>
      </c>
      <c r="AD46" s="166">
        <f t="shared" si="52"/>
        <v>240</v>
      </c>
      <c r="AE46" s="26">
        <v>120</v>
      </c>
      <c r="AG46" s="167">
        <v>42</v>
      </c>
      <c r="AH46" s="26" t="s">
        <v>936</v>
      </c>
      <c r="AI46" s="26">
        <v>2</v>
      </c>
      <c r="AJ46" s="26" t="s">
        <v>57</v>
      </c>
      <c r="AK46" s="26">
        <v>5</v>
      </c>
      <c r="AL46" s="166">
        <f t="shared" si="55"/>
        <v>10</v>
      </c>
      <c r="AM46" s="26">
        <v>2</v>
      </c>
      <c r="AN46" s="26" t="s">
        <v>57</v>
      </c>
      <c r="AO46" s="26">
        <v>5</v>
      </c>
      <c r="AP46" s="33">
        <f>AM46*AO46</f>
        <v>10</v>
      </c>
      <c r="AQ46" s="26">
        <v>2</v>
      </c>
      <c r="AR46" s="26" t="s">
        <v>57</v>
      </c>
      <c r="AS46" s="26">
        <v>5</v>
      </c>
      <c r="AT46" s="166">
        <f t="shared" si="56"/>
        <v>10</v>
      </c>
      <c r="AU46" s="26">
        <v>5</v>
      </c>
      <c r="AW46" s="167">
        <v>42</v>
      </c>
      <c r="AX46" s="26" t="s">
        <v>936</v>
      </c>
      <c r="AY46" s="26">
        <v>2</v>
      </c>
      <c r="AZ46" s="26" t="s">
        <v>57</v>
      </c>
      <c r="BA46" s="26">
        <v>5</v>
      </c>
      <c r="BB46" s="166">
        <f t="shared" si="57"/>
        <v>10</v>
      </c>
      <c r="BC46" s="26">
        <v>2</v>
      </c>
      <c r="BD46" s="26" t="s">
        <v>57</v>
      </c>
      <c r="BE46" s="26">
        <v>5</v>
      </c>
      <c r="BF46" s="33">
        <f t="shared" si="17"/>
        <v>10</v>
      </c>
      <c r="BG46" s="26">
        <v>2</v>
      </c>
      <c r="BH46" s="26" t="s">
        <v>57</v>
      </c>
      <c r="BI46" s="26">
        <v>5</v>
      </c>
      <c r="BJ46" s="166">
        <f t="shared" si="58"/>
        <v>10</v>
      </c>
      <c r="BK46" s="26">
        <v>5</v>
      </c>
      <c r="BM46" s="167">
        <v>42</v>
      </c>
      <c r="BN46" s="26" t="s">
        <v>936</v>
      </c>
      <c r="BO46" s="26">
        <v>2</v>
      </c>
      <c r="BP46" s="26" t="s">
        <v>57</v>
      </c>
      <c r="BQ46" s="26">
        <v>5</v>
      </c>
      <c r="BR46" s="166">
        <f t="shared" si="59"/>
        <v>10</v>
      </c>
      <c r="BS46" s="26">
        <v>2</v>
      </c>
      <c r="BT46" s="26" t="s">
        <v>57</v>
      </c>
      <c r="BU46" s="26">
        <v>5</v>
      </c>
      <c r="BV46" s="33">
        <f>BS46*BU46</f>
        <v>10</v>
      </c>
      <c r="BW46" s="26">
        <v>2</v>
      </c>
      <c r="BX46" s="26" t="s">
        <v>57</v>
      </c>
      <c r="BY46" s="26">
        <v>5</v>
      </c>
      <c r="BZ46" s="166">
        <f t="shared" si="60"/>
        <v>10</v>
      </c>
      <c r="CA46" s="26">
        <v>5</v>
      </c>
      <c r="CC46" s="167">
        <v>42</v>
      </c>
      <c r="CD46" s="26" t="s">
        <v>936</v>
      </c>
      <c r="CE46" s="26">
        <v>2</v>
      </c>
      <c r="CF46" s="26" t="s">
        <v>57</v>
      </c>
      <c r="CG46" s="26">
        <v>5</v>
      </c>
      <c r="CH46" s="166">
        <f t="shared" si="61"/>
        <v>10</v>
      </c>
      <c r="CI46" s="26">
        <v>2</v>
      </c>
      <c r="CJ46" s="26" t="s">
        <v>57</v>
      </c>
      <c r="CK46" s="26">
        <v>5</v>
      </c>
      <c r="CL46" s="33">
        <f t="shared" si="27"/>
        <v>10</v>
      </c>
      <c r="CM46" s="26">
        <v>2</v>
      </c>
      <c r="CN46" s="26" t="s">
        <v>57</v>
      </c>
      <c r="CO46" s="26">
        <v>5</v>
      </c>
      <c r="CP46" s="166">
        <f t="shared" si="62"/>
        <v>10</v>
      </c>
      <c r="CQ46" s="26">
        <v>5</v>
      </c>
      <c r="CS46" s="167">
        <v>42</v>
      </c>
      <c r="CT46" s="26" t="s">
        <v>936</v>
      </c>
      <c r="CU46" s="26">
        <v>2</v>
      </c>
      <c r="CV46" s="26" t="s">
        <v>57</v>
      </c>
      <c r="CW46" s="26">
        <v>5</v>
      </c>
      <c r="CX46" s="166">
        <f t="shared" si="63"/>
        <v>10</v>
      </c>
      <c r="CY46" s="26">
        <v>2</v>
      </c>
      <c r="CZ46" s="26" t="s">
        <v>57</v>
      </c>
      <c r="DA46" s="26">
        <v>5</v>
      </c>
      <c r="DB46" s="33">
        <f t="shared" si="32"/>
        <v>10</v>
      </c>
      <c r="DC46" s="26">
        <v>2</v>
      </c>
      <c r="DD46" s="26" t="s">
        <v>57</v>
      </c>
      <c r="DE46" s="26">
        <v>5</v>
      </c>
      <c r="DF46" s="166">
        <f t="shared" si="64"/>
        <v>10</v>
      </c>
      <c r="DG46" s="26">
        <f t="shared" si="35"/>
        <v>0</v>
      </c>
      <c r="DH46" s="167">
        <v>42</v>
      </c>
      <c r="DI46" s="26" t="s">
        <v>936</v>
      </c>
      <c r="DJ46" s="26">
        <v>2</v>
      </c>
      <c r="DK46" s="26" t="s">
        <v>57</v>
      </c>
      <c r="DL46" s="26">
        <v>5</v>
      </c>
      <c r="DM46" s="166">
        <f t="shared" si="65"/>
        <v>10</v>
      </c>
      <c r="DN46" s="26">
        <v>2</v>
      </c>
      <c r="DO46" s="26" t="s">
        <v>57</v>
      </c>
      <c r="DP46" s="26">
        <v>5</v>
      </c>
      <c r="DQ46" s="33">
        <f t="shared" si="38"/>
        <v>10</v>
      </c>
      <c r="DR46" s="26">
        <v>2</v>
      </c>
      <c r="DS46" s="26" t="s">
        <v>57</v>
      </c>
      <c r="DT46" s="26">
        <v>5</v>
      </c>
      <c r="DU46" s="166">
        <f t="shared" si="66"/>
        <v>10</v>
      </c>
      <c r="DV46" s="26">
        <v>5</v>
      </c>
      <c r="DX46" s="167">
        <v>42</v>
      </c>
      <c r="DY46" s="26" t="s">
        <v>936</v>
      </c>
      <c r="DZ46" s="26">
        <v>2</v>
      </c>
      <c r="EA46" s="26" t="s">
        <v>57</v>
      </c>
      <c r="EB46" s="26">
        <v>5</v>
      </c>
      <c r="EC46" s="166">
        <f t="shared" si="67"/>
        <v>10</v>
      </c>
      <c r="ED46" s="26">
        <v>2</v>
      </c>
      <c r="EE46" s="26" t="s">
        <v>57</v>
      </c>
      <c r="EF46" s="26">
        <v>5</v>
      </c>
      <c r="EG46" s="33">
        <f t="shared" si="43"/>
        <v>10</v>
      </c>
      <c r="EH46" s="26">
        <v>2</v>
      </c>
      <c r="EI46" s="26" t="s">
        <v>57</v>
      </c>
      <c r="EJ46" s="26">
        <v>5</v>
      </c>
      <c r="EK46" s="166">
        <f t="shared" si="68"/>
        <v>10</v>
      </c>
      <c r="EL46" s="26">
        <v>5</v>
      </c>
      <c r="EN46" s="167">
        <v>42</v>
      </c>
      <c r="EO46" s="26" t="s">
        <v>936</v>
      </c>
      <c r="EP46" s="26">
        <v>2</v>
      </c>
      <c r="EQ46" s="26" t="s">
        <v>57</v>
      </c>
      <c r="ER46" s="26">
        <v>5</v>
      </c>
      <c r="ES46" s="166">
        <f t="shared" si="69"/>
        <v>10</v>
      </c>
      <c r="ET46" s="26">
        <v>2</v>
      </c>
      <c r="EU46" s="26" t="s">
        <v>57</v>
      </c>
      <c r="EV46" s="26">
        <v>5</v>
      </c>
      <c r="EW46" s="33">
        <f t="shared" si="48"/>
        <v>10</v>
      </c>
      <c r="EX46" s="26">
        <v>2</v>
      </c>
      <c r="EY46" s="26" t="s">
        <v>57</v>
      </c>
      <c r="EZ46" s="26">
        <v>5</v>
      </c>
      <c r="FA46" s="166">
        <f t="shared" si="70"/>
        <v>10</v>
      </c>
      <c r="FB46" s="26">
        <v>5</v>
      </c>
    </row>
    <row r="47" spans="1:158" ht="15.75" customHeight="1" x14ac:dyDescent="0.3">
      <c r="A47" s="26">
        <v>43</v>
      </c>
      <c r="B47" s="26" t="s">
        <v>937</v>
      </c>
      <c r="C47" s="30">
        <v>2</v>
      </c>
      <c r="D47" s="30" t="s">
        <v>806</v>
      </c>
      <c r="E47" s="30">
        <v>120</v>
      </c>
      <c r="F47" s="159">
        <f t="shared" si="53"/>
        <v>240</v>
      </c>
      <c r="G47" s="30">
        <v>2</v>
      </c>
      <c r="H47" s="30" t="s">
        <v>806</v>
      </c>
      <c r="I47" s="30">
        <v>120</v>
      </c>
      <c r="J47" s="34">
        <f t="shared" si="2"/>
        <v>240</v>
      </c>
      <c r="K47" s="30">
        <v>2</v>
      </c>
      <c r="L47" s="30" t="s">
        <v>806</v>
      </c>
      <c r="M47" s="30">
        <v>120</v>
      </c>
      <c r="N47" s="159">
        <f t="shared" si="54"/>
        <v>240</v>
      </c>
      <c r="O47" s="30">
        <v>120</v>
      </c>
      <c r="Q47" s="26">
        <v>43</v>
      </c>
      <c r="R47" s="26" t="s">
        <v>938</v>
      </c>
      <c r="S47" s="26"/>
      <c r="T47" s="26"/>
      <c r="U47" s="26"/>
      <c r="V47" s="166">
        <v>8000</v>
      </c>
      <c r="W47" s="26"/>
      <c r="X47" s="26"/>
      <c r="Y47" s="26"/>
      <c r="Z47" s="33">
        <v>8000</v>
      </c>
      <c r="AA47" s="26"/>
      <c r="AB47" s="26"/>
      <c r="AC47" s="26"/>
      <c r="AD47" s="166">
        <v>8000</v>
      </c>
      <c r="AE47" s="26"/>
      <c r="AG47" s="167">
        <v>43</v>
      </c>
      <c r="AH47" s="26" t="s">
        <v>937</v>
      </c>
      <c r="AI47" s="26">
        <v>2</v>
      </c>
      <c r="AJ47" s="26" t="s">
        <v>806</v>
      </c>
      <c r="AK47" s="26">
        <v>120</v>
      </c>
      <c r="AL47" s="166">
        <f t="shared" si="55"/>
        <v>240</v>
      </c>
      <c r="AM47" s="26">
        <v>2</v>
      </c>
      <c r="AN47" s="26" t="s">
        <v>806</v>
      </c>
      <c r="AO47" s="26">
        <v>120</v>
      </c>
      <c r="AP47" s="33">
        <f>AM47*AO47</f>
        <v>240</v>
      </c>
      <c r="AQ47" s="26">
        <v>2</v>
      </c>
      <c r="AR47" s="26" t="s">
        <v>806</v>
      </c>
      <c r="AS47" s="26">
        <v>120</v>
      </c>
      <c r="AT47" s="166">
        <f t="shared" si="56"/>
        <v>240</v>
      </c>
      <c r="AU47" s="26">
        <v>120</v>
      </c>
      <c r="AW47" s="167">
        <v>43</v>
      </c>
      <c r="AX47" s="26" t="s">
        <v>937</v>
      </c>
      <c r="AY47" s="26">
        <v>2</v>
      </c>
      <c r="AZ47" s="26" t="s">
        <v>806</v>
      </c>
      <c r="BA47" s="26">
        <v>120</v>
      </c>
      <c r="BB47" s="166">
        <f t="shared" si="57"/>
        <v>240</v>
      </c>
      <c r="BC47" s="26">
        <v>2</v>
      </c>
      <c r="BD47" s="26" t="s">
        <v>806</v>
      </c>
      <c r="BE47" s="26">
        <v>120</v>
      </c>
      <c r="BF47" s="33">
        <f t="shared" si="17"/>
        <v>240</v>
      </c>
      <c r="BG47" s="26">
        <v>2</v>
      </c>
      <c r="BH47" s="26" t="s">
        <v>806</v>
      </c>
      <c r="BI47" s="26">
        <v>120</v>
      </c>
      <c r="BJ47" s="166">
        <f t="shared" si="58"/>
        <v>240</v>
      </c>
      <c r="BK47" s="26">
        <v>120</v>
      </c>
      <c r="BM47" s="167">
        <v>43</v>
      </c>
      <c r="BN47" s="26" t="s">
        <v>937</v>
      </c>
      <c r="BO47" s="26">
        <v>2</v>
      </c>
      <c r="BP47" s="26" t="s">
        <v>806</v>
      </c>
      <c r="BQ47" s="26">
        <v>120</v>
      </c>
      <c r="BR47" s="166">
        <f t="shared" si="59"/>
        <v>240</v>
      </c>
      <c r="BS47" s="26">
        <v>2</v>
      </c>
      <c r="BT47" s="26" t="s">
        <v>806</v>
      </c>
      <c r="BU47" s="26">
        <v>120</v>
      </c>
      <c r="BV47" s="33">
        <f>BS47*BU47</f>
        <v>240</v>
      </c>
      <c r="BW47" s="26">
        <v>2</v>
      </c>
      <c r="BX47" s="26" t="s">
        <v>806</v>
      </c>
      <c r="BY47" s="26">
        <v>120</v>
      </c>
      <c r="BZ47" s="166">
        <f t="shared" si="60"/>
        <v>240</v>
      </c>
      <c r="CA47" s="26">
        <v>120</v>
      </c>
      <c r="CC47" s="167">
        <v>43</v>
      </c>
      <c r="CD47" s="26" t="s">
        <v>937</v>
      </c>
      <c r="CE47" s="26">
        <v>2</v>
      </c>
      <c r="CF47" s="26" t="s">
        <v>806</v>
      </c>
      <c r="CG47" s="26">
        <v>120</v>
      </c>
      <c r="CH47" s="166">
        <f t="shared" si="61"/>
        <v>240</v>
      </c>
      <c r="CI47" s="26">
        <v>2</v>
      </c>
      <c r="CJ47" s="26" t="s">
        <v>806</v>
      </c>
      <c r="CK47" s="26">
        <v>120</v>
      </c>
      <c r="CL47" s="33">
        <f t="shared" si="27"/>
        <v>240</v>
      </c>
      <c r="CM47" s="26">
        <v>2</v>
      </c>
      <c r="CN47" s="26" t="s">
        <v>806</v>
      </c>
      <c r="CO47" s="26">
        <v>120</v>
      </c>
      <c r="CP47" s="166">
        <f t="shared" si="62"/>
        <v>240</v>
      </c>
      <c r="CQ47" s="26">
        <v>120</v>
      </c>
      <c r="CS47" s="167">
        <v>43</v>
      </c>
      <c r="CT47" s="26" t="s">
        <v>937</v>
      </c>
      <c r="CU47" s="26">
        <v>2</v>
      </c>
      <c r="CV47" s="26" t="s">
        <v>806</v>
      </c>
      <c r="CW47" s="26">
        <v>120</v>
      </c>
      <c r="CX47" s="166">
        <f t="shared" si="63"/>
        <v>240</v>
      </c>
      <c r="CY47" s="26">
        <v>2</v>
      </c>
      <c r="CZ47" s="26" t="s">
        <v>806</v>
      </c>
      <c r="DA47" s="26">
        <v>120</v>
      </c>
      <c r="DB47" s="33">
        <f t="shared" si="32"/>
        <v>240</v>
      </c>
      <c r="DC47" s="26">
        <v>2</v>
      </c>
      <c r="DD47" s="26" t="s">
        <v>806</v>
      </c>
      <c r="DE47" s="26">
        <v>120</v>
      </c>
      <c r="DF47" s="166">
        <f t="shared" si="64"/>
        <v>240</v>
      </c>
      <c r="DG47" s="26">
        <f t="shared" si="35"/>
        <v>0</v>
      </c>
      <c r="DH47" s="167">
        <v>43</v>
      </c>
      <c r="DI47" s="26" t="s">
        <v>939</v>
      </c>
      <c r="DJ47" s="26">
        <v>4</v>
      </c>
      <c r="DK47" s="26" t="s">
        <v>806</v>
      </c>
      <c r="DL47" s="26">
        <v>120</v>
      </c>
      <c r="DM47" s="166">
        <f t="shared" si="65"/>
        <v>480</v>
      </c>
      <c r="DN47" s="26">
        <v>4</v>
      </c>
      <c r="DO47" s="26" t="s">
        <v>806</v>
      </c>
      <c r="DP47" s="26">
        <v>120</v>
      </c>
      <c r="DQ47" s="33">
        <f t="shared" si="38"/>
        <v>480</v>
      </c>
      <c r="DR47" s="26">
        <v>4</v>
      </c>
      <c r="DS47" s="26" t="s">
        <v>806</v>
      </c>
      <c r="DT47" s="26">
        <v>120</v>
      </c>
      <c r="DU47" s="166">
        <f t="shared" si="66"/>
        <v>480</v>
      </c>
      <c r="DV47" s="26">
        <v>120</v>
      </c>
      <c r="DX47" s="167">
        <v>43</v>
      </c>
      <c r="DY47" s="26" t="s">
        <v>939</v>
      </c>
      <c r="DZ47" s="26">
        <v>4</v>
      </c>
      <c r="EA47" s="26" t="s">
        <v>806</v>
      </c>
      <c r="EB47" s="26">
        <v>120</v>
      </c>
      <c r="EC47" s="166">
        <f t="shared" si="67"/>
        <v>480</v>
      </c>
      <c r="ED47" s="26">
        <v>4</v>
      </c>
      <c r="EE47" s="26" t="s">
        <v>806</v>
      </c>
      <c r="EF47" s="26">
        <v>120</v>
      </c>
      <c r="EG47" s="33">
        <f t="shared" si="43"/>
        <v>480</v>
      </c>
      <c r="EH47" s="26">
        <v>4</v>
      </c>
      <c r="EI47" s="26" t="s">
        <v>806</v>
      </c>
      <c r="EJ47" s="26">
        <v>120</v>
      </c>
      <c r="EK47" s="166">
        <f t="shared" si="68"/>
        <v>480</v>
      </c>
      <c r="EL47" s="26">
        <v>120</v>
      </c>
      <c r="EN47" s="167">
        <v>43</v>
      </c>
      <c r="EO47" s="26" t="s">
        <v>940</v>
      </c>
      <c r="EP47" s="26">
        <v>5</v>
      </c>
      <c r="EQ47" s="26" t="s">
        <v>806</v>
      </c>
      <c r="ER47" s="26">
        <v>120</v>
      </c>
      <c r="ES47" s="166">
        <f t="shared" si="69"/>
        <v>600</v>
      </c>
      <c r="ET47" s="26">
        <v>5</v>
      </c>
      <c r="EU47" s="26" t="s">
        <v>806</v>
      </c>
      <c r="EV47" s="26">
        <v>120</v>
      </c>
      <c r="EW47" s="33">
        <f t="shared" si="48"/>
        <v>600</v>
      </c>
      <c r="EX47" s="26">
        <v>5</v>
      </c>
      <c r="EY47" s="26" t="s">
        <v>806</v>
      </c>
      <c r="EZ47" s="26">
        <v>120</v>
      </c>
      <c r="FA47" s="166">
        <f t="shared" si="70"/>
        <v>600</v>
      </c>
      <c r="FB47" s="26">
        <v>120</v>
      </c>
    </row>
    <row r="48" spans="1:158" ht="15.75" customHeight="1" x14ac:dyDescent="0.3">
      <c r="A48" s="26">
        <v>44</v>
      </c>
      <c r="B48" s="26" t="s">
        <v>938</v>
      </c>
      <c r="C48" s="30"/>
      <c r="D48" s="30"/>
      <c r="E48" s="30"/>
      <c r="F48" s="171">
        <v>8000</v>
      </c>
      <c r="G48" s="30"/>
      <c r="H48" s="30"/>
      <c r="I48" s="30"/>
      <c r="J48" s="34">
        <v>8000</v>
      </c>
      <c r="K48" s="30"/>
      <c r="L48" s="30"/>
      <c r="M48" s="30"/>
      <c r="N48" s="171">
        <v>8000</v>
      </c>
      <c r="O48" s="30"/>
      <c r="Q48" s="26"/>
      <c r="R48" s="172" t="s">
        <v>941</v>
      </c>
      <c r="S48" s="172"/>
      <c r="T48" s="172"/>
      <c r="U48" s="172"/>
      <c r="V48" s="172">
        <f>SUM(V5:V47)</f>
        <v>64561.504000000001</v>
      </c>
      <c r="W48" s="172"/>
      <c r="X48" s="172"/>
      <c r="Y48" s="172"/>
      <c r="Z48" s="172">
        <f>SUM(Z5:Z47)</f>
        <v>77772.508000000002</v>
      </c>
      <c r="AA48" s="172"/>
      <c r="AB48" s="172"/>
      <c r="AC48" s="172"/>
      <c r="AD48" s="172">
        <f>SUM(AD5:AD47)</f>
        <v>50286.504000000001</v>
      </c>
      <c r="AE48" s="26"/>
      <c r="AG48" s="167">
        <v>44</v>
      </c>
      <c r="AH48" s="26" t="s">
        <v>938</v>
      </c>
      <c r="AI48" s="26"/>
      <c r="AJ48" s="26"/>
      <c r="AK48" s="26"/>
      <c r="AL48" s="173">
        <v>8000</v>
      </c>
      <c r="AM48" s="26"/>
      <c r="AN48" s="26"/>
      <c r="AO48" s="26"/>
      <c r="AP48" s="26">
        <v>8000</v>
      </c>
      <c r="AQ48" s="26"/>
      <c r="AR48" s="26"/>
      <c r="AS48" s="26"/>
      <c r="AT48" s="173">
        <v>8000</v>
      </c>
      <c r="AU48" s="26"/>
      <c r="AW48" s="167">
        <v>44</v>
      </c>
      <c r="AX48" s="26" t="s">
        <v>938</v>
      </c>
      <c r="AY48" s="26"/>
      <c r="AZ48" s="26"/>
      <c r="BA48" s="26"/>
      <c r="BB48" s="173">
        <v>8000</v>
      </c>
      <c r="BC48" s="26"/>
      <c r="BD48" s="26"/>
      <c r="BE48" s="26"/>
      <c r="BF48" s="26">
        <v>8000</v>
      </c>
      <c r="BG48" s="26"/>
      <c r="BH48" s="26"/>
      <c r="BI48" s="26"/>
      <c r="BJ48" s="173">
        <v>8000</v>
      </c>
      <c r="BK48" s="26"/>
      <c r="BM48" s="167">
        <v>44</v>
      </c>
      <c r="BN48" s="26" t="s">
        <v>938</v>
      </c>
      <c r="BO48" s="26"/>
      <c r="BP48" s="26"/>
      <c r="BQ48" s="26"/>
      <c r="BR48" s="173">
        <v>8000</v>
      </c>
      <c r="BS48" s="26"/>
      <c r="BT48" s="26"/>
      <c r="BU48" s="26"/>
      <c r="BV48" s="26">
        <v>8000</v>
      </c>
      <c r="BW48" s="26"/>
      <c r="BX48" s="26"/>
      <c r="BY48" s="26"/>
      <c r="BZ48" s="173">
        <v>8000</v>
      </c>
      <c r="CA48" s="26"/>
      <c r="CC48" s="167">
        <v>44</v>
      </c>
      <c r="CD48" s="26" t="s">
        <v>938</v>
      </c>
      <c r="CE48" s="26"/>
      <c r="CF48" s="26"/>
      <c r="CG48" s="26"/>
      <c r="CH48" s="173">
        <v>8000</v>
      </c>
      <c r="CI48" s="26"/>
      <c r="CJ48" s="26"/>
      <c r="CK48" s="26"/>
      <c r="CL48" s="26">
        <v>8000</v>
      </c>
      <c r="CM48" s="26"/>
      <c r="CN48" s="26"/>
      <c r="CO48" s="26"/>
      <c r="CP48" s="173">
        <v>8000</v>
      </c>
      <c r="CQ48" s="26"/>
      <c r="CS48" s="167">
        <v>44</v>
      </c>
      <c r="CT48" s="26" t="s">
        <v>938</v>
      </c>
      <c r="CU48" s="26"/>
      <c r="CV48" s="26"/>
      <c r="CW48" s="26"/>
      <c r="CX48" s="173">
        <v>8000</v>
      </c>
      <c r="CY48" s="26"/>
      <c r="CZ48" s="26"/>
      <c r="DA48" s="26"/>
      <c r="DB48" s="26">
        <v>8000</v>
      </c>
      <c r="DC48" s="26"/>
      <c r="DD48" s="26"/>
      <c r="DE48" s="26"/>
      <c r="DF48" s="173">
        <v>8000</v>
      </c>
      <c r="DG48" s="26">
        <f t="shared" si="35"/>
        <v>0</v>
      </c>
      <c r="DH48" s="167">
        <v>44</v>
      </c>
      <c r="DI48" s="26" t="s">
        <v>938</v>
      </c>
      <c r="DJ48" s="26"/>
      <c r="DK48" s="26"/>
      <c r="DL48" s="26"/>
      <c r="DM48" s="173">
        <v>8000</v>
      </c>
      <c r="DN48" s="26"/>
      <c r="DO48" s="26"/>
      <c r="DP48" s="26"/>
      <c r="DQ48" s="26">
        <v>8000</v>
      </c>
      <c r="DR48" s="26"/>
      <c r="DS48" s="26"/>
      <c r="DT48" s="26"/>
      <c r="DU48" s="173">
        <v>8000</v>
      </c>
      <c r="DV48" s="26"/>
      <c r="DX48" s="167">
        <v>44</v>
      </c>
      <c r="DY48" s="26" t="s">
        <v>938</v>
      </c>
      <c r="DZ48" s="26"/>
      <c r="EA48" s="26"/>
      <c r="EB48" s="26"/>
      <c r="EC48" s="26">
        <v>8000</v>
      </c>
      <c r="ED48" s="26"/>
      <c r="EE48" s="26"/>
      <c r="EF48" s="26"/>
      <c r="EG48" s="26">
        <v>8000</v>
      </c>
      <c r="EH48" s="26"/>
      <c r="EI48" s="26"/>
      <c r="EJ48" s="26"/>
      <c r="EK48" s="26">
        <v>8000</v>
      </c>
      <c r="EL48" s="26"/>
      <c r="EN48" s="167">
        <v>44</v>
      </c>
      <c r="EO48" s="26" t="s">
        <v>938</v>
      </c>
      <c r="EP48" s="26"/>
      <c r="EQ48" s="26"/>
      <c r="ER48" s="26"/>
      <c r="ES48" s="166">
        <v>8000</v>
      </c>
      <c r="ET48" s="26"/>
      <c r="EU48" s="26"/>
      <c r="EV48" s="26"/>
      <c r="EW48" s="33">
        <v>8000</v>
      </c>
      <c r="EX48" s="26"/>
      <c r="EY48" s="26"/>
      <c r="EZ48" s="26"/>
      <c r="FA48" s="166">
        <v>8000</v>
      </c>
      <c r="FB48" s="26"/>
    </row>
    <row r="49" spans="1:158" ht="15.75" customHeight="1" x14ac:dyDescent="0.3">
      <c r="A49" s="26"/>
      <c r="B49" s="172" t="s">
        <v>941</v>
      </c>
      <c r="C49" s="174"/>
      <c r="D49" s="174"/>
      <c r="E49" s="174"/>
      <c r="F49" s="175">
        <f>SUM(F5:F48)</f>
        <v>62328.84</v>
      </c>
      <c r="G49" s="174"/>
      <c r="H49" s="174"/>
      <c r="I49" s="174"/>
      <c r="J49" s="174">
        <f>SUM(J5:J48)</f>
        <v>73329.48</v>
      </c>
      <c r="K49" s="174"/>
      <c r="L49" s="174"/>
      <c r="M49" s="174"/>
      <c r="N49" s="175">
        <f>SUM(N5:N48)</f>
        <v>48308.84</v>
      </c>
      <c r="O49" s="30"/>
      <c r="Q49" s="26"/>
      <c r="R49" s="26"/>
      <c r="S49" s="26"/>
      <c r="T49" s="26"/>
      <c r="U49" s="26"/>
      <c r="V49" s="26"/>
      <c r="W49" s="26"/>
      <c r="X49" s="26"/>
      <c r="Y49" s="26"/>
      <c r="Z49" s="26"/>
      <c r="AA49" s="26"/>
      <c r="AB49" s="26"/>
      <c r="AC49" s="26"/>
      <c r="AD49" s="26"/>
      <c r="AE49" s="26"/>
      <c r="AG49" s="167"/>
      <c r="AH49" s="172" t="s">
        <v>941</v>
      </c>
      <c r="AI49" s="172"/>
      <c r="AJ49" s="172"/>
      <c r="AK49" s="172"/>
      <c r="AL49" s="176">
        <f>SUM(AL5:AL48)</f>
        <v>66291.995999999999</v>
      </c>
      <c r="AM49" s="172"/>
      <c r="AN49" s="172"/>
      <c r="AO49" s="172"/>
      <c r="AP49" s="172">
        <f>SUM(AP5:AP48)</f>
        <v>81279.199999999997</v>
      </c>
      <c r="AQ49" s="172"/>
      <c r="AR49" s="172"/>
      <c r="AS49" s="172"/>
      <c r="AT49" s="176">
        <f>SUM(AT5:AT48)</f>
        <v>52046.995999999999</v>
      </c>
      <c r="AU49" s="26"/>
      <c r="AW49" s="167"/>
      <c r="AX49" s="172" t="s">
        <v>941</v>
      </c>
      <c r="AY49" s="172"/>
      <c r="AZ49" s="172"/>
      <c r="BA49" s="172"/>
      <c r="BB49" s="176">
        <f>SUM(BB5:BB48)</f>
        <v>67395.64</v>
      </c>
      <c r="BC49" s="172"/>
      <c r="BD49" s="172"/>
      <c r="BE49" s="172"/>
      <c r="BF49" s="172">
        <f>SUM(BF5:BF48)</f>
        <v>83218.820000000007</v>
      </c>
      <c r="BG49" s="172"/>
      <c r="BH49" s="172"/>
      <c r="BI49" s="172"/>
      <c r="BJ49" s="176">
        <f>SUM(BJ5:BJ48)</f>
        <v>53200.639999999999</v>
      </c>
      <c r="BK49" s="26"/>
      <c r="BM49" s="167"/>
      <c r="BN49" s="172" t="s">
        <v>941</v>
      </c>
      <c r="BO49" s="172"/>
      <c r="BP49" s="172"/>
      <c r="BQ49" s="172"/>
      <c r="BR49" s="176">
        <f>SUM(BR5:BR48)</f>
        <v>70690.724000000002</v>
      </c>
      <c r="BS49" s="172"/>
      <c r="BT49" s="172"/>
      <c r="BU49" s="172"/>
      <c r="BV49" s="172">
        <f>SUM(BV5:BV48)</f>
        <v>89250.94</v>
      </c>
      <c r="BW49" s="172"/>
      <c r="BX49" s="172"/>
      <c r="BY49" s="172"/>
      <c r="BZ49" s="176">
        <f>SUM(BZ5:BZ48)</f>
        <v>56280.724000000002</v>
      </c>
      <c r="CA49" s="26"/>
      <c r="CC49" s="167"/>
      <c r="CD49" s="172" t="s">
        <v>941</v>
      </c>
      <c r="CE49" s="172"/>
      <c r="CF49" s="172"/>
      <c r="CG49" s="172"/>
      <c r="CH49" s="176">
        <f>SUM(CH5:CH48)</f>
        <v>73908.94</v>
      </c>
      <c r="CI49" s="172"/>
      <c r="CJ49" s="172"/>
      <c r="CK49" s="172"/>
      <c r="CL49" s="172">
        <f>SUM(CL5:CL48)</f>
        <v>95176.42</v>
      </c>
      <c r="CM49" s="172"/>
      <c r="CN49" s="172"/>
      <c r="CO49" s="172"/>
      <c r="CP49" s="176">
        <f>SUM(CP5:CP48)</f>
        <v>59413.94</v>
      </c>
      <c r="CQ49" s="26"/>
      <c r="CS49" s="167"/>
      <c r="CT49" s="172" t="s">
        <v>941</v>
      </c>
      <c r="CU49" s="172"/>
      <c r="CV49" s="172"/>
      <c r="CW49" s="172"/>
      <c r="CX49" s="176">
        <f>SUM(CX5:CX48)</f>
        <v>73845.64</v>
      </c>
      <c r="CY49" s="172"/>
      <c r="CZ49" s="172"/>
      <c r="DA49" s="172"/>
      <c r="DB49" s="172">
        <f>SUM(DB5:DB48)</f>
        <v>97602.08</v>
      </c>
      <c r="DC49" s="172"/>
      <c r="DD49" s="172"/>
      <c r="DE49" s="172"/>
      <c r="DF49" s="176">
        <f>SUM(DF5:DF48)</f>
        <v>59525.64</v>
      </c>
      <c r="DG49" s="26">
        <f t="shared" si="35"/>
        <v>111.69999999999709</v>
      </c>
      <c r="DH49" s="167"/>
      <c r="DI49" s="172" t="s">
        <v>941</v>
      </c>
      <c r="DJ49" s="172"/>
      <c r="DK49" s="172"/>
      <c r="DL49" s="172"/>
      <c r="DM49" s="176">
        <f>SUM(DM5:DM48)</f>
        <v>97440.27</v>
      </c>
      <c r="DN49" s="172"/>
      <c r="DO49" s="172"/>
      <c r="DP49" s="172"/>
      <c r="DQ49" s="172">
        <f>SUM(DQ5:DQ48)</f>
        <v>128551.67999999999</v>
      </c>
      <c r="DR49" s="172"/>
      <c r="DS49" s="172"/>
      <c r="DT49" s="172"/>
      <c r="DU49" s="176">
        <f>SUM(DU5:DU48)</f>
        <v>78035.27</v>
      </c>
      <c r="DV49" s="26"/>
      <c r="DX49" s="26"/>
      <c r="DY49" s="172" t="s">
        <v>941</v>
      </c>
      <c r="DZ49" s="172"/>
      <c r="EA49" s="172"/>
      <c r="EB49" s="172"/>
      <c r="EC49" s="172">
        <f>SUM(EC5:EC48)</f>
        <v>99840.54800000001</v>
      </c>
      <c r="ED49" s="172"/>
      <c r="EE49" s="172"/>
      <c r="EF49" s="172"/>
      <c r="EG49" s="172">
        <f>SUM(EG5:EG48)</f>
        <v>133431.89600000001</v>
      </c>
      <c r="EH49" s="172"/>
      <c r="EI49" s="172"/>
      <c r="EJ49" s="172"/>
      <c r="EK49" s="172">
        <f>SUM(EK5:EK48)</f>
        <v>80650.54800000001</v>
      </c>
      <c r="EL49" s="26"/>
      <c r="EN49" s="26"/>
      <c r="EO49" s="172" t="s">
        <v>941</v>
      </c>
      <c r="EP49" s="172"/>
      <c r="EQ49" s="172"/>
      <c r="ER49" s="172"/>
      <c r="ES49" s="172">
        <f>SUM(ES5:ES48)</f>
        <v>149738.85</v>
      </c>
      <c r="ET49" s="172"/>
      <c r="EU49" s="172"/>
      <c r="EV49" s="172"/>
      <c r="EW49" s="172">
        <f>SUM(EW5:EW48)</f>
        <v>191918.88</v>
      </c>
      <c r="EX49" s="172"/>
      <c r="EY49" s="172"/>
      <c r="EZ49" s="172"/>
      <c r="FA49" s="172">
        <f>SUM(FA5:FA48)</f>
        <v>117348.85</v>
      </c>
      <c r="FB49" s="26"/>
    </row>
    <row r="50" spans="1:158" ht="15.75" customHeight="1" x14ac:dyDescent="0.3">
      <c r="A50" s="26"/>
      <c r="B50" s="26"/>
      <c r="C50" s="30"/>
      <c r="D50" s="30"/>
      <c r="E50" s="30"/>
      <c r="F50" s="30"/>
      <c r="G50" s="30"/>
      <c r="H50" s="30"/>
      <c r="I50" s="30"/>
      <c r="J50" s="30"/>
      <c r="K50" s="30"/>
      <c r="L50" s="30"/>
      <c r="M50" s="30"/>
      <c r="N50" s="30"/>
      <c r="O50" s="30"/>
      <c r="AG50" s="26"/>
      <c r="AH50" s="26"/>
      <c r="AI50" s="26"/>
      <c r="AJ50" s="26"/>
      <c r="AK50" s="26"/>
      <c r="AL50" s="26"/>
      <c r="AM50" s="26"/>
      <c r="AN50" s="26"/>
      <c r="AO50" s="26"/>
      <c r="AP50" s="26"/>
      <c r="AQ50" s="26"/>
      <c r="AR50" s="26"/>
      <c r="AS50" s="26"/>
      <c r="AT50" s="26"/>
      <c r="AU50" s="26"/>
      <c r="AW50" s="26"/>
      <c r="AX50" s="26"/>
      <c r="AY50" s="26"/>
      <c r="AZ50" s="26"/>
      <c r="BA50" s="26"/>
      <c r="BB50" s="26"/>
      <c r="BC50" s="26"/>
      <c r="BD50" s="26"/>
      <c r="BE50" s="26"/>
      <c r="BF50" s="26"/>
      <c r="BG50" s="26"/>
      <c r="BH50" s="26"/>
      <c r="BI50" s="26"/>
      <c r="BJ50" s="26"/>
      <c r="BK50" s="26"/>
      <c r="BM50" s="26"/>
      <c r="BN50" s="26"/>
      <c r="BO50" s="26"/>
      <c r="BP50" s="26"/>
      <c r="BQ50" s="26"/>
      <c r="BR50" s="26"/>
      <c r="BS50" s="26"/>
      <c r="BT50" s="26"/>
      <c r="BU50" s="26"/>
      <c r="BV50" s="26"/>
      <c r="BW50" s="26"/>
      <c r="BX50" s="26"/>
      <c r="BY50" s="26"/>
      <c r="BZ50" s="26"/>
      <c r="CA50" s="26"/>
      <c r="CC50" s="26"/>
      <c r="CD50" s="26"/>
      <c r="CE50" s="26"/>
      <c r="CF50" s="26"/>
      <c r="CG50" s="26"/>
      <c r="CH50" s="26"/>
      <c r="CI50" s="26"/>
      <c r="CJ50" s="26"/>
      <c r="CK50" s="26"/>
      <c r="CL50" s="26"/>
      <c r="CM50" s="26"/>
      <c r="CN50" s="26"/>
      <c r="CO50" s="26"/>
      <c r="CP50" s="26"/>
      <c r="CQ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X50" s="26"/>
      <c r="DY50" s="26"/>
      <c r="DZ50" s="26"/>
      <c r="EA50" s="26"/>
      <c r="EB50" s="26"/>
      <c r="EC50" s="26"/>
      <c r="ED50" s="26"/>
      <c r="EE50" s="26"/>
      <c r="EF50" s="26"/>
      <c r="EG50" s="26"/>
      <c r="EH50" s="26"/>
      <c r="EI50" s="26"/>
      <c r="EJ50" s="26"/>
      <c r="EK50" s="26"/>
      <c r="EL50" s="26"/>
      <c r="EN50" s="26"/>
      <c r="EO50" s="26"/>
      <c r="EP50" s="26"/>
      <c r="EQ50" s="26"/>
      <c r="ER50" s="26"/>
      <c r="ES50" s="26"/>
      <c r="ET50" s="26"/>
      <c r="EU50" s="26"/>
      <c r="EV50" s="26"/>
      <c r="EW50" s="26"/>
      <c r="EX50" s="26"/>
      <c r="EY50" s="26"/>
      <c r="EZ50" s="26"/>
      <c r="FA50" s="26"/>
      <c r="FB50" s="26"/>
    </row>
    <row r="51" spans="1:158" ht="15.75" customHeight="1" x14ac:dyDescent="0.3">
      <c r="O51" s="44"/>
    </row>
    <row r="52" spans="1:158" ht="15.75" customHeight="1" x14ac:dyDescent="0.3">
      <c r="E52" s="1">
        <v>1.8</v>
      </c>
      <c r="F52" s="1">
        <f>F49*$E$52</f>
        <v>112191.912</v>
      </c>
      <c r="J52" s="1">
        <f>J49*$E$52</f>
        <v>131993.06399999998</v>
      </c>
      <c r="N52" s="3">
        <f>N49*$E$52</f>
        <v>86955.911999999997</v>
      </c>
      <c r="O52" s="44"/>
      <c r="V52" s="3">
        <f>V48*$E$52</f>
        <v>116210.7072</v>
      </c>
      <c r="W52" s="3"/>
      <c r="X52" s="3"/>
      <c r="Y52" s="3"/>
      <c r="Z52" s="3">
        <f>Z48*$E$52</f>
        <v>139990.51440000001</v>
      </c>
      <c r="AA52" s="3"/>
      <c r="AB52" s="3"/>
      <c r="AC52" s="3"/>
      <c r="AD52" s="3">
        <f>AD48*$E$52</f>
        <v>90515.707200000004</v>
      </c>
      <c r="AL52" s="3">
        <f>AL49*$E$52</f>
        <v>119325.5928</v>
      </c>
      <c r="AP52" s="3">
        <f>AP49*$E$52</f>
        <v>146302.56</v>
      </c>
      <c r="AT52" s="3">
        <f>AT49*$E$52</f>
        <v>93684.592799999999</v>
      </c>
      <c r="BB52" s="3">
        <f>BB49*$E$52</f>
        <v>121312.152</v>
      </c>
      <c r="BF52" s="3">
        <f>BF49*$E$52</f>
        <v>149793.87600000002</v>
      </c>
      <c r="BJ52" s="3">
        <f>BJ49*$E$52</f>
        <v>95761.152000000002</v>
      </c>
      <c r="BR52" s="3">
        <f>BR49*$E$52</f>
        <v>127243.30320000001</v>
      </c>
      <c r="BV52" s="3">
        <f>BV49*$E$52</f>
        <v>160651.69200000001</v>
      </c>
      <c r="BZ52" s="3">
        <f>BZ49*$E$52</f>
        <v>101305.30320000001</v>
      </c>
      <c r="CH52" s="3">
        <f>CH49*$E$52</f>
        <v>133036.092</v>
      </c>
      <c r="CL52" s="3">
        <f>CL49*$E$52</f>
        <v>171317.55600000001</v>
      </c>
      <c r="CP52" s="3">
        <f>CP49*$E$52</f>
        <v>106945.092</v>
      </c>
      <c r="CX52" s="3">
        <f>CX49*$E$52</f>
        <v>132922.152</v>
      </c>
      <c r="DB52" s="3">
        <f>DB49*$E$52</f>
        <v>175683.74400000001</v>
      </c>
      <c r="DF52" s="3">
        <f>DF49*$E$52</f>
        <v>107146.152</v>
      </c>
      <c r="DM52" s="3">
        <f>DM49*$E$52</f>
        <v>175392.486</v>
      </c>
      <c r="DQ52" s="3">
        <f>DQ49*$E$52</f>
        <v>231393.024</v>
      </c>
      <c r="DU52" s="3">
        <f>DU49*$E$52</f>
        <v>140463.486</v>
      </c>
      <c r="EC52" s="3">
        <f>EC49*$E$52</f>
        <v>179712.98640000002</v>
      </c>
      <c r="EG52" s="3">
        <f>EG49*$E$52</f>
        <v>240177.41280000002</v>
      </c>
      <c r="EK52" s="3">
        <f>EK49*$E$52</f>
        <v>145170.98640000002</v>
      </c>
      <c r="ES52" s="3">
        <f>ES49*$E$52</f>
        <v>269529.93</v>
      </c>
      <c r="EW52" s="3">
        <f>EW49*$E$52</f>
        <v>345453.984</v>
      </c>
      <c r="FA52" s="3">
        <f>FA49*$E$52</f>
        <v>211227.93000000002</v>
      </c>
    </row>
    <row r="53" spans="1:158" ht="15.75" customHeight="1" x14ac:dyDescent="0.3">
      <c r="F53" s="3"/>
      <c r="J53" s="3"/>
      <c r="N53" s="3"/>
      <c r="O53" s="44"/>
      <c r="V53" s="1">
        <f>V52/V48</f>
        <v>1.8</v>
      </c>
      <c r="Z53" s="3">
        <f>Z52/Z48</f>
        <v>1.8</v>
      </c>
      <c r="AD53" s="3">
        <f>AD52/AD48</f>
        <v>1.8</v>
      </c>
    </row>
    <row r="54" spans="1:158" ht="15.75" customHeight="1" x14ac:dyDescent="0.3">
      <c r="O54" s="44"/>
    </row>
    <row r="55" spans="1:158" ht="15.75" customHeight="1" x14ac:dyDescent="0.3">
      <c r="O55" s="44"/>
    </row>
    <row r="56" spans="1:158" ht="15.75" customHeight="1" x14ac:dyDescent="0.3">
      <c r="O56" s="44"/>
    </row>
    <row r="57" spans="1:158" ht="15.75" customHeight="1" x14ac:dyDescent="0.3">
      <c r="O57" s="44"/>
    </row>
    <row r="58" spans="1:158" ht="15.75" customHeight="1" x14ac:dyDescent="0.3">
      <c r="O58" s="44"/>
    </row>
    <row r="59" spans="1:158" ht="15.75" customHeight="1" x14ac:dyDescent="0.3">
      <c r="O59" s="44"/>
    </row>
    <row r="60" spans="1:158" ht="15.75" customHeight="1" x14ac:dyDescent="0.3">
      <c r="O60" s="44"/>
    </row>
    <row r="61" spans="1:158" ht="15.75" customHeight="1" x14ac:dyDescent="0.3">
      <c r="O61" s="44"/>
    </row>
    <row r="62" spans="1:158" ht="15.75" customHeight="1" x14ac:dyDescent="0.3">
      <c r="O62" s="44"/>
    </row>
    <row r="63" spans="1:158" ht="15.75" customHeight="1" x14ac:dyDescent="0.3">
      <c r="O63" s="44"/>
    </row>
    <row r="64" spans="1:158" ht="15.75" customHeight="1" x14ac:dyDescent="0.3">
      <c r="O64" s="44"/>
    </row>
    <row r="65" spans="15:15" ht="15.75" customHeight="1" x14ac:dyDescent="0.3">
      <c r="O65" s="44"/>
    </row>
    <row r="66" spans="15:15" ht="15.75" customHeight="1" x14ac:dyDescent="0.3">
      <c r="O66" s="44"/>
    </row>
    <row r="67" spans="15:15" ht="15.75" customHeight="1" x14ac:dyDescent="0.3">
      <c r="O67" s="44"/>
    </row>
    <row r="68" spans="15:15" ht="15.75" customHeight="1" x14ac:dyDescent="0.3">
      <c r="O68" s="44"/>
    </row>
    <row r="69" spans="15:15" ht="15.75" customHeight="1" x14ac:dyDescent="0.3">
      <c r="O69" s="44"/>
    </row>
    <row r="70" spans="15:15" ht="15.75" customHeight="1" x14ac:dyDescent="0.3">
      <c r="O70" s="44"/>
    </row>
    <row r="71" spans="15:15" ht="15.75" customHeight="1" x14ac:dyDescent="0.3">
      <c r="O71" s="44"/>
    </row>
    <row r="72" spans="15:15" ht="15.75" customHeight="1" x14ac:dyDescent="0.3">
      <c r="O72" s="44"/>
    </row>
    <row r="73" spans="15:15" ht="15.75" customHeight="1" x14ac:dyDescent="0.3">
      <c r="O73" s="44"/>
    </row>
    <row r="74" spans="15:15" ht="15.75" customHeight="1" x14ac:dyDescent="0.3">
      <c r="O74" s="44"/>
    </row>
    <row r="75" spans="15:15" ht="15.75" customHeight="1" x14ac:dyDescent="0.3">
      <c r="O75" s="44"/>
    </row>
    <row r="76" spans="15:15" ht="15.75" customHeight="1" x14ac:dyDescent="0.3">
      <c r="O76" s="44"/>
    </row>
    <row r="77" spans="15:15" ht="15.75" customHeight="1" x14ac:dyDescent="0.3">
      <c r="O77" s="44"/>
    </row>
    <row r="78" spans="15:15" ht="15.75" customHeight="1" x14ac:dyDescent="0.3">
      <c r="O78" s="44"/>
    </row>
    <row r="79" spans="15:15" ht="15.75" customHeight="1" x14ac:dyDescent="0.3">
      <c r="O79" s="44"/>
    </row>
    <row r="80" spans="15:15" ht="15.75" customHeight="1" x14ac:dyDescent="0.3">
      <c r="O80" s="44"/>
    </row>
    <row r="81" spans="15:15" ht="15.75" customHeight="1" x14ac:dyDescent="0.3">
      <c r="O81" s="44"/>
    </row>
    <row r="82" spans="15:15" ht="15.75" customHeight="1" x14ac:dyDescent="0.3">
      <c r="O82" s="44"/>
    </row>
    <row r="83" spans="15:15" ht="15.75" customHeight="1" x14ac:dyDescent="0.3">
      <c r="O83" s="44"/>
    </row>
    <row r="84" spans="15:15" ht="15.75" customHeight="1" x14ac:dyDescent="0.3">
      <c r="O84" s="44"/>
    </row>
    <row r="85" spans="15:15" ht="15.75" customHeight="1" x14ac:dyDescent="0.3">
      <c r="O85" s="44"/>
    </row>
    <row r="86" spans="15:15" ht="15.75" customHeight="1" x14ac:dyDescent="0.3">
      <c r="O86" s="44"/>
    </row>
    <row r="87" spans="15:15" ht="15.75" customHeight="1" x14ac:dyDescent="0.3">
      <c r="O87" s="44"/>
    </row>
    <row r="88" spans="15:15" ht="15.75" customHeight="1" x14ac:dyDescent="0.3">
      <c r="O88" s="44"/>
    </row>
    <row r="89" spans="15:15" ht="15.75" customHeight="1" x14ac:dyDescent="0.3">
      <c r="O89" s="44"/>
    </row>
    <row r="90" spans="15:15" ht="15.75" customHeight="1" x14ac:dyDescent="0.3">
      <c r="O90" s="44"/>
    </row>
    <row r="91" spans="15:15" ht="15.75" customHeight="1" x14ac:dyDescent="0.3">
      <c r="O91" s="44"/>
    </row>
    <row r="92" spans="15:15" ht="15.75" customHeight="1" x14ac:dyDescent="0.3">
      <c r="O92" s="44"/>
    </row>
    <row r="93" spans="15:15" ht="15.75" customHeight="1" x14ac:dyDescent="0.3">
      <c r="O93" s="44"/>
    </row>
    <row r="94" spans="15:15" ht="15.75" customHeight="1" x14ac:dyDescent="0.3">
      <c r="O94" s="44"/>
    </row>
    <row r="95" spans="15:15" ht="15.75" customHeight="1" x14ac:dyDescent="0.3">
      <c r="O95" s="44"/>
    </row>
    <row r="96" spans="15:15" ht="15.75" customHeight="1" x14ac:dyDescent="0.3">
      <c r="O96" s="44"/>
    </row>
    <row r="97" spans="15:15" ht="15.75" customHeight="1" x14ac:dyDescent="0.3">
      <c r="O97" s="44"/>
    </row>
    <row r="98" spans="15:15" ht="15.75" customHeight="1" x14ac:dyDescent="0.3">
      <c r="O98" s="44"/>
    </row>
    <row r="99" spans="15:15" ht="15.75" customHeight="1" x14ac:dyDescent="0.3">
      <c r="O99" s="44"/>
    </row>
    <row r="100" spans="15:15" ht="15.75" customHeight="1" x14ac:dyDescent="0.3">
      <c r="O100" s="44"/>
    </row>
    <row r="101" spans="15:15" ht="15.75" customHeight="1" x14ac:dyDescent="0.3">
      <c r="O101" s="44"/>
    </row>
    <row r="102" spans="15:15" ht="15.75" customHeight="1" x14ac:dyDescent="0.3">
      <c r="O102" s="44"/>
    </row>
    <row r="103" spans="15:15" ht="15.75" customHeight="1" x14ac:dyDescent="0.3">
      <c r="O103" s="44"/>
    </row>
    <row r="104" spans="15:15" ht="15.75" customHeight="1" x14ac:dyDescent="0.3">
      <c r="O104" s="44"/>
    </row>
    <row r="105" spans="15:15" ht="15.75" customHeight="1" x14ac:dyDescent="0.3">
      <c r="O105" s="44"/>
    </row>
    <row r="106" spans="15:15" ht="15.75" customHeight="1" x14ac:dyDescent="0.3">
      <c r="O106" s="44"/>
    </row>
    <row r="107" spans="15:15" ht="15.75" customHeight="1" x14ac:dyDescent="0.3">
      <c r="O107" s="44"/>
    </row>
    <row r="108" spans="15:15" ht="15.75" customHeight="1" x14ac:dyDescent="0.3">
      <c r="O108" s="44"/>
    </row>
    <row r="109" spans="15:15" ht="15.75" customHeight="1" x14ac:dyDescent="0.3">
      <c r="O109" s="44"/>
    </row>
    <row r="110" spans="15:15" ht="15.75" customHeight="1" x14ac:dyDescent="0.3">
      <c r="O110" s="44"/>
    </row>
    <row r="111" spans="15:15" ht="15.75" customHeight="1" x14ac:dyDescent="0.3">
      <c r="O111" s="44"/>
    </row>
    <row r="112" spans="15:15" ht="15.75" customHeight="1" x14ac:dyDescent="0.3">
      <c r="O112" s="44"/>
    </row>
    <row r="113" spans="15:15" ht="15.75" customHeight="1" x14ac:dyDescent="0.3">
      <c r="O113" s="44"/>
    </row>
    <row r="114" spans="15:15" ht="15.75" customHeight="1" x14ac:dyDescent="0.3">
      <c r="O114" s="44"/>
    </row>
    <row r="115" spans="15:15" ht="15.75" customHeight="1" x14ac:dyDescent="0.3">
      <c r="O115" s="44"/>
    </row>
    <row r="116" spans="15:15" ht="15.75" customHeight="1" x14ac:dyDescent="0.3">
      <c r="O116" s="44"/>
    </row>
    <row r="117" spans="15:15" ht="15.75" customHeight="1" x14ac:dyDescent="0.3">
      <c r="O117" s="44"/>
    </row>
    <row r="118" spans="15:15" ht="15.75" customHeight="1" x14ac:dyDescent="0.3">
      <c r="O118" s="44"/>
    </row>
    <row r="119" spans="15:15" ht="15.75" customHeight="1" x14ac:dyDescent="0.3">
      <c r="O119" s="44"/>
    </row>
    <row r="120" spans="15:15" ht="15.75" customHeight="1" x14ac:dyDescent="0.3">
      <c r="O120" s="44"/>
    </row>
    <row r="121" spans="15:15" ht="15.75" customHeight="1" x14ac:dyDescent="0.3">
      <c r="O121" s="44"/>
    </row>
    <row r="122" spans="15:15" ht="15.75" customHeight="1" x14ac:dyDescent="0.3">
      <c r="O122" s="44"/>
    </row>
    <row r="123" spans="15:15" ht="15.75" customHeight="1" x14ac:dyDescent="0.3">
      <c r="O123" s="44"/>
    </row>
    <row r="124" spans="15:15" ht="15.75" customHeight="1" x14ac:dyDescent="0.3">
      <c r="O124" s="44"/>
    </row>
    <row r="125" spans="15:15" ht="15.75" customHeight="1" x14ac:dyDescent="0.3">
      <c r="O125" s="44"/>
    </row>
    <row r="126" spans="15:15" ht="15.75" customHeight="1" x14ac:dyDescent="0.3">
      <c r="O126" s="44"/>
    </row>
    <row r="127" spans="15:15" ht="15.75" customHeight="1" x14ac:dyDescent="0.3">
      <c r="O127" s="44"/>
    </row>
    <row r="128" spans="15:15" ht="15.75" customHeight="1" x14ac:dyDescent="0.3">
      <c r="O128" s="44"/>
    </row>
    <row r="129" spans="15:15" ht="15.75" customHeight="1" x14ac:dyDescent="0.3">
      <c r="O129" s="44"/>
    </row>
    <row r="130" spans="15:15" ht="15.75" customHeight="1" x14ac:dyDescent="0.3">
      <c r="O130" s="44"/>
    </row>
    <row r="131" spans="15:15" ht="15.75" customHeight="1" x14ac:dyDescent="0.3">
      <c r="O131" s="44"/>
    </row>
    <row r="132" spans="15:15" ht="15.75" customHeight="1" x14ac:dyDescent="0.3">
      <c r="O132" s="44"/>
    </row>
    <row r="133" spans="15:15" ht="15.75" customHeight="1" x14ac:dyDescent="0.3">
      <c r="O133" s="44"/>
    </row>
    <row r="134" spans="15:15" ht="15.75" customHeight="1" x14ac:dyDescent="0.3">
      <c r="O134" s="44"/>
    </row>
    <row r="135" spans="15:15" ht="15.75" customHeight="1" x14ac:dyDescent="0.3">
      <c r="O135" s="44"/>
    </row>
    <row r="136" spans="15:15" ht="15.75" customHeight="1" x14ac:dyDescent="0.3">
      <c r="O136" s="44"/>
    </row>
    <row r="137" spans="15:15" ht="15.75" customHeight="1" x14ac:dyDescent="0.3">
      <c r="O137" s="44"/>
    </row>
    <row r="138" spans="15:15" ht="15.75" customHeight="1" x14ac:dyDescent="0.3">
      <c r="O138" s="44"/>
    </row>
    <row r="139" spans="15:15" ht="15.75" customHeight="1" x14ac:dyDescent="0.3">
      <c r="O139" s="44"/>
    </row>
    <row r="140" spans="15:15" ht="15.75" customHeight="1" x14ac:dyDescent="0.3">
      <c r="O140" s="44"/>
    </row>
    <row r="141" spans="15:15" ht="15.75" customHeight="1" x14ac:dyDescent="0.3">
      <c r="O141" s="44"/>
    </row>
    <row r="142" spans="15:15" ht="15.75" customHeight="1" x14ac:dyDescent="0.3">
      <c r="O142" s="44"/>
    </row>
    <row r="143" spans="15:15" ht="15.75" customHeight="1" x14ac:dyDescent="0.3">
      <c r="O143" s="44"/>
    </row>
    <row r="144" spans="15:15" ht="15.75" customHeight="1" x14ac:dyDescent="0.3">
      <c r="O144" s="44"/>
    </row>
    <row r="145" spans="15:15" ht="15.75" customHeight="1" x14ac:dyDescent="0.3">
      <c r="O145" s="44"/>
    </row>
    <row r="146" spans="15:15" ht="15.75" customHeight="1" x14ac:dyDescent="0.3">
      <c r="O146" s="44"/>
    </row>
    <row r="147" spans="15:15" ht="15.75" customHeight="1" x14ac:dyDescent="0.3">
      <c r="O147" s="44"/>
    </row>
    <row r="148" spans="15:15" ht="15.75" customHeight="1" x14ac:dyDescent="0.3">
      <c r="O148" s="44"/>
    </row>
    <row r="149" spans="15:15" ht="15.75" customHeight="1" x14ac:dyDescent="0.3">
      <c r="O149" s="44"/>
    </row>
    <row r="150" spans="15:15" ht="15.75" customHeight="1" x14ac:dyDescent="0.3">
      <c r="O150" s="44"/>
    </row>
    <row r="151" spans="15:15" ht="15.75" customHeight="1" x14ac:dyDescent="0.3">
      <c r="O151" s="44"/>
    </row>
    <row r="152" spans="15:15" ht="15.75" customHeight="1" x14ac:dyDescent="0.3">
      <c r="O152" s="44"/>
    </row>
    <row r="153" spans="15:15" ht="15.75" customHeight="1" x14ac:dyDescent="0.3">
      <c r="O153" s="44"/>
    </row>
    <row r="154" spans="15:15" ht="15.75" customHeight="1" x14ac:dyDescent="0.3">
      <c r="O154" s="44"/>
    </row>
    <row r="155" spans="15:15" ht="15.75" customHeight="1" x14ac:dyDescent="0.3">
      <c r="O155" s="44"/>
    </row>
    <row r="156" spans="15:15" ht="15.75" customHeight="1" x14ac:dyDescent="0.3">
      <c r="O156" s="44"/>
    </row>
    <row r="157" spans="15:15" ht="15.75" customHeight="1" x14ac:dyDescent="0.3">
      <c r="O157" s="44"/>
    </row>
    <row r="158" spans="15:15" ht="15.75" customHeight="1" x14ac:dyDescent="0.3">
      <c r="O158" s="44"/>
    </row>
    <row r="159" spans="15:15" ht="15.75" customHeight="1" x14ac:dyDescent="0.3">
      <c r="O159" s="44"/>
    </row>
    <row r="160" spans="15:15" ht="15.75" customHeight="1" x14ac:dyDescent="0.3">
      <c r="O160" s="44"/>
    </row>
    <row r="161" spans="15:15" ht="15.75" customHeight="1" x14ac:dyDescent="0.3">
      <c r="O161" s="44"/>
    </row>
    <row r="162" spans="15:15" ht="15.75" customHeight="1" x14ac:dyDescent="0.3">
      <c r="O162" s="44"/>
    </row>
    <row r="163" spans="15:15" ht="15.75" customHeight="1" x14ac:dyDescent="0.3">
      <c r="O163" s="44"/>
    </row>
    <row r="164" spans="15:15" ht="15.75" customHeight="1" x14ac:dyDescent="0.3">
      <c r="O164" s="44"/>
    </row>
    <row r="165" spans="15:15" ht="15.75" customHeight="1" x14ac:dyDescent="0.3">
      <c r="O165" s="44"/>
    </row>
    <row r="166" spans="15:15" ht="15.75" customHeight="1" x14ac:dyDescent="0.3">
      <c r="O166" s="44"/>
    </row>
    <row r="167" spans="15:15" ht="15.75" customHeight="1" x14ac:dyDescent="0.3">
      <c r="O167" s="44"/>
    </row>
    <row r="168" spans="15:15" ht="15.75" customHeight="1" x14ac:dyDescent="0.3">
      <c r="O168" s="44"/>
    </row>
    <row r="169" spans="15:15" ht="15.75" customHeight="1" x14ac:dyDescent="0.3">
      <c r="O169" s="44"/>
    </row>
    <row r="170" spans="15:15" ht="15.75" customHeight="1" x14ac:dyDescent="0.3">
      <c r="O170" s="44"/>
    </row>
    <row r="171" spans="15:15" ht="15.75" customHeight="1" x14ac:dyDescent="0.3">
      <c r="O171" s="44"/>
    </row>
    <row r="172" spans="15:15" ht="15.75" customHeight="1" x14ac:dyDescent="0.3">
      <c r="O172" s="44"/>
    </row>
    <row r="173" spans="15:15" ht="15.75" customHeight="1" x14ac:dyDescent="0.3">
      <c r="O173" s="44"/>
    </row>
    <row r="174" spans="15:15" ht="15.75" customHeight="1" x14ac:dyDescent="0.3">
      <c r="O174" s="44"/>
    </row>
    <row r="175" spans="15:15" ht="15.75" customHeight="1" x14ac:dyDescent="0.3">
      <c r="O175" s="44"/>
    </row>
    <row r="176" spans="15:15" ht="15.75" customHeight="1" x14ac:dyDescent="0.3">
      <c r="O176" s="44"/>
    </row>
    <row r="177" spans="15:15" ht="15.75" customHeight="1" x14ac:dyDescent="0.3">
      <c r="O177" s="44"/>
    </row>
    <row r="178" spans="15:15" ht="15.75" customHeight="1" x14ac:dyDescent="0.3">
      <c r="O178" s="44"/>
    </row>
    <row r="179" spans="15:15" ht="15.75" customHeight="1" x14ac:dyDescent="0.3">
      <c r="O179" s="44"/>
    </row>
    <row r="180" spans="15:15" ht="15.75" customHeight="1" x14ac:dyDescent="0.3">
      <c r="O180" s="44"/>
    </row>
    <row r="181" spans="15:15" ht="15.75" customHeight="1" x14ac:dyDescent="0.3">
      <c r="O181" s="44"/>
    </row>
    <row r="182" spans="15:15" ht="15.75" customHeight="1" x14ac:dyDescent="0.3">
      <c r="O182" s="44"/>
    </row>
    <row r="183" spans="15:15" ht="15.75" customHeight="1" x14ac:dyDescent="0.3">
      <c r="O183" s="44"/>
    </row>
    <row r="184" spans="15:15" ht="15.75" customHeight="1" x14ac:dyDescent="0.3">
      <c r="O184" s="44"/>
    </row>
    <row r="185" spans="15:15" ht="15.75" customHeight="1" x14ac:dyDescent="0.3">
      <c r="O185" s="44"/>
    </row>
    <row r="186" spans="15:15" ht="15.75" customHeight="1" x14ac:dyDescent="0.3">
      <c r="O186" s="44"/>
    </row>
    <row r="187" spans="15:15" ht="15.75" customHeight="1" x14ac:dyDescent="0.3">
      <c r="O187" s="44"/>
    </row>
    <row r="188" spans="15:15" ht="15.75" customHeight="1" x14ac:dyDescent="0.3">
      <c r="O188" s="44"/>
    </row>
    <row r="189" spans="15:15" ht="15.75" customHeight="1" x14ac:dyDescent="0.3">
      <c r="O189" s="44"/>
    </row>
    <row r="190" spans="15:15" ht="15.75" customHeight="1" x14ac:dyDescent="0.3">
      <c r="O190" s="44"/>
    </row>
    <row r="191" spans="15:15" ht="15.75" customHeight="1" x14ac:dyDescent="0.3">
      <c r="O191" s="44"/>
    </row>
    <row r="192" spans="15:15" ht="15.75" customHeight="1" x14ac:dyDescent="0.3">
      <c r="O192" s="44"/>
    </row>
    <row r="193" spans="15:15" ht="15.75" customHeight="1" x14ac:dyDescent="0.3">
      <c r="O193" s="44"/>
    </row>
    <row r="194" spans="15:15" ht="15.75" customHeight="1" x14ac:dyDescent="0.3">
      <c r="O194" s="44"/>
    </row>
    <row r="195" spans="15:15" ht="15.75" customHeight="1" x14ac:dyDescent="0.3">
      <c r="O195" s="44"/>
    </row>
    <row r="196" spans="15:15" ht="15.75" customHeight="1" x14ac:dyDescent="0.3">
      <c r="O196" s="44"/>
    </row>
    <row r="197" spans="15:15" ht="15.75" customHeight="1" x14ac:dyDescent="0.3">
      <c r="O197" s="44"/>
    </row>
    <row r="198" spans="15:15" ht="15.75" customHeight="1" x14ac:dyDescent="0.3">
      <c r="O198" s="44"/>
    </row>
    <row r="199" spans="15:15" ht="15.75" customHeight="1" x14ac:dyDescent="0.3">
      <c r="O199" s="44"/>
    </row>
    <row r="200" spans="15:15" ht="15.75" customHeight="1" x14ac:dyDescent="0.3">
      <c r="O200" s="44"/>
    </row>
    <row r="201" spans="15:15" ht="15.75" customHeight="1" x14ac:dyDescent="0.3">
      <c r="O201" s="44"/>
    </row>
    <row r="202" spans="15:15" ht="15.75" customHeight="1" x14ac:dyDescent="0.3">
      <c r="O202" s="44"/>
    </row>
    <row r="203" spans="15:15" ht="15.75" customHeight="1" x14ac:dyDescent="0.3">
      <c r="O203" s="44"/>
    </row>
    <row r="204" spans="15:15" ht="15.75" customHeight="1" x14ac:dyDescent="0.3">
      <c r="O204" s="44"/>
    </row>
    <row r="205" spans="15:15" ht="15.75" customHeight="1" x14ac:dyDescent="0.3">
      <c r="O205" s="44"/>
    </row>
    <row r="206" spans="15:15" ht="15.75" customHeight="1" x14ac:dyDescent="0.3">
      <c r="O206" s="44"/>
    </row>
    <row r="207" spans="15:15" ht="15.75" customHeight="1" x14ac:dyDescent="0.3">
      <c r="O207" s="44"/>
    </row>
    <row r="208" spans="15:15" ht="15.75" customHeight="1" x14ac:dyDescent="0.3">
      <c r="O208" s="44"/>
    </row>
    <row r="209" spans="15:15" ht="15.75" customHeight="1" x14ac:dyDescent="0.3">
      <c r="O209" s="44"/>
    </row>
    <row r="210" spans="15:15" ht="15.75" customHeight="1" x14ac:dyDescent="0.3">
      <c r="O210" s="44"/>
    </row>
    <row r="211" spans="15:15" ht="15.75" customHeight="1" x14ac:dyDescent="0.3">
      <c r="O211" s="44"/>
    </row>
    <row r="212" spans="15:15" ht="15.75" customHeight="1" x14ac:dyDescent="0.3">
      <c r="O212" s="44"/>
    </row>
    <row r="213" spans="15:15" ht="15.75" customHeight="1" x14ac:dyDescent="0.3">
      <c r="O213" s="44"/>
    </row>
    <row r="214" spans="15:15" ht="15.75" customHeight="1" x14ac:dyDescent="0.3">
      <c r="O214" s="44"/>
    </row>
    <row r="215" spans="15:15" ht="15.75" customHeight="1" x14ac:dyDescent="0.3">
      <c r="O215" s="44"/>
    </row>
    <row r="216" spans="15:15" ht="15.75" customHeight="1" x14ac:dyDescent="0.3">
      <c r="O216" s="44"/>
    </row>
    <row r="217" spans="15:15" ht="15.75" customHeight="1" x14ac:dyDescent="0.3">
      <c r="O217" s="44"/>
    </row>
    <row r="218" spans="15:15" ht="15.75" customHeight="1" x14ac:dyDescent="0.3">
      <c r="O218" s="44"/>
    </row>
    <row r="219" spans="15:15" ht="15.75" customHeight="1" x14ac:dyDescent="0.3">
      <c r="O219" s="44"/>
    </row>
    <row r="220" spans="15:15" ht="15.75" customHeight="1" x14ac:dyDescent="0.3">
      <c r="O220" s="44"/>
    </row>
    <row r="221" spans="15:15" ht="15.75" customHeight="1" x14ac:dyDescent="0.3">
      <c r="O221" s="44"/>
    </row>
    <row r="222" spans="15:15" ht="15.75" customHeight="1" x14ac:dyDescent="0.3">
      <c r="O222" s="44"/>
    </row>
    <row r="223" spans="15:15" ht="15.75" customHeight="1" x14ac:dyDescent="0.3">
      <c r="O223" s="44"/>
    </row>
    <row r="224" spans="15:15" ht="15.75" customHeight="1" x14ac:dyDescent="0.3">
      <c r="O224" s="44"/>
    </row>
    <row r="225" spans="15:15" ht="15.75" customHeight="1" x14ac:dyDescent="0.3">
      <c r="O225" s="44"/>
    </row>
    <row r="226" spans="15:15" ht="15.75" customHeight="1" x14ac:dyDescent="0.3">
      <c r="O226" s="44"/>
    </row>
    <row r="227" spans="15:15" ht="15.75" customHeight="1" x14ac:dyDescent="0.3">
      <c r="O227" s="44"/>
    </row>
    <row r="228" spans="15:15" ht="15.75" customHeight="1" x14ac:dyDescent="0.3">
      <c r="O228" s="44"/>
    </row>
    <row r="229" spans="15:15" ht="15.75" customHeight="1" x14ac:dyDescent="0.3">
      <c r="O229" s="44"/>
    </row>
    <row r="230" spans="15:15" ht="15.75" customHeight="1" x14ac:dyDescent="0.3">
      <c r="O230" s="44"/>
    </row>
    <row r="231" spans="15:15" ht="15.75" customHeight="1" x14ac:dyDescent="0.3">
      <c r="O231" s="44"/>
    </row>
    <row r="232" spans="15:15" ht="15.75" customHeight="1" x14ac:dyDescent="0.3">
      <c r="O232" s="44"/>
    </row>
    <row r="233" spans="15:15" ht="15.75" customHeight="1" x14ac:dyDescent="0.3">
      <c r="O233" s="44"/>
    </row>
    <row r="234" spans="15:15" ht="15.75" customHeight="1" x14ac:dyDescent="0.3">
      <c r="O234" s="44"/>
    </row>
    <row r="235" spans="15:15" ht="15.75" customHeight="1" x14ac:dyDescent="0.3">
      <c r="O235" s="44"/>
    </row>
    <row r="236" spans="15:15" ht="15.75" customHeight="1" x14ac:dyDescent="0.3">
      <c r="O236" s="44"/>
    </row>
    <row r="237" spans="15:15" ht="15.75" customHeight="1" x14ac:dyDescent="0.3">
      <c r="O237" s="44"/>
    </row>
    <row r="238" spans="15:15" ht="15.75" customHeight="1" x14ac:dyDescent="0.3">
      <c r="O238" s="44"/>
    </row>
    <row r="239" spans="15:15" ht="15.75" customHeight="1" x14ac:dyDescent="0.3">
      <c r="O239" s="44"/>
    </row>
    <row r="240" spans="15:15" ht="15.75" customHeight="1" x14ac:dyDescent="0.3">
      <c r="O240" s="44"/>
    </row>
    <row r="241" spans="15:15" ht="15.75" customHeight="1" x14ac:dyDescent="0.3">
      <c r="O241" s="44"/>
    </row>
    <row r="242" spans="15:15" ht="15.75" customHeight="1" x14ac:dyDescent="0.3">
      <c r="O242" s="44"/>
    </row>
    <row r="243" spans="15:15" ht="15.75" customHeight="1" x14ac:dyDescent="0.3">
      <c r="O243" s="44"/>
    </row>
    <row r="244" spans="15:15" ht="15.75" customHeight="1" x14ac:dyDescent="0.3">
      <c r="O244" s="44"/>
    </row>
    <row r="245" spans="15:15" ht="15.75" customHeight="1" x14ac:dyDescent="0.3">
      <c r="O245" s="44"/>
    </row>
    <row r="246" spans="15:15" ht="15.75" customHeight="1" x14ac:dyDescent="0.3">
      <c r="O246" s="44"/>
    </row>
    <row r="247" spans="15:15" ht="15.75" customHeight="1" x14ac:dyDescent="0.3">
      <c r="O247" s="44"/>
    </row>
    <row r="248" spans="15:15" ht="15.75" customHeight="1" x14ac:dyDescent="0.3">
      <c r="O248" s="44"/>
    </row>
    <row r="249" spans="15:15" ht="15.75" customHeight="1" x14ac:dyDescent="0.3">
      <c r="O249" s="44"/>
    </row>
    <row r="250" spans="15:15" ht="15.75" customHeight="1" x14ac:dyDescent="0.3">
      <c r="O250" s="44"/>
    </row>
    <row r="251" spans="15:15" ht="15.75" customHeight="1" x14ac:dyDescent="0.3">
      <c r="O251" s="44"/>
    </row>
    <row r="252" spans="15:15" ht="15.75" customHeight="1" x14ac:dyDescent="0.3">
      <c r="O252" s="44"/>
    </row>
    <row r="253" spans="15:15" ht="15.75" customHeight="1" x14ac:dyDescent="0.3">
      <c r="O253" s="44"/>
    </row>
    <row r="254" spans="15:15" ht="15.75" customHeight="1" x14ac:dyDescent="0.3">
      <c r="O254" s="44"/>
    </row>
    <row r="255" spans="15:15" ht="15.75" customHeight="1" x14ac:dyDescent="0.3">
      <c r="O255" s="44"/>
    </row>
    <row r="256" spans="15:15" ht="15.75" customHeight="1" x14ac:dyDescent="0.3">
      <c r="O256" s="44"/>
    </row>
    <row r="257" spans="15:15" ht="15.75" customHeight="1" x14ac:dyDescent="0.3">
      <c r="O257" s="44"/>
    </row>
    <row r="258" spans="15:15" ht="15.75" customHeight="1" x14ac:dyDescent="0.3">
      <c r="O258" s="44"/>
    </row>
    <row r="259" spans="15:15" ht="15.75" customHeight="1" x14ac:dyDescent="0.3">
      <c r="O259" s="44"/>
    </row>
    <row r="260" spans="15:15" ht="15.75" customHeight="1" x14ac:dyDescent="0.3">
      <c r="O260" s="44"/>
    </row>
    <row r="261" spans="15:15" ht="15.75" customHeight="1" x14ac:dyDescent="0.3">
      <c r="O261" s="44"/>
    </row>
    <row r="262" spans="15:15" ht="15.75" customHeight="1" x14ac:dyDescent="0.3">
      <c r="O262" s="44"/>
    </row>
    <row r="263" spans="15:15" ht="15.75" customHeight="1" x14ac:dyDescent="0.3">
      <c r="O263" s="44"/>
    </row>
    <row r="264" spans="15:15" ht="15.75" customHeight="1" x14ac:dyDescent="0.3">
      <c r="O264" s="44"/>
    </row>
    <row r="265" spans="15:15" ht="15.75" customHeight="1" x14ac:dyDescent="0.3">
      <c r="O265" s="44"/>
    </row>
    <row r="266" spans="15:15" ht="15.75" customHeight="1" x14ac:dyDescent="0.3">
      <c r="O266" s="44"/>
    </row>
    <row r="267" spans="15:15" ht="15.75" customHeight="1" x14ac:dyDescent="0.3">
      <c r="O267" s="44"/>
    </row>
    <row r="268" spans="15:15" ht="15.75" customHeight="1" x14ac:dyDescent="0.3">
      <c r="O268" s="44"/>
    </row>
    <row r="269" spans="15:15" ht="15.75" customHeight="1" x14ac:dyDescent="0.3">
      <c r="O269" s="44"/>
    </row>
    <row r="270" spans="15:15" ht="15.75" customHeight="1" x14ac:dyDescent="0.3">
      <c r="O270" s="44"/>
    </row>
    <row r="271" spans="15:15" ht="15.75" customHeight="1" x14ac:dyDescent="0.3">
      <c r="O271" s="44"/>
    </row>
    <row r="272" spans="15:15" ht="15.75" customHeight="1" x14ac:dyDescent="0.3">
      <c r="O272" s="44"/>
    </row>
    <row r="273" spans="15:15" ht="15.75" customHeight="1" x14ac:dyDescent="0.3">
      <c r="O273" s="44"/>
    </row>
    <row r="274" spans="15:15" ht="15.75" customHeight="1" x14ac:dyDescent="0.3">
      <c r="O274" s="44"/>
    </row>
    <row r="275" spans="15:15" ht="15.75" customHeight="1" x14ac:dyDescent="0.3">
      <c r="O275" s="44"/>
    </row>
    <row r="276" spans="15:15" ht="15.75" customHeight="1" x14ac:dyDescent="0.3">
      <c r="O276" s="44"/>
    </row>
    <row r="277" spans="15:15" ht="15.75" customHeight="1" x14ac:dyDescent="0.3">
      <c r="O277" s="44"/>
    </row>
    <row r="278" spans="15:15" ht="15.75" customHeight="1" x14ac:dyDescent="0.3">
      <c r="O278" s="44"/>
    </row>
    <row r="279" spans="15:15" ht="15.75" customHeight="1" x14ac:dyDescent="0.3">
      <c r="O279" s="44"/>
    </row>
    <row r="280" spans="15:15" ht="15.75" customHeight="1" x14ac:dyDescent="0.3">
      <c r="O280" s="44"/>
    </row>
    <row r="281" spans="15:15" ht="15.75" customHeight="1" x14ac:dyDescent="0.3">
      <c r="O281" s="44"/>
    </row>
    <row r="282" spans="15:15" ht="15.75" customHeight="1" x14ac:dyDescent="0.3">
      <c r="O282" s="44"/>
    </row>
    <row r="283" spans="15:15" ht="15.75" customHeight="1" x14ac:dyDescent="0.3">
      <c r="O283" s="44"/>
    </row>
    <row r="284" spans="15:15" ht="15.75" customHeight="1" x14ac:dyDescent="0.3">
      <c r="O284" s="44"/>
    </row>
    <row r="285" spans="15:15" ht="15.75" customHeight="1" x14ac:dyDescent="0.3">
      <c r="O285" s="44"/>
    </row>
    <row r="286" spans="15:15" ht="15.75" customHeight="1" x14ac:dyDescent="0.3">
      <c r="O286" s="44"/>
    </row>
    <row r="287" spans="15:15" ht="15.75" customHeight="1" x14ac:dyDescent="0.3">
      <c r="O287" s="44"/>
    </row>
    <row r="288" spans="15:15" ht="15.75" customHeight="1" x14ac:dyDescent="0.3">
      <c r="O288" s="44"/>
    </row>
    <row r="289" spans="15:15" ht="15.75" customHeight="1" x14ac:dyDescent="0.3">
      <c r="O289" s="44"/>
    </row>
    <row r="290" spans="15:15" ht="15.75" customHeight="1" x14ac:dyDescent="0.3">
      <c r="O290" s="44"/>
    </row>
    <row r="291" spans="15:15" ht="15.75" customHeight="1" x14ac:dyDescent="0.3">
      <c r="O291" s="44"/>
    </row>
    <row r="292" spans="15:15" ht="15.75" customHeight="1" x14ac:dyDescent="0.3">
      <c r="O292" s="44"/>
    </row>
    <row r="293" spans="15:15" ht="15.75" customHeight="1" x14ac:dyDescent="0.3">
      <c r="O293" s="44"/>
    </row>
    <row r="294" spans="15:15" ht="15.75" customHeight="1" x14ac:dyDescent="0.3">
      <c r="O294" s="44"/>
    </row>
    <row r="295" spans="15:15" ht="15.75" customHeight="1" x14ac:dyDescent="0.3">
      <c r="O295" s="44"/>
    </row>
    <row r="296" spans="15:15" ht="15.75" customHeight="1" x14ac:dyDescent="0.3">
      <c r="O296" s="44"/>
    </row>
    <row r="297" spans="15:15" ht="15.75" customHeight="1" x14ac:dyDescent="0.3">
      <c r="O297" s="44"/>
    </row>
    <row r="298" spans="15:15" ht="15.75" customHeight="1" x14ac:dyDescent="0.3">
      <c r="O298" s="44"/>
    </row>
    <row r="299" spans="15:15" ht="15.75" customHeight="1" x14ac:dyDescent="0.3">
      <c r="O299" s="44"/>
    </row>
    <row r="300" spans="15:15" ht="15.75" customHeight="1" x14ac:dyDescent="0.3">
      <c r="O300" s="44"/>
    </row>
    <row r="301" spans="15:15" ht="15.75" customHeight="1" x14ac:dyDescent="0.3">
      <c r="O301" s="44"/>
    </row>
    <row r="302" spans="15:15" ht="15.75" customHeight="1" x14ac:dyDescent="0.3">
      <c r="O302" s="44"/>
    </row>
    <row r="303" spans="15:15" ht="15.75" customHeight="1" x14ac:dyDescent="0.3">
      <c r="O303" s="44"/>
    </row>
    <row r="304" spans="15:15" ht="15.75" customHeight="1" x14ac:dyDescent="0.3">
      <c r="O304" s="44"/>
    </row>
    <row r="305" spans="15:15" ht="15.75" customHeight="1" x14ac:dyDescent="0.3">
      <c r="O305" s="44"/>
    </row>
    <row r="306" spans="15:15" ht="15.75" customHeight="1" x14ac:dyDescent="0.3">
      <c r="O306" s="44"/>
    </row>
    <row r="307" spans="15:15" ht="15.75" customHeight="1" x14ac:dyDescent="0.3">
      <c r="O307" s="44"/>
    </row>
    <row r="308" spans="15:15" ht="15.75" customHeight="1" x14ac:dyDescent="0.3">
      <c r="O308" s="44"/>
    </row>
    <row r="309" spans="15:15" ht="15.75" customHeight="1" x14ac:dyDescent="0.3">
      <c r="O309" s="44"/>
    </row>
    <row r="310" spans="15:15" ht="15.75" customHeight="1" x14ac:dyDescent="0.3">
      <c r="O310" s="44"/>
    </row>
    <row r="311" spans="15:15" ht="15.75" customHeight="1" x14ac:dyDescent="0.3">
      <c r="O311" s="44"/>
    </row>
    <row r="312" spans="15:15" ht="15.75" customHeight="1" x14ac:dyDescent="0.3">
      <c r="O312" s="44"/>
    </row>
    <row r="313" spans="15:15" ht="15.75" customHeight="1" x14ac:dyDescent="0.3">
      <c r="O313" s="44"/>
    </row>
    <row r="314" spans="15:15" ht="15.75" customHeight="1" x14ac:dyDescent="0.3">
      <c r="O314" s="44"/>
    </row>
    <row r="315" spans="15:15" ht="15.75" customHeight="1" x14ac:dyDescent="0.3">
      <c r="O315" s="44"/>
    </row>
    <row r="316" spans="15:15" ht="15.75" customHeight="1" x14ac:dyDescent="0.3">
      <c r="O316" s="44"/>
    </row>
    <row r="317" spans="15:15" ht="15.75" customHeight="1" x14ac:dyDescent="0.3">
      <c r="O317" s="44"/>
    </row>
    <row r="318" spans="15:15" ht="15.75" customHeight="1" x14ac:dyDescent="0.3">
      <c r="O318" s="44"/>
    </row>
    <row r="319" spans="15:15" ht="15.75" customHeight="1" x14ac:dyDescent="0.3">
      <c r="O319" s="44"/>
    </row>
    <row r="320" spans="15:15" ht="15.75" customHeight="1" x14ac:dyDescent="0.3">
      <c r="O320" s="44"/>
    </row>
    <row r="321" spans="15:15" ht="15.75" customHeight="1" x14ac:dyDescent="0.3">
      <c r="O321" s="44"/>
    </row>
    <row r="322" spans="15:15" ht="15.75" customHeight="1" x14ac:dyDescent="0.3">
      <c r="O322" s="44"/>
    </row>
    <row r="323" spans="15:15" ht="15.75" customHeight="1" x14ac:dyDescent="0.3">
      <c r="O323" s="44"/>
    </row>
    <row r="324" spans="15:15" ht="15.75" customHeight="1" x14ac:dyDescent="0.3">
      <c r="O324" s="44"/>
    </row>
    <row r="325" spans="15:15" ht="15.75" customHeight="1" x14ac:dyDescent="0.3">
      <c r="O325" s="44"/>
    </row>
    <row r="326" spans="15:15" ht="15.75" customHeight="1" x14ac:dyDescent="0.3">
      <c r="O326" s="44"/>
    </row>
    <row r="327" spans="15:15" ht="15.75" customHeight="1" x14ac:dyDescent="0.3">
      <c r="O327" s="44"/>
    </row>
    <row r="328" spans="15:15" ht="15.75" customHeight="1" x14ac:dyDescent="0.3">
      <c r="O328" s="44"/>
    </row>
    <row r="329" spans="15:15" ht="15.75" customHeight="1" x14ac:dyDescent="0.3">
      <c r="O329" s="44"/>
    </row>
    <row r="330" spans="15:15" ht="15.75" customHeight="1" x14ac:dyDescent="0.3">
      <c r="O330" s="44"/>
    </row>
    <row r="331" spans="15:15" ht="15.75" customHeight="1" x14ac:dyDescent="0.3">
      <c r="O331" s="44"/>
    </row>
    <row r="332" spans="15:15" ht="15.75" customHeight="1" x14ac:dyDescent="0.3">
      <c r="O332" s="44"/>
    </row>
    <row r="333" spans="15:15" ht="15.75" customHeight="1" x14ac:dyDescent="0.3">
      <c r="O333" s="44"/>
    </row>
    <row r="334" spans="15:15" ht="15.75" customHeight="1" x14ac:dyDescent="0.3">
      <c r="O334" s="44"/>
    </row>
    <row r="335" spans="15:15" ht="15.75" customHeight="1" x14ac:dyDescent="0.3">
      <c r="O335" s="44"/>
    </row>
    <row r="336" spans="15:15" ht="15.75" customHeight="1" x14ac:dyDescent="0.3">
      <c r="O336" s="44"/>
    </row>
    <row r="337" spans="15:15" ht="15.75" customHeight="1" x14ac:dyDescent="0.3">
      <c r="O337" s="44"/>
    </row>
    <row r="338" spans="15:15" ht="15.75" customHeight="1" x14ac:dyDescent="0.3">
      <c r="O338" s="44"/>
    </row>
    <row r="339" spans="15:15" ht="15.75" customHeight="1" x14ac:dyDescent="0.3">
      <c r="O339" s="44"/>
    </row>
    <row r="340" spans="15:15" ht="15.75" customHeight="1" x14ac:dyDescent="0.3">
      <c r="O340" s="44"/>
    </row>
    <row r="341" spans="15:15" ht="15.75" customHeight="1" x14ac:dyDescent="0.3">
      <c r="O341" s="44"/>
    </row>
    <row r="342" spans="15:15" ht="15.75" customHeight="1" x14ac:dyDescent="0.3">
      <c r="O342" s="44"/>
    </row>
    <row r="343" spans="15:15" ht="15.75" customHeight="1" x14ac:dyDescent="0.3">
      <c r="O343" s="44"/>
    </row>
    <row r="344" spans="15:15" ht="15.75" customHeight="1" x14ac:dyDescent="0.3">
      <c r="O344" s="44"/>
    </row>
    <row r="345" spans="15:15" ht="15.75" customHeight="1" x14ac:dyDescent="0.3">
      <c r="O345" s="44"/>
    </row>
    <row r="346" spans="15:15" ht="15.75" customHeight="1" x14ac:dyDescent="0.3">
      <c r="O346" s="44"/>
    </row>
    <row r="347" spans="15:15" ht="15.75" customHeight="1" x14ac:dyDescent="0.3">
      <c r="O347" s="44"/>
    </row>
    <row r="348" spans="15:15" ht="15.75" customHeight="1" x14ac:dyDescent="0.3">
      <c r="O348" s="44"/>
    </row>
    <row r="349" spans="15:15" ht="15.75" customHeight="1" x14ac:dyDescent="0.3">
      <c r="O349" s="44"/>
    </row>
    <row r="350" spans="15:15" ht="15.75" customHeight="1" x14ac:dyDescent="0.3">
      <c r="O350" s="44"/>
    </row>
    <row r="351" spans="15:15" ht="15.75" customHeight="1" x14ac:dyDescent="0.3">
      <c r="O351" s="44"/>
    </row>
    <row r="352" spans="15:15" ht="15.75" customHeight="1" x14ac:dyDescent="0.3">
      <c r="O352" s="44"/>
    </row>
    <row r="353" spans="15:15" ht="15.75" customHeight="1" x14ac:dyDescent="0.3">
      <c r="O353" s="44"/>
    </row>
    <row r="354" spans="15:15" ht="15.75" customHeight="1" x14ac:dyDescent="0.3">
      <c r="O354" s="44"/>
    </row>
    <row r="355" spans="15:15" ht="15.75" customHeight="1" x14ac:dyDescent="0.3">
      <c r="O355" s="44"/>
    </row>
    <row r="356" spans="15:15" ht="15.75" customHeight="1" x14ac:dyDescent="0.3">
      <c r="O356" s="44"/>
    </row>
    <row r="357" spans="15:15" ht="15.75" customHeight="1" x14ac:dyDescent="0.3">
      <c r="O357" s="44"/>
    </row>
    <row r="358" spans="15:15" ht="15.75" customHeight="1" x14ac:dyDescent="0.3">
      <c r="O358" s="44"/>
    </row>
    <row r="359" spans="15:15" ht="15.75" customHeight="1" x14ac:dyDescent="0.3">
      <c r="O359" s="44"/>
    </row>
    <row r="360" spans="15:15" ht="15.75" customHeight="1" x14ac:dyDescent="0.3">
      <c r="O360" s="44"/>
    </row>
    <row r="361" spans="15:15" ht="15.75" customHeight="1" x14ac:dyDescent="0.3">
      <c r="O361" s="44"/>
    </row>
    <row r="362" spans="15:15" ht="15.75" customHeight="1" x14ac:dyDescent="0.3">
      <c r="O362" s="44"/>
    </row>
    <row r="363" spans="15:15" ht="15.75" customHeight="1" x14ac:dyDescent="0.3">
      <c r="O363" s="44"/>
    </row>
    <row r="364" spans="15:15" ht="15.75" customHeight="1" x14ac:dyDescent="0.3">
      <c r="O364" s="44"/>
    </row>
    <row r="365" spans="15:15" ht="15.75" customHeight="1" x14ac:dyDescent="0.3">
      <c r="O365" s="44"/>
    </row>
    <row r="366" spans="15:15" ht="15.75" customHeight="1" x14ac:dyDescent="0.3">
      <c r="O366" s="44"/>
    </row>
    <row r="367" spans="15:15" ht="15.75" customHeight="1" x14ac:dyDescent="0.3">
      <c r="O367" s="44"/>
    </row>
    <row r="368" spans="15:15" ht="15.75" customHeight="1" x14ac:dyDescent="0.3">
      <c r="O368" s="44"/>
    </row>
    <row r="369" spans="15:15" ht="15.75" customHeight="1" x14ac:dyDescent="0.3">
      <c r="O369" s="44"/>
    </row>
    <row r="370" spans="15:15" ht="15.75" customHeight="1" x14ac:dyDescent="0.3">
      <c r="O370" s="44"/>
    </row>
    <row r="371" spans="15:15" ht="15.75" customHeight="1" x14ac:dyDescent="0.3">
      <c r="O371" s="44"/>
    </row>
    <row r="372" spans="15:15" ht="15.75" customHeight="1" x14ac:dyDescent="0.3">
      <c r="O372" s="44"/>
    </row>
    <row r="373" spans="15:15" ht="15.75" customHeight="1" x14ac:dyDescent="0.3">
      <c r="O373" s="44"/>
    </row>
    <row r="374" spans="15:15" ht="15.75" customHeight="1" x14ac:dyDescent="0.3">
      <c r="O374" s="44"/>
    </row>
    <row r="375" spans="15:15" ht="15.75" customHeight="1" x14ac:dyDescent="0.3">
      <c r="O375" s="44"/>
    </row>
    <row r="376" spans="15:15" ht="15.75" customHeight="1" x14ac:dyDescent="0.3">
      <c r="O376" s="44"/>
    </row>
    <row r="377" spans="15:15" ht="15.75" customHeight="1" x14ac:dyDescent="0.3">
      <c r="O377" s="44"/>
    </row>
    <row r="378" spans="15:15" ht="15.75" customHeight="1" x14ac:dyDescent="0.3">
      <c r="O378" s="44"/>
    </row>
    <row r="379" spans="15:15" ht="15.75" customHeight="1" x14ac:dyDescent="0.3">
      <c r="O379" s="44"/>
    </row>
    <row r="380" spans="15:15" ht="15.75" customHeight="1" x14ac:dyDescent="0.3">
      <c r="O380" s="44"/>
    </row>
    <row r="381" spans="15:15" ht="15.75" customHeight="1" x14ac:dyDescent="0.3">
      <c r="O381" s="44"/>
    </row>
    <row r="382" spans="15:15" ht="15.75" customHeight="1" x14ac:dyDescent="0.3">
      <c r="O382" s="44"/>
    </row>
    <row r="383" spans="15:15" ht="15.75" customHeight="1" x14ac:dyDescent="0.3">
      <c r="O383" s="44"/>
    </row>
    <row r="384" spans="15:15" ht="15.75" customHeight="1" x14ac:dyDescent="0.3">
      <c r="O384" s="44"/>
    </row>
    <row r="385" spans="15:15" ht="15.75" customHeight="1" x14ac:dyDescent="0.3">
      <c r="O385" s="44"/>
    </row>
    <row r="386" spans="15:15" ht="15.75" customHeight="1" x14ac:dyDescent="0.3">
      <c r="O386" s="44"/>
    </row>
    <row r="387" spans="15:15" ht="15.75" customHeight="1" x14ac:dyDescent="0.3">
      <c r="O387" s="44"/>
    </row>
    <row r="388" spans="15:15" ht="15.75" customHeight="1" x14ac:dyDescent="0.3">
      <c r="O388" s="44"/>
    </row>
    <row r="389" spans="15:15" ht="15.75" customHeight="1" x14ac:dyDescent="0.3">
      <c r="O389" s="44"/>
    </row>
    <row r="390" spans="15:15" ht="15.75" customHeight="1" x14ac:dyDescent="0.3">
      <c r="O390" s="44"/>
    </row>
    <row r="391" spans="15:15" ht="15.75" customHeight="1" x14ac:dyDescent="0.3">
      <c r="O391" s="44"/>
    </row>
    <row r="392" spans="15:15" ht="15.75" customHeight="1" x14ac:dyDescent="0.3">
      <c r="O392" s="44"/>
    </row>
    <row r="393" spans="15:15" ht="15.75" customHeight="1" x14ac:dyDescent="0.3">
      <c r="O393" s="44"/>
    </row>
    <row r="394" spans="15:15" ht="15.75" customHeight="1" x14ac:dyDescent="0.3">
      <c r="O394" s="44"/>
    </row>
    <row r="395" spans="15:15" ht="15.75" customHeight="1" x14ac:dyDescent="0.3">
      <c r="O395" s="44"/>
    </row>
    <row r="396" spans="15:15" ht="15.75" customHeight="1" x14ac:dyDescent="0.3">
      <c r="O396" s="44"/>
    </row>
    <row r="397" spans="15:15" ht="15.75" customHeight="1" x14ac:dyDescent="0.3">
      <c r="O397" s="44"/>
    </row>
    <row r="398" spans="15:15" ht="15.75" customHeight="1" x14ac:dyDescent="0.3">
      <c r="O398" s="44"/>
    </row>
    <row r="399" spans="15:15" ht="15.75" customHeight="1" x14ac:dyDescent="0.3">
      <c r="O399" s="44"/>
    </row>
    <row r="400" spans="15:15" ht="15.75" customHeight="1" x14ac:dyDescent="0.3">
      <c r="O400" s="44"/>
    </row>
    <row r="401" spans="15:15" ht="15.75" customHeight="1" x14ac:dyDescent="0.3">
      <c r="O401" s="44"/>
    </row>
    <row r="402" spans="15:15" ht="15.75" customHeight="1" x14ac:dyDescent="0.3">
      <c r="O402" s="44"/>
    </row>
    <row r="403" spans="15:15" ht="15.75" customHeight="1" x14ac:dyDescent="0.3">
      <c r="O403" s="44"/>
    </row>
    <row r="404" spans="15:15" ht="15.75" customHeight="1" x14ac:dyDescent="0.3">
      <c r="O404" s="44"/>
    </row>
    <row r="405" spans="15:15" ht="15.75" customHeight="1" x14ac:dyDescent="0.3">
      <c r="O405" s="44"/>
    </row>
    <row r="406" spans="15:15" ht="15.75" customHeight="1" x14ac:dyDescent="0.3">
      <c r="O406" s="44"/>
    </row>
    <row r="407" spans="15:15" ht="15.75" customHeight="1" x14ac:dyDescent="0.3">
      <c r="O407" s="44"/>
    </row>
    <row r="408" spans="15:15" ht="15.75" customHeight="1" x14ac:dyDescent="0.3">
      <c r="O408" s="44"/>
    </row>
    <row r="409" spans="15:15" ht="15.75" customHeight="1" x14ac:dyDescent="0.3">
      <c r="O409" s="44"/>
    </row>
    <row r="410" spans="15:15" ht="15.75" customHeight="1" x14ac:dyDescent="0.3">
      <c r="O410" s="44"/>
    </row>
    <row r="411" spans="15:15" ht="15.75" customHeight="1" x14ac:dyDescent="0.3">
      <c r="O411" s="44"/>
    </row>
    <row r="412" spans="15:15" ht="15.75" customHeight="1" x14ac:dyDescent="0.3">
      <c r="O412" s="44"/>
    </row>
    <row r="413" spans="15:15" ht="15.75" customHeight="1" x14ac:dyDescent="0.3">
      <c r="O413" s="44"/>
    </row>
    <row r="414" spans="15:15" ht="15.75" customHeight="1" x14ac:dyDescent="0.3">
      <c r="O414" s="44"/>
    </row>
    <row r="415" spans="15:15" ht="15.75" customHeight="1" x14ac:dyDescent="0.3">
      <c r="O415" s="44"/>
    </row>
    <row r="416" spans="15:15" ht="15.75" customHeight="1" x14ac:dyDescent="0.3">
      <c r="O416" s="44"/>
    </row>
    <row r="417" spans="15:15" ht="15.75" customHeight="1" x14ac:dyDescent="0.3">
      <c r="O417" s="44"/>
    </row>
    <row r="418" spans="15:15" ht="15.75" customHeight="1" x14ac:dyDescent="0.3">
      <c r="O418" s="44"/>
    </row>
    <row r="419" spans="15:15" ht="15.75" customHeight="1" x14ac:dyDescent="0.3">
      <c r="O419" s="44"/>
    </row>
    <row r="420" spans="15:15" ht="15.75" customHeight="1" x14ac:dyDescent="0.3">
      <c r="O420" s="44"/>
    </row>
    <row r="421" spans="15:15" ht="15.75" customHeight="1" x14ac:dyDescent="0.3">
      <c r="O421" s="44"/>
    </row>
    <row r="422" spans="15:15" ht="15.75" customHeight="1" x14ac:dyDescent="0.3">
      <c r="O422" s="44"/>
    </row>
    <row r="423" spans="15:15" ht="15.75" customHeight="1" x14ac:dyDescent="0.3">
      <c r="O423" s="44"/>
    </row>
    <row r="424" spans="15:15" ht="15.75" customHeight="1" x14ac:dyDescent="0.3">
      <c r="O424" s="44"/>
    </row>
    <row r="425" spans="15:15" ht="15.75" customHeight="1" x14ac:dyDescent="0.3">
      <c r="O425" s="44"/>
    </row>
    <row r="426" spans="15:15" ht="15.75" customHeight="1" x14ac:dyDescent="0.3">
      <c r="O426" s="44"/>
    </row>
    <row r="427" spans="15:15" ht="15.75" customHeight="1" x14ac:dyDescent="0.3">
      <c r="O427" s="44"/>
    </row>
    <row r="428" spans="15:15" ht="15.75" customHeight="1" x14ac:dyDescent="0.3">
      <c r="O428" s="44"/>
    </row>
    <row r="429" spans="15:15" ht="15.75" customHeight="1" x14ac:dyDescent="0.3">
      <c r="O429" s="44"/>
    </row>
    <row r="430" spans="15:15" ht="15.75" customHeight="1" x14ac:dyDescent="0.3">
      <c r="O430" s="44"/>
    </row>
    <row r="431" spans="15:15" ht="15.75" customHeight="1" x14ac:dyDescent="0.3">
      <c r="O431" s="44"/>
    </row>
    <row r="432" spans="15:15" ht="15.75" customHeight="1" x14ac:dyDescent="0.3">
      <c r="O432" s="44"/>
    </row>
    <row r="433" spans="15:15" ht="15.75" customHeight="1" x14ac:dyDescent="0.3">
      <c r="O433" s="44"/>
    </row>
    <row r="434" spans="15:15" ht="15.75" customHeight="1" x14ac:dyDescent="0.3">
      <c r="O434" s="44"/>
    </row>
    <row r="435" spans="15:15" ht="15.75" customHeight="1" x14ac:dyDescent="0.3">
      <c r="O435" s="44"/>
    </row>
    <row r="436" spans="15:15" ht="15.75" customHeight="1" x14ac:dyDescent="0.3">
      <c r="O436" s="44"/>
    </row>
    <row r="437" spans="15:15" ht="15.75" customHeight="1" x14ac:dyDescent="0.3">
      <c r="O437" s="44"/>
    </row>
    <row r="438" spans="15:15" ht="15.75" customHeight="1" x14ac:dyDescent="0.3">
      <c r="O438" s="44"/>
    </row>
    <row r="439" spans="15:15" ht="15.75" customHeight="1" x14ac:dyDescent="0.3">
      <c r="O439" s="44"/>
    </row>
    <row r="440" spans="15:15" ht="15.75" customHeight="1" x14ac:dyDescent="0.3">
      <c r="O440" s="44"/>
    </row>
    <row r="441" spans="15:15" ht="15.75" customHeight="1" x14ac:dyDescent="0.3">
      <c r="O441" s="44"/>
    </row>
    <row r="442" spans="15:15" ht="15.75" customHeight="1" x14ac:dyDescent="0.3">
      <c r="O442" s="44"/>
    </row>
    <row r="443" spans="15:15" ht="15.75" customHeight="1" x14ac:dyDescent="0.3">
      <c r="O443" s="44"/>
    </row>
    <row r="444" spans="15:15" ht="15.75" customHeight="1" x14ac:dyDescent="0.3">
      <c r="O444" s="44"/>
    </row>
    <row r="445" spans="15:15" ht="15.75" customHeight="1" x14ac:dyDescent="0.3">
      <c r="O445" s="44"/>
    </row>
    <row r="446" spans="15:15" ht="15.75" customHeight="1" x14ac:dyDescent="0.3">
      <c r="O446" s="44"/>
    </row>
    <row r="447" spans="15:15" ht="15.75" customHeight="1" x14ac:dyDescent="0.3">
      <c r="O447" s="44"/>
    </row>
    <row r="448" spans="15:15" ht="15.75" customHeight="1" x14ac:dyDescent="0.3">
      <c r="O448" s="44"/>
    </row>
    <row r="449" spans="15:15" ht="15.75" customHeight="1" x14ac:dyDescent="0.3">
      <c r="O449" s="44"/>
    </row>
    <row r="450" spans="15:15" ht="15.75" customHeight="1" x14ac:dyDescent="0.3">
      <c r="O450" s="44"/>
    </row>
    <row r="451" spans="15:15" ht="15.75" customHeight="1" x14ac:dyDescent="0.3">
      <c r="O451" s="44"/>
    </row>
    <row r="452" spans="15:15" ht="15.75" customHeight="1" x14ac:dyDescent="0.3">
      <c r="O452" s="44"/>
    </row>
    <row r="453" spans="15:15" ht="15.75" customHeight="1" x14ac:dyDescent="0.3">
      <c r="O453" s="44"/>
    </row>
    <row r="454" spans="15:15" ht="15.75" customHeight="1" x14ac:dyDescent="0.3">
      <c r="O454" s="44"/>
    </row>
    <row r="455" spans="15:15" ht="15.75" customHeight="1" x14ac:dyDescent="0.3">
      <c r="O455" s="44"/>
    </row>
    <row r="456" spans="15:15" ht="15.75" customHeight="1" x14ac:dyDescent="0.3">
      <c r="O456" s="44"/>
    </row>
    <row r="457" spans="15:15" ht="15.75" customHeight="1" x14ac:dyDescent="0.3">
      <c r="O457" s="44"/>
    </row>
    <row r="458" spans="15:15" ht="15.75" customHeight="1" x14ac:dyDescent="0.3">
      <c r="O458" s="44"/>
    </row>
    <row r="459" spans="15:15" ht="15.75" customHeight="1" x14ac:dyDescent="0.3">
      <c r="O459" s="44"/>
    </row>
    <row r="460" spans="15:15" ht="15.75" customHeight="1" x14ac:dyDescent="0.3">
      <c r="O460" s="44"/>
    </row>
    <row r="461" spans="15:15" ht="15.75" customHeight="1" x14ac:dyDescent="0.3">
      <c r="O461" s="44"/>
    </row>
    <row r="462" spans="15:15" ht="15.75" customHeight="1" x14ac:dyDescent="0.3">
      <c r="O462" s="44"/>
    </row>
    <row r="463" spans="15:15" ht="15.75" customHeight="1" x14ac:dyDescent="0.3">
      <c r="O463" s="44"/>
    </row>
    <row r="464" spans="15:15" ht="15.75" customHeight="1" x14ac:dyDescent="0.3">
      <c r="O464" s="44"/>
    </row>
    <row r="465" spans="15:15" ht="15.75" customHeight="1" x14ac:dyDescent="0.3">
      <c r="O465" s="44"/>
    </row>
    <row r="466" spans="15:15" ht="15.75" customHeight="1" x14ac:dyDescent="0.3">
      <c r="O466" s="44"/>
    </row>
    <row r="467" spans="15:15" ht="15.75" customHeight="1" x14ac:dyDescent="0.3">
      <c r="O467" s="44"/>
    </row>
    <row r="468" spans="15:15" ht="15.75" customHeight="1" x14ac:dyDescent="0.3">
      <c r="O468" s="44"/>
    </row>
    <row r="469" spans="15:15" ht="15.75" customHeight="1" x14ac:dyDescent="0.3">
      <c r="O469" s="44"/>
    </row>
    <row r="470" spans="15:15" ht="15.75" customHeight="1" x14ac:dyDescent="0.3">
      <c r="O470" s="44"/>
    </row>
    <row r="471" spans="15:15" ht="15.75" customHeight="1" x14ac:dyDescent="0.3">
      <c r="O471" s="44"/>
    </row>
    <row r="472" spans="15:15" ht="15.75" customHeight="1" x14ac:dyDescent="0.3">
      <c r="O472" s="44"/>
    </row>
    <row r="473" spans="15:15" ht="15.75" customHeight="1" x14ac:dyDescent="0.3">
      <c r="O473" s="44"/>
    </row>
    <row r="474" spans="15:15" ht="15.75" customHeight="1" x14ac:dyDescent="0.3">
      <c r="O474" s="44"/>
    </row>
    <row r="475" spans="15:15" ht="15.75" customHeight="1" x14ac:dyDescent="0.3">
      <c r="O475" s="44"/>
    </row>
    <row r="476" spans="15:15" ht="15.75" customHeight="1" x14ac:dyDescent="0.3">
      <c r="O476" s="44"/>
    </row>
    <row r="477" spans="15:15" ht="15.75" customHeight="1" x14ac:dyDescent="0.3">
      <c r="O477" s="44"/>
    </row>
    <row r="478" spans="15:15" ht="15.75" customHeight="1" x14ac:dyDescent="0.3">
      <c r="O478" s="44"/>
    </row>
    <row r="479" spans="15:15" ht="15.75" customHeight="1" x14ac:dyDescent="0.3">
      <c r="O479" s="44"/>
    </row>
    <row r="480" spans="15:15" ht="15.75" customHeight="1" x14ac:dyDescent="0.3">
      <c r="O480" s="44"/>
    </row>
    <row r="481" spans="15:15" ht="15.75" customHeight="1" x14ac:dyDescent="0.3">
      <c r="O481" s="44"/>
    </row>
    <row r="482" spans="15:15" ht="15.75" customHeight="1" x14ac:dyDescent="0.3">
      <c r="O482" s="44"/>
    </row>
    <row r="483" spans="15:15" ht="15.75" customHeight="1" x14ac:dyDescent="0.3">
      <c r="O483" s="44"/>
    </row>
    <row r="484" spans="15:15" ht="15.75" customHeight="1" x14ac:dyDescent="0.3">
      <c r="O484" s="44"/>
    </row>
    <row r="485" spans="15:15" ht="15.75" customHeight="1" x14ac:dyDescent="0.3">
      <c r="O485" s="44"/>
    </row>
    <row r="486" spans="15:15" ht="15.75" customHeight="1" x14ac:dyDescent="0.3">
      <c r="O486" s="44"/>
    </row>
    <row r="487" spans="15:15" ht="15.75" customHeight="1" x14ac:dyDescent="0.3">
      <c r="O487" s="44"/>
    </row>
    <row r="488" spans="15:15" ht="15.75" customHeight="1" x14ac:dyDescent="0.3">
      <c r="O488" s="44"/>
    </row>
    <row r="489" spans="15:15" ht="15.75" customHeight="1" x14ac:dyDescent="0.3">
      <c r="O489" s="44"/>
    </row>
    <row r="490" spans="15:15" ht="15.75" customHeight="1" x14ac:dyDescent="0.3">
      <c r="O490" s="44"/>
    </row>
    <row r="491" spans="15:15" ht="15.75" customHeight="1" x14ac:dyDescent="0.3">
      <c r="O491" s="44"/>
    </row>
    <row r="492" spans="15:15" ht="15.75" customHeight="1" x14ac:dyDescent="0.3">
      <c r="O492" s="44"/>
    </row>
    <row r="493" spans="15:15" ht="15.75" customHeight="1" x14ac:dyDescent="0.3">
      <c r="O493" s="44"/>
    </row>
    <row r="494" spans="15:15" ht="15.75" customHeight="1" x14ac:dyDescent="0.3">
      <c r="O494" s="44"/>
    </row>
    <row r="495" spans="15:15" ht="15.75" customHeight="1" x14ac:dyDescent="0.3">
      <c r="O495" s="44"/>
    </row>
    <row r="496" spans="15:15" ht="15.75" customHeight="1" x14ac:dyDescent="0.3">
      <c r="O496" s="44"/>
    </row>
    <row r="497" spans="15:15" ht="15.75" customHeight="1" x14ac:dyDescent="0.3">
      <c r="O497" s="44"/>
    </row>
    <row r="498" spans="15:15" ht="15.75" customHeight="1" x14ac:dyDescent="0.3">
      <c r="O498" s="44"/>
    </row>
    <row r="499" spans="15:15" ht="15.75" customHeight="1" x14ac:dyDescent="0.3">
      <c r="O499" s="44"/>
    </row>
    <row r="500" spans="15:15" ht="15.75" customHeight="1" x14ac:dyDescent="0.3">
      <c r="O500" s="44"/>
    </row>
    <row r="501" spans="15:15" ht="15.75" customHeight="1" x14ac:dyDescent="0.3">
      <c r="O501" s="44"/>
    </row>
    <row r="502" spans="15:15" ht="15.75" customHeight="1" x14ac:dyDescent="0.3">
      <c r="O502" s="44"/>
    </row>
    <row r="503" spans="15:15" ht="15.75" customHeight="1" x14ac:dyDescent="0.3">
      <c r="O503" s="44"/>
    </row>
    <row r="504" spans="15:15" ht="15.75" customHeight="1" x14ac:dyDescent="0.3">
      <c r="O504" s="44"/>
    </row>
    <row r="505" spans="15:15" ht="15.75" customHeight="1" x14ac:dyDescent="0.3">
      <c r="O505" s="44"/>
    </row>
    <row r="506" spans="15:15" ht="15.75" customHeight="1" x14ac:dyDescent="0.3">
      <c r="O506" s="44"/>
    </row>
    <row r="507" spans="15:15" ht="15.75" customHeight="1" x14ac:dyDescent="0.3">
      <c r="O507" s="44"/>
    </row>
    <row r="508" spans="15:15" ht="15.75" customHeight="1" x14ac:dyDescent="0.3">
      <c r="O508" s="44"/>
    </row>
    <row r="509" spans="15:15" ht="15.75" customHeight="1" x14ac:dyDescent="0.3">
      <c r="O509" s="44"/>
    </row>
    <row r="510" spans="15:15" ht="15.75" customHeight="1" x14ac:dyDescent="0.3">
      <c r="O510" s="44"/>
    </row>
    <row r="511" spans="15:15" ht="15.75" customHeight="1" x14ac:dyDescent="0.3">
      <c r="O511" s="44"/>
    </row>
    <row r="512" spans="15:15" ht="15.75" customHeight="1" x14ac:dyDescent="0.3">
      <c r="O512" s="44"/>
    </row>
    <row r="513" spans="15:15" ht="15.75" customHeight="1" x14ac:dyDescent="0.3">
      <c r="O513" s="44"/>
    </row>
    <row r="514" spans="15:15" ht="15.75" customHeight="1" x14ac:dyDescent="0.3">
      <c r="O514" s="44"/>
    </row>
    <row r="515" spans="15:15" ht="15.75" customHeight="1" x14ac:dyDescent="0.3">
      <c r="O515" s="44"/>
    </row>
    <row r="516" spans="15:15" ht="15.75" customHeight="1" x14ac:dyDescent="0.3">
      <c r="O516" s="44"/>
    </row>
    <row r="517" spans="15:15" ht="15.75" customHeight="1" x14ac:dyDescent="0.3">
      <c r="O517" s="44"/>
    </row>
    <row r="518" spans="15:15" ht="15.75" customHeight="1" x14ac:dyDescent="0.3">
      <c r="O518" s="44"/>
    </row>
    <row r="519" spans="15:15" ht="15.75" customHeight="1" x14ac:dyDescent="0.3">
      <c r="O519" s="44"/>
    </row>
    <row r="520" spans="15:15" ht="15.75" customHeight="1" x14ac:dyDescent="0.3">
      <c r="O520" s="44"/>
    </row>
    <row r="521" spans="15:15" ht="15.75" customHeight="1" x14ac:dyDescent="0.3">
      <c r="O521" s="44"/>
    </row>
    <row r="522" spans="15:15" ht="15.75" customHeight="1" x14ac:dyDescent="0.3">
      <c r="O522" s="44"/>
    </row>
    <row r="523" spans="15:15" ht="15.75" customHeight="1" x14ac:dyDescent="0.3">
      <c r="O523" s="44"/>
    </row>
    <row r="524" spans="15:15" ht="15.75" customHeight="1" x14ac:dyDescent="0.3">
      <c r="O524" s="44"/>
    </row>
    <row r="525" spans="15:15" ht="15.75" customHeight="1" x14ac:dyDescent="0.3">
      <c r="O525" s="44"/>
    </row>
    <row r="526" spans="15:15" ht="15.75" customHeight="1" x14ac:dyDescent="0.3">
      <c r="O526" s="44"/>
    </row>
    <row r="527" spans="15:15" ht="15.75" customHeight="1" x14ac:dyDescent="0.3">
      <c r="O527" s="44"/>
    </row>
    <row r="528" spans="15:15" ht="15.75" customHeight="1" x14ac:dyDescent="0.3">
      <c r="O528" s="44"/>
    </row>
    <row r="529" spans="15:15" ht="15.75" customHeight="1" x14ac:dyDescent="0.3">
      <c r="O529" s="44"/>
    </row>
    <row r="530" spans="15:15" ht="15.75" customHeight="1" x14ac:dyDescent="0.3">
      <c r="O530" s="44"/>
    </row>
    <row r="531" spans="15:15" ht="15.75" customHeight="1" x14ac:dyDescent="0.3">
      <c r="O531" s="44"/>
    </row>
    <row r="532" spans="15:15" ht="15.75" customHeight="1" x14ac:dyDescent="0.3">
      <c r="O532" s="44"/>
    </row>
    <row r="533" spans="15:15" ht="15.75" customHeight="1" x14ac:dyDescent="0.3">
      <c r="O533" s="44"/>
    </row>
    <row r="534" spans="15:15" ht="15.75" customHeight="1" x14ac:dyDescent="0.3">
      <c r="O534" s="44"/>
    </row>
    <row r="535" spans="15:15" ht="15.75" customHeight="1" x14ac:dyDescent="0.3">
      <c r="O535" s="44"/>
    </row>
    <row r="536" spans="15:15" ht="15.75" customHeight="1" x14ac:dyDescent="0.3">
      <c r="O536" s="44"/>
    </row>
    <row r="537" spans="15:15" ht="15.75" customHeight="1" x14ac:dyDescent="0.3">
      <c r="O537" s="44"/>
    </row>
    <row r="538" spans="15:15" ht="15.75" customHeight="1" x14ac:dyDescent="0.3">
      <c r="O538" s="44"/>
    </row>
    <row r="539" spans="15:15" ht="15.75" customHeight="1" x14ac:dyDescent="0.3">
      <c r="O539" s="44"/>
    </row>
    <row r="540" spans="15:15" ht="15.75" customHeight="1" x14ac:dyDescent="0.3">
      <c r="O540" s="44"/>
    </row>
    <row r="541" spans="15:15" ht="15.75" customHeight="1" x14ac:dyDescent="0.3">
      <c r="O541" s="44"/>
    </row>
    <row r="542" spans="15:15" ht="15.75" customHeight="1" x14ac:dyDescent="0.3">
      <c r="O542" s="44"/>
    </row>
    <row r="543" spans="15:15" ht="15.75" customHeight="1" x14ac:dyDescent="0.3">
      <c r="O543" s="44"/>
    </row>
    <row r="544" spans="15:15" ht="15.75" customHeight="1" x14ac:dyDescent="0.3">
      <c r="O544" s="44"/>
    </row>
    <row r="545" spans="15:15" ht="15.75" customHeight="1" x14ac:dyDescent="0.3">
      <c r="O545" s="44"/>
    </row>
    <row r="546" spans="15:15" ht="15.75" customHeight="1" x14ac:dyDescent="0.3">
      <c r="O546" s="44"/>
    </row>
    <row r="547" spans="15:15" ht="15.75" customHeight="1" x14ac:dyDescent="0.3">
      <c r="O547" s="44"/>
    </row>
    <row r="548" spans="15:15" ht="15.75" customHeight="1" x14ac:dyDescent="0.3">
      <c r="O548" s="44"/>
    </row>
    <row r="549" spans="15:15" ht="15.75" customHeight="1" x14ac:dyDescent="0.3">
      <c r="O549" s="44"/>
    </row>
    <row r="550" spans="15:15" ht="15.75" customHeight="1" x14ac:dyDescent="0.3">
      <c r="O550" s="44"/>
    </row>
    <row r="551" spans="15:15" ht="15.75" customHeight="1" x14ac:dyDescent="0.3">
      <c r="O551" s="44"/>
    </row>
    <row r="552" spans="15:15" ht="15.75" customHeight="1" x14ac:dyDescent="0.3">
      <c r="O552" s="44"/>
    </row>
    <row r="553" spans="15:15" ht="15.75" customHeight="1" x14ac:dyDescent="0.3">
      <c r="O553" s="44"/>
    </row>
    <row r="554" spans="15:15" ht="15.75" customHeight="1" x14ac:dyDescent="0.3">
      <c r="O554" s="44"/>
    </row>
    <row r="555" spans="15:15" ht="15.75" customHeight="1" x14ac:dyDescent="0.3">
      <c r="O555" s="44"/>
    </row>
    <row r="556" spans="15:15" ht="15.75" customHeight="1" x14ac:dyDescent="0.3">
      <c r="O556" s="44"/>
    </row>
    <row r="557" spans="15:15" ht="15.75" customHeight="1" x14ac:dyDescent="0.3">
      <c r="O557" s="44"/>
    </row>
    <row r="558" spans="15:15" ht="15.75" customHeight="1" x14ac:dyDescent="0.3">
      <c r="O558" s="44"/>
    </row>
    <row r="559" spans="15:15" ht="15.75" customHeight="1" x14ac:dyDescent="0.3">
      <c r="O559" s="44"/>
    </row>
    <row r="560" spans="15:15" ht="15.75" customHeight="1" x14ac:dyDescent="0.3">
      <c r="O560" s="44"/>
    </row>
    <row r="561" spans="15:15" ht="15.75" customHeight="1" x14ac:dyDescent="0.3">
      <c r="O561" s="44"/>
    </row>
    <row r="562" spans="15:15" ht="15.75" customHeight="1" x14ac:dyDescent="0.3">
      <c r="O562" s="44"/>
    </row>
    <row r="563" spans="15:15" ht="15.75" customHeight="1" x14ac:dyDescent="0.3">
      <c r="O563" s="44"/>
    </row>
    <row r="564" spans="15:15" ht="15.75" customHeight="1" x14ac:dyDescent="0.3">
      <c r="O564" s="44"/>
    </row>
    <row r="565" spans="15:15" ht="15.75" customHeight="1" x14ac:dyDescent="0.3">
      <c r="O565" s="44"/>
    </row>
    <row r="566" spans="15:15" ht="15.75" customHeight="1" x14ac:dyDescent="0.3">
      <c r="O566" s="44"/>
    </row>
    <row r="567" spans="15:15" ht="15.75" customHeight="1" x14ac:dyDescent="0.3">
      <c r="O567" s="44"/>
    </row>
    <row r="568" spans="15:15" ht="15.75" customHeight="1" x14ac:dyDescent="0.3">
      <c r="O568" s="44"/>
    </row>
    <row r="569" spans="15:15" ht="15.75" customHeight="1" x14ac:dyDescent="0.3">
      <c r="O569" s="44"/>
    </row>
    <row r="570" spans="15:15" ht="15.75" customHeight="1" x14ac:dyDescent="0.3">
      <c r="O570" s="44"/>
    </row>
    <row r="571" spans="15:15" ht="15.75" customHeight="1" x14ac:dyDescent="0.3">
      <c r="O571" s="44"/>
    </row>
    <row r="572" spans="15:15" ht="15.75" customHeight="1" x14ac:dyDescent="0.3">
      <c r="O572" s="44"/>
    </row>
    <row r="573" spans="15:15" ht="15.75" customHeight="1" x14ac:dyDescent="0.3">
      <c r="O573" s="44"/>
    </row>
    <row r="574" spans="15:15" ht="15.75" customHeight="1" x14ac:dyDescent="0.3">
      <c r="O574" s="44"/>
    </row>
    <row r="575" spans="15:15" ht="15.75" customHeight="1" x14ac:dyDescent="0.3">
      <c r="O575" s="44"/>
    </row>
    <row r="576" spans="15:15" ht="15.75" customHeight="1" x14ac:dyDescent="0.3">
      <c r="O576" s="44"/>
    </row>
    <row r="577" spans="15:15" ht="15.75" customHeight="1" x14ac:dyDescent="0.3">
      <c r="O577" s="44"/>
    </row>
    <row r="578" spans="15:15" ht="15.75" customHeight="1" x14ac:dyDescent="0.3">
      <c r="O578" s="44"/>
    </row>
    <row r="579" spans="15:15" ht="15.75" customHeight="1" x14ac:dyDescent="0.3">
      <c r="O579" s="44"/>
    </row>
    <row r="580" spans="15:15" ht="15.75" customHeight="1" x14ac:dyDescent="0.3">
      <c r="O580" s="44"/>
    </row>
    <row r="581" spans="15:15" ht="15.75" customHeight="1" x14ac:dyDescent="0.3">
      <c r="O581" s="44"/>
    </row>
    <row r="582" spans="15:15" ht="15.75" customHeight="1" x14ac:dyDescent="0.3">
      <c r="O582" s="44"/>
    </row>
    <row r="583" spans="15:15" ht="15.75" customHeight="1" x14ac:dyDescent="0.3">
      <c r="O583" s="44"/>
    </row>
    <row r="584" spans="15:15" ht="15.75" customHeight="1" x14ac:dyDescent="0.3">
      <c r="O584" s="44"/>
    </row>
    <row r="585" spans="15:15" ht="15.75" customHeight="1" x14ac:dyDescent="0.3">
      <c r="O585" s="44"/>
    </row>
    <row r="586" spans="15:15" ht="15.75" customHeight="1" x14ac:dyDescent="0.3">
      <c r="O586" s="44"/>
    </row>
    <row r="587" spans="15:15" ht="15.75" customHeight="1" x14ac:dyDescent="0.3">
      <c r="O587" s="44"/>
    </row>
    <row r="588" spans="15:15" ht="15.75" customHeight="1" x14ac:dyDescent="0.3">
      <c r="O588" s="44"/>
    </row>
    <row r="589" spans="15:15" ht="15.75" customHeight="1" x14ac:dyDescent="0.3">
      <c r="O589" s="44"/>
    </row>
    <row r="590" spans="15:15" ht="15.75" customHeight="1" x14ac:dyDescent="0.3">
      <c r="O590" s="44"/>
    </row>
    <row r="591" spans="15:15" ht="15.75" customHeight="1" x14ac:dyDescent="0.3">
      <c r="O591" s="44"/>
    </row>
    <row r="592" spans="15:15" ht="15.75" customHeight="1" x14ac:dyDescent="0.3">
      <c r="O592" s="44"/>
    </row>
    <row r="593" spans="15:15" ht="15.75" customHeight="1" x14ac:dyDescent="0.3">
      <c r="O593" s="44"/>
    </row>
    <row r="594" spans="15:15" ht="15.75" customHeight="1" x14ac:dyDescent="0.3">
      <c r="O594" s="44"/>
    </row>
    <row r="595" spans="15:15" ht="15.75" customHeight="1" x14ac:dyDescent="0.3">
      <c r="O595" s="44"/>
    </row>
    <row r="596" spans="15:15" ht="15.75" customHeight="1" x14ac:dyDescent="0.3">
      <c r="O596" s="44"/>
    </row>
    <row r="597" spans="15:15" ht="15.75" customHeight="1" x14ac:dyDescent="0.3">
      <c r="O597" s="44"/>
    </row>
    <row r="598" spans="15:15" ht="15.75" customHeight="1" x14ac:dyDescent="0.3">
      <c r="O598" s="44"/>
    </row>
    <row r="599" spans="15:15" ht="15.75" customHeight="1" x14ac:dyDescent="0.3">
      <c r="O599" s="44"/>
    </row>
    <row r="600" spans="15:15" ht="15.75" customHeight="1" x14ac:dyDescent="0.3">
      <c r="O600" s="44"/>
    </row>
    <row r="601" spans="15:15" ht="15.75" customHeight="1" x14ac:dyDescent="0.3">
      <c r="O601" s="44"/>
    </row>
    <row r="602" spans="15:15" ht="15.75" customHeight="1" x14ac:dyDescent="0.3">
      <c r="O602" s="44"/>
    </row>
    <row r="603" spans="15:15" ht="15.75" customHeight="1" x14ac:dyDescent="0.3">
      <c r="O603" s="44"/>
    </row>
    <row r="604" spans="15:15" ht="15.75" customHeight="1" x14ac:dyDescent="0.3">
      <c r="O604" s="44"/>
    </row>
    <row r="605" spans="15:15" ht="15.75" customHeight="1" x14ac:dyDescent="0.3">
      <c r="O605" s="44"/>
    </row>
    <row r="606" spans="15:15" ht="15.75" customHeight="1" x14ac:dyDescent="0.3">
      <c r="O606" s="44"/>
    </row>
    <row r="607" spans="15:15" ht="15.75" customHeight="1" x14ac:dyDescent="0.3">
      <c r="O607" s="44"/>
    </row>
    <row r="608" spans="15:15" ht="15.75" customHeight="1" x14ac:dyDescent="0.3">
      <c r="O608" s="44"/>
    </row>
    <row r="609" spans="15:15" ht="15.75" customHeight="1" x14ac:dyDescent="0.3">
      <c r="O609" s="44"/>
    </row>
    <row r="610" spans="15:15" ht="15.75" customHeight="1" x14ac:dyDescent="0.3">
      <c r="O610" s="44"/>
    </row>
    <row r="611" spans="15:15" ht="15.75" customHeight="1" x14ac:dyDescent="0.3">
      <c r="O611" s="44"/>
    </row>
    <row r="612" spans="15:15" ht="15.75" customHeight="1" x14ac:dyDescent="0.3">
      <c r="O612" s="44"/>
    </row>
    <row r="613" spans="15:15" ht="15.75" customHeight="1" x14ac:dyDescent="0.3">
      <c r="O613" s="44"/>
    </row>
    <row r="614" spans="15:15" ht="15.75" customHeight="1" x14ac:dyDescent="0.3">
      <c r="O614" s="44"/>
    </row>
    <row r="615" spans="15:15" ht="15.75" customHeight="1" x14ac:dyDescent="0.3">
      <c r="O615" s="44"/>
    </row>
    <row r="616" spans="15:15" ht="15.75" customHeight="1" x14ac:dyDescent="0.3">
      <c r="O616" s="44"/>
    </row>
    <row r="617" spans="15:15" ht="15.75" customHeight="1" x14ac:dyDescent="0.3">
      <c r="O617" s="44"/>
    </row>
    <row r="618" spans="15:15" ht="15.75" customHeight="1" x14ac:dyDescent="0.3">
      <c r="O618" s="44"/>
    </row>
    <row r="619" spans="15:15" ht="15.75" customHeight="1" x14ac:dyDescent="0.3">
      <c r="O619" s="44"/>
    </row>
    <row r="620" spans="15:15" ht="15.75" customHeight="1" x14ac:dyDescent="0.3">
      <c r="O620" s="44"/>
    </row>
    <row r="621" spans="15:15" ht="15.75" customHeight="1" x14ac:dyDescent="0.3">
      <c r="O621" s="44"/>
    </row>
    <row r="622" spans="15:15" ht="15.75" customHeight="1" x14ac:dyDescent="0.3">
      <c r="O622" s="44"/>
    </row>
    <row r="623" spans="15:15" ht="15.75" customHeight="1" x14ac:dyDescent="0.3">
      <c r="O623" s="44"/>
    </row>
    <row r="624" spans="15:15" ht="15.75" customHeight="1" x14ac:dyDescent="0.3">
      <c r="O624" s="44"/>
    </row>
    <row r="625" spans="15:15" ht="15.75" customHeight="1" x14ac:dyDescent="0.3">
      <c r="O625" s="44"/>
    </row>
    <row r="626" spans="15:15" ht="15.75" customHeight="1" x14ac:dyDescent="0.3">
      <c r="O626" s="44"/>
    </row>
    <row r="627" spans="15:15" ht="15.75" customHeight="1" x14ac:dyDescent="0.3">
      <c r="O627" s="44"/>
    </row>
    <row r="628" spans="15:15" ht="15.75" customHeight="1" x14ac:dyDescent="0.3">
      <c r="O628" s="44"/>
    </row>
    <row r="629" spans="15:15" ht="15.75" customHeight="1" x14ac:dyDescent="0.3">
      <c r="O629" s="44"/>
    </row>
    <row r="630" spans="15:15" ht="15.75" customHeight="1" x14ac:dyDescent="0.3">
      <c r="O630" s="44"/>
    </row>
    <row r="631" spans="15:15" ht="15.75" customHeight="1" x14ac:dyDescent="0.3">
      <c r="O631" s="44"/>
    </row>
    <row r="632" spans="15:15" ht="15.75" customHeight="1" x14ac:dyDescent="0.3">
      <c r="O632" s="44"/>
    </row>
    <row r="633" spans="15:15" ht="15.75" customHeight="1" x14ac:dyDescent="0.3">
      <c r="O633" s="44"/>
    </row>
    <row r="634" spans="15:15" ht="15.75" customHeight="1" x14ac:dyDescent="0.3">
      <c r="O634" s="44"/>
    </row>
    <row r="635" spans="15:15" ht="15.75" customHeight="1" x14ac:dyDescent="0.3">
      <c r="O635" s="44"/>
    </row>
    <row r="636" spans="15:15" ht="15.75" customHeight="1" x14ac:dyDescent="0.3">
      <c r="O636" s="44"/>
    </row>
    <row r="637" spans="15:15" ht="15.75" customHeight="1" x14ac:dyDescent="0.3">
      <c r="O637" s="44"/>
    </row>
    <row r="638" spans="15:15" ht="15.75" customHeight="1" x14ac:dyDescent="0.3">
      <c r="O638" s="44"/>
    </row>
    <row r="639" spans="15:15" ht="15.75" customHeight="1" x14ac:dyDescent="0.3">
      <c r="O639" s="44"/>
    </row>
    <row r="640" spans="15:15" ht="15.75" customHeight="1" x14ac:dyDescent="0.3">
      <c r="O640" s="44"/>
    </row>
    <row r="641" spans="15:15" ht="15.75" customHeight="1" x14ac:dyDescent="0.3">
      <c r="O641" s="44"/>
    </row>
    <row r="642" spans="15:15" ht="15.75" customHeight="1" x14ac:dyDescent="0.3">
      <c r="O642" s="44"/>
    </row>
    <row r="643" spans="15:15" ht="15.75" customHeight="1" x14ac:dyDescent="0.3">
      <c r="O643" s="44"/>
    </row>
    <row r="644" spans="15:15" ht="15.75" customHeight="1" x14ac:dyDescent="0.3">
      <c r="O644" s="44"/>
    </row>
    <row r="645" spans="15:15" ht="15.75" customHeight="1" x14ac:dyDescent="0.3">
      <c r="O645" s="44"/>
    </row>
    <row r="646" spans="15:15" ht="15.75" customHeight="1" x14ac:dyDescent="0.3">
      <c r="O646" s="44"/>
    </row>
    <row r="647" spans="15:15" ht="15.75" customHeight="1" x14ac:dyDescent="0.3">
      <c r="O647" s="44"/>
    </row>
    <row r="648" spans="15:15" ht="15.75" customHeight="1" x14ac:dyDescent="0.3">
      <c r="O648" s="44"/>
    </row>
    <row r="649" spans="15:15" ht="15.75" customHeight="1" x14ac:dyDescent="0.3">
      <c r="O649" s="44"/>
    </row>
    <row r="650" spans="15:15" ht="15.75" customHeight="1" x14ac:dyDescent="0.3">
      <c r="O650" s="44"/>
    </row>
    <row r="651" spans="15:15" ht="15.75" customHeight="1" x14ac:dyDescent="0.3">
      <c r="O651" s="44"/>
    </row>
    <row r="652" spans="15:15" ht="15.75" customHeight="1" x14ac:dyDescent="0.3">
      <c r="O652" s="44"/>
    </row>
    <row r="653" spans="15:15" ht="15.75" customHeight="1" x14ac:dyDescent="0.3">
      <c r="O653" s="44"/>
    </row>
    <row r="654" spans="15:15" ht="15.75" customHeight="1" x14ac:dyDescent="0.3">
      <c r="O654" s="44"/>
    </row>
    <row r="655" spans="15:15" ht="15.75" customHeight="1" x14ac:dyDescent="0.3">
      <c r="O655" s="44"/>
    </row>
    <row r="656" spans="15:15" ht="15.75" customHeight="1" x14ac:dyDescent="0.3">
      <c r="O656" s="44"/>
    </row>
    <row r="657" spans="15:15" ht="15.75" customHeight="1" x14ac:dyDescent="0.3">
      <c r="O657" s="44"/>
    </row>
    <row r="658" spans="15:15" ht="15.75" customHeight="1" x14ac:dyDescent="0.3">
      <c r="O658" s="44"/>
    </row>
    <row r="659" spans="15:15" ht="15.75" customHeight="1" x14ac:dyDescent="0.3">
      <c r="O659" s="44"/>
    </row>
    <row r="660" spans="15:15" ht="15.75" customHeight="1" x14ac:dyDescent="0.3">
      <c r="O660" s="44"/>
    </row>
    <row r="661" spans="15:15" ht="15.75" customHeight="1" x14ac:dyDescent="0.3">
      <c r="O661" s="44"/>
    </row>
    <row r="662" spans="15:15" ht="15.75" customHeight="1" x14ac:dyDescent="0.3">
      <c r="O662" s="44"/>
    </row>
    <row r="663" spans="15:15" ht="15.75" customHeight="1" x14ac:dyDescent="0.3">
      <c r="O663" s="44"/>
    </row>
    <row r="664" spans="15:15" ht="15.75" customHeight="1" x14ac:dyDescent="0.3">
      <c r="O664" s="44"/>
    </row>
    <row r="665" spans="15:15" ht="15.75" customHeight="1" x14ac:dyDescent="0.3">
      <c r="O665" s="44"/>
    </row>
    <row r="666" spans="15:15" ht="15.75" customHeight="1" x14ac:dyDescent="0.3">
      <c r="O666" s="44"/>
    </row>
    <row r="667" spans="15:15" ht="15.75" customHeight="1" x14ac:dyDescent="0.3">
      <c r="O667" s="44"/>
    </row>
    <row r="668" spans="15:15" ht="15.75" customHeight="1" x14ac:dyDescent="0.3">
      <c r="O668" s="44"/>
    </row>
    <row r="669" spans="15:15" ht="15.75" customHeight="1" x14ac:dyDescent="0.3">
      <c r="O669" s="44"/>
    </row>
    <row r="670" spans="15:15" ht="15.75" customHeight="1" x14ac:dyDescent="0.3">
      <c r="O670" s="44"/>
    </row>
    <row r="671" spans="15:15" ht="15.75" customHeight="1" x14ac:dyDescent="0.3">
      <c r="O671" s="44"/>
    </row>
    <row r="672" spans="15:15" ht="15.75" customHeight="1" x14ac:dyDescent="0.3">
      <c r="O672" s="44"/>
    </row>
    <row r="673" spans="15:15" ht="15.75" customHeight="1" x14ac:dyDescent="0.3">
      <c r="O673" s="44"/>
    </row>
    <row r="674" spans="15:15" ht="15.75" customHeight="1" x14ac:dyDescent="0.3">
      <c r="O674" s="44"/>
    </row>
    <row r="675" spans="15:15" ht="15.75" customHeight="1" x14ac:dyDescent="0.3">
      <c r="O675" s="44"/>
    </row>
    <row r="676" spans="15:15" ht="15.75" customHeight="1" x14ac:dyDescent="0.3">
      <c r="O676" s="44"/>
    </row>
    <row r="677" spans="15:15" ht="15.75" customHeight="1" x14ac:dyDescent="0.3">
      <c r="O677" s="44"/>
    </row>
    <row r="678" spans="15:15" ht="15.75" customHeight="1" x14ac:dyDescent="0.3">
      <c r="O678" s="44"/>
    </row>
    <row r="679" spans="15:15" ht="15.75" customHeight="1" x14ac:dyDescent="0.3">
      <c r="O679" s="44"/>
    </row>
    <row r="680" spans="15:15" ht="15.75" customHeight="1" x14ac:dyDescent="0.3">
      <c r="O680" s="44"/>
    </row>
    <row r="681" spans="15:15" ht="15.75" customHeight="1" x14ac:dyDescent="0.3">
      <c r="O681" s="44"/>
    </row>
    <row r="682" spans="15:15" ht="15.75" customHeight="1" x14ac:dyDescent="0.3">
      <c r="O682" s="44"/>
    </row>
    <row r="683" spans="15:15" ht="15.75" customHeight="1" x14ac:dyDescent="0.3">
      <c r="O683" s="44"/>
    </row>
    <row r="684" spans="15:15" ht="15.75" customHeight="1" x14ac:dyDescent="0.3">
      <c r="O684" s="44"/>
    </row>
    <row r="685" spans="15:15" ht="15.75" customHeight="1" x14ac:dyDescent="0.3">
      <c r="O685" s="44"/>
    </row>
    <row r="686" spans="15:15" ht="15.75" customHeight="1" x14ac:dyDescent="0.3">
      <c r="O686" s="44"/>
    </row>
    <row r="687" spans="15:15" ht="15.75" customHeight="1" x14ac:dyDescent="0.3">
      <c r="O687" s="44"/>
    </row>
    <row r="688" spans="15:15" ht="15.75" customHeight="1" x14ac:dyDescent="0.3">
      <c r="O688" s="44"/>
    </row>
    <row r="689" spans="15:15" ht="15.75" customHeight="1" x14ac:dyDescent="0.3">
      <c r="O689" s="44"/>
    </row>
    <row r="690" spans="15:15" ht="15.75" customHeight="1" x14ac:dyDescent="0.3">
      <c r="O690" s="44"/>
    </row>
    <row r="691" spans="15:15" ht="15.75" customHeight="1" x14ac:dyDescent="0.3">
      <c r="O691" s="44"/>
    </row>
    <row r="692" spans="15:15" ht="15.75" customHeight="1" x14ac:dyDescent="0.3">
      <c r="O692" s="44"/>
    </row>
    <row r="693" spans="15:15" ht="15.75" customHeight="1" x14ac:dyDescent="0.3">
      <c r="O693" s="44"/>
    </row>
    <row r="694" spans="15:15" ht="15.75" customHeight="1" x14ac:dyDescent="0.3">
      <c r="O694" s="44"/>
    </row>
    <row r="695" spans="15:15" ht="15.75" customHeight="1" x14ac:dyDescent="0.3">
      <c r="O695" s="44"/>
    </row>
    <row r="696" spans="15:15" ht="15.75" customHeight="1" x14ac:dyDescent="0.3">
      <c r="O696" s="44"/>
    </row>
    <row r="697" spans="15:15" ht="15.75" customHeight="1" x14ac:dyDescent="0.3">
      <c r="O697" s="44"/>
    </row>
    <row r="698" spans="15:15" ht="15.75" customHeight="1" x14ac:dyDescent="0.3">
      <c r="O698" s="44"/>
    </row>
    <row r="699" spans="15:15" ht="15.75" customHeight="1" x14ac:dyDescent="0.3">
      <c r="O699" s="44"/>
    </row>
    <row r="700" spans="15:15" ht="15.75" customHeight="1" x14ac:dyDescent="0.3">
      <c r="O700" s="44"/>
    </row>
    <row r="701" spans="15:15" ht="15.75" customHeight="1" x14ac:dyDescent="0.3">
      <c r="O701" s="44"/>
    </row>
    <row r="702" spans="15:15" ht="15.75" customHeight="1" x14ac:dyDescent="0.3">
      <c r="O702" s="44"/>
    </row>
    <row r="703" spans="15:15" ht="15.75" customHeight="1" x14ac:dyDescent="0.3">
      <c r="O703" s="44"/>
    </row>
    <row r="704" spans="15:15" ht="15.75" customHeight="1" x14ac:dyDescent="0.3">
      <c r="O704" s="44"/>
    </row>
    <row r="705" spans="15:15" ht="15.75" customHeight="1" x14ac:dyDescent="0.3">
      <c r="O705" s="44"/>
    </row>
    <row r="706" spans="15:15" ht="15.75" customHeight="1" x14ac:dyDescent="0.3">
      <c r="O706" s="44"/>
    </row>
    <row r="707" spans="15:15" ht="15.75" customHeight="1" x14ac:dyDescent="0.3">
      <c r="O707" s="44"/>
    </row>
    <row r="708" spans="15:15" ht="15.75" customHeight="1" x14ac:dyDescent="0.3">
      <c r="O708" s="44"/>
    </row>
    <row r="709" spans="15:15" ht="15.75" customHeight="1" x14ac:dyDescent="0.3">
      <c r="O709" s="44"/>
    </row>
    <row r="710" spans="15:15" ht="15.75" customHeight="1" x14ac:dyDescent="0.3">
      <c r="O710" s="44"/>
    </row>
    <row r="711" spans="15:15" ht="15.75" customHeight="1" x14ac:dyDescent="0.3">
      <c r="O711" s="44"/>
    </row>
    <row r="712" spans="15:15" ht="15.75" customHeight="1" x14ac:dyDescent="0.3">
      <c r="O712" s="44"/>
    </row>
    <row r="713" spans="15:15" ht="15.75" customHeight="1" x14ac:dyDescent="0.3">
      <c r="O713" s="44"/>
    </row>
    <row r="714" spans="15:15" ht="15.75" customHeight="1" x14ac:dyDescent="0.3">
      <c r="O714" s="44"/>
    </row>
    <row r="715" spans="15:15" ht="15.75" customHeight="1" x14ac:dyDescent="0.3">
      <c r="O715" s="44"/>
    </row>
    <row r="716" spans="15:15" ht="15.75" customHeight="1" x14ac:dyDescent="0.3">
      <c r="O716" s="44"/>
    </row>
    <row r="717" spans="15:15" ht="15.75" customHeight="1" x14ac:dyDescent="0.3">
      <c r="O717" s="44"/>
    </row>
    <row r="718" spans="15:15" ht="15.75" customHeight="1" x14ac:dyDescent="0.3">
      <c r="O718" s="44"/>
    </row>
    <row r="719" spans="15:15" ht="15.75" customHeight="1" x14ac:dyDescent="0.3">
      <c r="O719" s="44"/>
    </row>
    <row r="720" spans="15:15" ht="15.75" customHeight="1" x14ac:dyDescent="0.3">
      <c r="O720" s="44"/>
    </row>
    <row r="721" spans="15:15" ht="15.75" customHeight="1" x14ac:dyDescent="0.3">
      <c r="O721" s="44"/>
    </row>
    <row r="722" spans="15:15" ht="15.75" customHeight="1" x14ac:dyDescent="0.3">
      <c r="O722" s="44"/>
    </row>
    <row r="723" spans="15:15" ht="15.75" customHeight="1" x14ac:dyDescent="0.3">
      <c r="O723" s="44"/>
    </row>
    <row r="724" spans="15:15" ht="15.75" customHeight="1" x14ac:dyDescent="0.3">
      <c r="O724" s="44"/>
    </row>
    <row r="725" spans="15:15" ht="15.75" customHeight="1" x14ac:dyDescent="0.3">
      <c r="O725" s="44"/>
    </row>
    <row r="726" spans="15:15" ht="15.75" customHeight="1" x14ac:dyDescent="0.3">
      <c r="O726" s="44"/>
    </row>
    <row r="727" spans="15:15" ht="15.75" customHeight="1" x14ac:dyDescent="0.3">
      <c r="O727" s="44"/>
    </row>
    <row r="728" spans="15:15" ht="15.75" customHeight="1" x14ac:dyDescent="0.3">
      <c r="O728" s="44"/>
    </row>
    <row r="729" spans="15:15" ht="15.75" customHeight="1" x14ac:dyDescent="0.3">
      <c r="O729" s="44"/>
    </row>
    <row r="730" spans="15:15" ht="15.75" customHeight="1" x14ac:dyDescent="0.3">
      <c r="O730" s="44"/>
    </row>
    <row r="731" spans="15:15" ht="15.75" customHeight="1" x14ac:dyDescent="0.3">
      <c r="O731" s="44"/>
    </row>
    <row r="732" spans="15:15" ht="15.75" customHeight="1" x14ac:dyDescent="0.3">
      <c r="O732" s="44"/>
    </row>
    <row r="733" spans="15:15" ht="15.75" customHeight="1" x14ac:dyDescent="0.3">
      <c r="O733" s="44"/>
    </row>
    <row r="734" spans="15:15" ht="15.75" customHeight="1" x14ac:dyDescent="0.3">
      <c r="O734" s="44"/>
    </row>
    <row r="735" spans="15:15" ht="15.75" customHeight="1" x14ac:dyDescent="0.3">
      <c r="O735" s="44"/>
    </row>
    <row r="736" spans="15:15" ht="15.75" customHeight="1" x14ac:dyDescent="0.3">
      <c r="O736" s="44"/>
    </row>
    <row r="737" spans="15:15" ht="15.75" customHeight="1" x14ac:dyDescent="0.3">
      <c r="O737" s="44"/>
    </row>
    <row r="738" spans="15:15" ht="15.75" customHeight="1" x14ac:dyDescent="0.3">
      <c r="O738" s="44"/>
    </row>
    <row r="739" spans="15:15" ht="15.75" customHeight="1" x14ac:dyDescent="0.3">
      <c r="O739" s="44"/>
    </row>
    <row r="740" spans="15:15" ht="15.75" customHeight="1" x14ac:dyDescent="0.3">
      <c r="O740" s="44"/>
    </row>
    <row r="741" spans="15:15" ht="15.75" customHeight="1" x14ac:dyDescent="0.3">
      <c r="O741" s="44"/>
    </row>
    <row r="742" spans="15:15" ht="15.75" customHeight="1" x14ac:dyDescent="0.3">
      <c r="O742" s="44"/>
    </row>
    <row r="743" spans="15:15" ht="15.75" customHeight="1" x14ac:dyDescent="0.3">
      <c r="O743" s="44"/>
    </row>
    <row r="744" spans="15:15" ht="15.75" customHeight="1" x14ac:dyDescent="0.3">
      <c r="O744" s="44"/>
    </row>
    <row r="745" spans="15:15" ht="15.75" customHeight="1" x14ac:dyDescent="0.3">
      <c r="O745" s="44"/>
    </row>
    <row r="746" spans="15:15" ht="15.75" customHeight="1" x14ac:dyDescent="0.3">
      <c r="O746" s="44"/>
    </row>
    <row r="747" spans="15:15" ht="15.75" customHeight="1" x14ac:dyDescent="0.3">
      <c r="O747" s="44"/>
    </row>
    <row r="748" spans="15:15" ht="15.75" customHeight="1" x14ac:dyDescent="0.3">
      <c r="O748" s="44"/>
    </row>
    <row r="749" spans="15:15" ht="15.75" customHeight="1" x14ac:dyDescent="0.3">
      <c r="O749" s="44"/>
    </row>
    <row r="750" spans="15:15" ht="15.75" customHeight="1" x14ac:dyDescent="0.3">
      <c r="O750" s="44"/>
    </row>
    <row r="751" spans="15:15" ht="15.75" customHeight="1" x14ac:dyDescent="0.3">
      <c r="O751" s="44"/>
    </row>
    <row r="752" spans="15:15" ht="15.75" customHeight="1" x14ac:dyDescent="0.3">
      <c r="O752" s="44"/>
    </row>
    <row r="753" spans="15:15" ht="15.75" customHeight="1" x14ac:dyDescent="0.3">
      <c r="O753" s="44"/>
    </row>
    <row r="754" spans="15:15" ht="15.75" customHeight="1" x14ac:dyDescent="0.3">
      <c r="O754" s="44"/>
    </row>
    <row r="755" spans="15:15" ht="15.75" customHeight="1" x14ac:dyDescent="0.3">
      <c r="O755" s="44"/>
    </row>
    <row r="756" spans="15:15" ht="15.75" customHeight="1" x14ac:dyDescent="0.3">
      <c r="O756" s="44"/>
    </row>
    <row r="757" spans="15:15" ht="15.75" customHeight="1" x14ac:dyDescent="0.3">
      <c r="O757" s="44"/>
    </row>
    <row r="758" spans="15:15" ht="15.75" customHeight="1" x14ac:dyDescent="0.3">
      <c r="O758" s="44"/>
    </row>
    <row r="759" spans="15:15" ht="15.75" customHeight="1" x14ac:dyDescent="0.3">
      <c r="O759" s="44"/>
    </row>
    <row r="760" spans="15:15" ht="15.75" customHeight="1" x14ac:dyDescent="0.3">
      <c r="O760" s="44"/>
    </row>
    <row r="761" spans="15:15" ht="15.75" customHeight="1" x14ac:dyDescent="0.3">
      <c r="O761" s="44"/>
    </row>
    <row r="762" spans="15:15" ht="15.75" customHeight="1" x14ac:dyDescent="0.3">
      <c r="O762" s="44"/>
    </row>
    <row r="763" spans="15:15" ht="15.75" customHeight="1" x14ac:dyDescent="0.3">
      <c r="O763" s="44"/>
    </row>
    <row r="764" spans="15:15" ht="15.75" customHeight="1" x14ac:dyDescent="0.3">
      <c r="O764" s="44"/>
    </row>
    <row r="765" spans="15:15" ht="15.75" customHeight="1" x14ac:dyDescent="0.3">
      <c r="O765" s="44"/>
    </row>
    <row r="766" spans="15:15" ht="15.75" customHeight="1" x14ac:dyDescent="0.3">
      <c r="O766" s="44"/>
    </row>
    <row r="767" spans="15:15" ht="15.75" customHeight="1" x14ac:dyDescent="0.3">
      <c r="O767" s="44"/>
    </row>
    <row r="768" spans="15:15" ht="15.75" customHeight="1" x14ac:dyDescent="0.3">
      <c r="O768" s="44"/>
    </row>
    <row r="769" spans="15:15" ht="15.75" customHeight="1" x14ac:dyDescent="0.3">
      <c r="O769" s="44"/>
    </row>
    <row r="770" spans="15:15" ht="15.75" customHeight="1" x14ac:dyDescent="0.3">
      <c r="O770" s="44"/>
    </row>
    <row r="771" spans="15:15" ht="15.75" customHeight="1" x14ac:dyDescent="0.3">
      <c r="O771" s="44"/>
    </row>
    <row r="772" spans="15:15" ht="15.75" customHeight="1" x14ac:dyDescent="0.3">
      <c r="O772" s="44"/>
    </row>
    <row r="773" spans="15:15" ht="15.75" customHeight="1" x14ac:dyDescent="0.3">
      <c r="O773" s="44"/>
    </row>
    <row r="774" spans="15:15" ht="15.75" customHeight="1" x14ac:dyDescent="0.3">
      <c r="O774" s="44"/>
    </row>
    <row r="775" spans="15:15" ht="15.75" customHeight="1" x14ac:dyDescent="0.3">
      <c r="O775" s="44"/>
    </row>
    <row r="776" spans="15:15" ht="15.75" customHeight="1" x14ac:dyDescent="0.3">
      <c r="O776" s="44"/>
    </row>
    <row r="777" spans="15:15" ht="15.75" customHeight="1" x14ac:dyDescent="0.3">
      <c r="O777" s="44"/>
    </row>
    <row r="778" spans="15:15" ht="15.75" customHeight="1" x14ac:dyDescent="0.3">
      <c r="O778" s="44"/>
    </row>
    <row r="779" spans="15:15" ht="15.75" customHeight="1" x14ac:dyDescent="0.3">
      <c r="O779" s="44"/>
    </row>
    <row r="780" spans="15:15" ht="15.75" customHeight="1" x14ac:dyDescent="0.3">
      <c r="O780" s="44"/>
    </row>
    <row r="781" spans="15:15" ht="15.75" customHeight="1" x14ac:dyDescent="0.3">
      <c r="O781" s="44"/>
    </row>
    <row r="782" spans="15:15" ht="15.75" customHeight="1" x14ac:dyDescent="0.3">
      <c r="O782" s="44"/>
    </row>
    <row r="783" spans="15:15" ht="15.75" customHeight="1" x14ac:dyDescent="0.3">
      <c r="O783" s="44"/>
    </row>
    <row r="784" spans="15:15" ht="15.75" customHeight="1" x14ac:dyDescent="0.3">
      <c r="O784" s="44"/>
    </row>
    <row r="785" spans="15:15" ht="15.75" customHeight="1" x14ac:dyDescent="0.3">
      <c r="O785" s="44"/>
    </row>
    <row r="786" spans="15:15" ht="15.75" customHeight="1" x14ac:dyDescent="0.3">
      <c r="O786" s="44"/>
    </row>
    <row r="787" spans="15:15" ht="15.75" customHeight="1" x14ac:dyDescent="0.3">
      <c r="O787" s="44"/>
    </row>
    <row r="788" spans="15:15" ht="15.75" customHeight="1" x14ac:dyDescent="0.3">
      <c r="O788" s="44"/>
    </row>
    <row r="789" spans="15:15" ht="15.75" customHeight="1" x14ac:dyDescent="0.3">
      <c r="O789" s="44"/>
    </row>
    <row r="790" spans="15:15" ht="15.75" customHeight="1" x14ac:dyDescent="0.3">
      <c r="O790" s="44"/>
    </row>
    <row r="791" spans="15:15" ht="15.75" customHeight="1" x14ac:dyDescent="0.3">
      <c r="O791" s="44"/>
    </row>
    <row r="792" spans="15:15" ht="15.75" customHeight="1" x14ac:dyDescent="0.3">
      <c r="O792" s="44"/>
    </row>
    <row r="793" spans="15:15" ht="15.75" customHeight="1" x14ac:dyDescent="0.3">
      <c r="O793" s="44"/>
    </row>
    <row r="794" spans="15:15" ht="15.75" customHeight="1" x14ac:dyDescent="0.3">
      <c r="O794" s="44"/>
    </row>
    <row r="795" spans="15:15" ht="15.75" customHeight="1" x14ac:dyDescent="0.3">
      <c r="O795" s="44"/>
    </row>
    <row r="796" spans="15:15" ht="15.75" customHeight="1" x14ac:dyDescent="0.3">
      <c r="O796" s="44"/>
    </row>
    <row r="797" spans="15:15" ht="15.75" customHeight="1" x14ac:dyDescent="0.3">
      <c r="O797" s="44"/>
    </row>
    <row r="798" spans="15:15" ht="15.75" customHeight="1" x14ac:dyDescent="0.3">
      <c r="O798" s="44"/>
    </row>
    <row r="799" spans="15:15" ht="15.75" customHeight="1" x14ac:dyDescent="0.3">
      <c r="O799" s="44"/>
    </row>
    <row r="800" spans="15:15" ht="15.75" customHeight="1" x14ac:dyDescent="0.3">
      <c r="O800" s="44"/>
    </row>
    <row r="801" spans="15:15" ht="15.75" customHeight="1" x14ac:dyDescent="0.3">
      <c r="O801" s="44"/>
    </row>
    <row r="802" spans="15:15" ht="15.75" customHeight="1" x14ac:dyDescent="0.3">
      <c r="O802" s="44"/>
    </row>
    <row r="803" spans="15:15" ht="15.75" customHeight="1" x14ac:dyDescent="0.3">
      <c r="O803" s="44"/>
    </row>
    <row r="804" spans="15:15" ht="15.75" customHeight="1" x14ac:dyDescent="0.3">
      <c r="O804" s="44"/>
    </row>
    <row r="805" spans="15:15" ht="15.75" customHeight="1" x14ac:dyDescent="0.3">
      <c r="O805" s="44"/>
    </row>
    <row r="806" spans="15:15" ht="15.75" customHeight="1" x14ac:dyDescent="0.3">
      <c r="O806" s="44"/>
    </row>
    <row r="807" spans="15:15" ht="15.75" customHeight="1" x14ac:dyDescent="0.3">
      <c r="O807" s="44"/>
    </row>
    <row r="808" spans="15:15" ht="15.75" customHeight="1" x14ac:dyDescent="0.3">
      <c r="O808" s="44"/>
    </row>
    <row r="809" spans="15:15" ht="15.75" customHeight="1" x14ac:dyDescent="0.3">
      <c r="O809" s="44"/>
    </row>
    <row r="810" spans="15:15" ht="15.75" customHeight="1" x14ac:dyDescent="0.3">
      <c r="O810" s="44"/>
    </row>
    <row r="811" spans="15:15" ht="15.75" customHeight="1" x14ac:dyDescent="0.3">
      <c r="O811" s="44"/>
    </row>
    <row r="812" spans="15:15" ht="15.75" customHeight="1" x14ac:dyDescent="0.3">
      <c r="O812" s="44"/>
    </row>
    <row r="813" spans="15:15" ht="15.75" customHeight="1" x14ac:dyDescent="0.3">
      <c r="O813" s="44"/>
    </row>
    <row r="814" spans="15:15" ht="15.75" customHeight="1" x14ac:dyDescent="0.3">
      <c r="O814" s="44"/>
    </row>
    <row r="815" spans="15:15" ht="15.75" customHeight="1" x14ac:dyDescent="0.3">
      <c r="O815" s="44"/>
    </row>
    <row r="816" spans="15:15" ht="15.75" customHeight="1" x14ac:dyDescent="0.3">
      <c r="O816" s="44"/>
    </row>
    <row r="817" spans="15:15" ht="15.75" customHeight="1" x14ac:dyDescent="0.3">
      <c r="O817" s="44"/>
    </row>
    <row r="818" spans="15:15" ht="15.75" customHeight="1" x14ac:dyDescent="0.3">
      <c r="O818" s="44"/>
    </row>
    <row r="819" spans="15:15" ht="15.75" customHeight="1" x14ac:dyDescent="0.3">
      <c r="O819" s="44"/>
    </row>
    <row r="820" spans="15:15" ht="15.75" customHeight="1" x14ac:dyDescent="0.3">
      <c r="O820" s="44"/>
    </row>
    <row r="821" spans="15:15" ht="15.75" customHeight="1" x14ac:dyDescent="0.3">
      <c r="O821" s="44"/>
    </row>
    <row r="822" spans="15:15" ht="15.75" customHeight="1" x14ac:dyDescent="0.3">
      <c r="O822" s="44"/>
    </row>
    <row r="823" spans="15:15" ht="15.75" customHeight="1" x14ac:dyDescent="0.3">
      <c r="O823" s="44"/>
    </row>
    <row r="824" spans="15:15" ht="15.75" customHeight="1" x14ac:dyDescent="0.3">
      <c r="O824" s="44"/>
    </row>
    <row r="825" spans="15:15" ht="15.75" customHeight="1" x14ac:dyDescent="0.3">
      <c r="O825" s="44"/>
    </row>
    <row r="826" spans="15:15" ht="15.75" customHeight="1" x14ac:dyDescent="0.3">
      <c r="O826" s="44"/>
    </row>
    <row r="827" spans="15:15" ht="15.75" customHeight="1" x14ac:dyDescent="0.3">
      <c r="O827" s="44"/>
    </row>
    <row r="828" spans="15:15" ht="15.75" customHeight="1" x14ac:dyDescent="0.3">
      <c r="O828" s="44"/>
    </row>
    <row r="829" spans="15:15" ht="15.75" customHeight="1" x14ac:dyDescent="0.3">
      <c r="O829" s="44"/>
    </row>
    <row r="830" spans="15:15" ht="15.75" customHeight="1" x14ac:dyDescent="0.3">
      <c r="O830" s="44"/>
    </row>
    <row r="831" spans="15:15" ht="15.75" customHeight="1" x14ac:dyDescent="0.3">
      <c r="O831" s="44"/>
    </row>
    <row r="832" spans="15:15" ht="15.75" customHeight="1" x14ac:dyDescent="0.3">
      <c r="O832" s="44"/>
    </row>
    <row r="833" spans="15:15" ht="15.75" customHeight="1" x14ac:dyDescent="0.3">
      <c r="O833" s="44"/>
    </row>
    <row r="834" spans="15:15" ht="15.75" customHeight="1" x14ac:dyDescent="0.3">
      <c r="O834" s="44"/>
    </row>
    <row r="835" spans="15:15" ht="15.75" customHeight="1" x14ac:dyDescent="0.3">
      <c r="O835" s="44"/>
    </row>
    <row r="836" spans="15:15" ht="15.75" customHeight="1" x14ac:dyDescent="0.3">
      <c r="O836" s="44"/>
    </row>
    <row r="837" spans="15:15" ht="15.75" customHeight="1" x14ac:dyDescent="0.3">
      <c r="O837" s="44"/>
    </row>
    <row r="838" spans="15:15" ht="15.75" customHeight="1" x14ac:dyDescent="0.3">
      <c r="O838" s="44"/>
    </row>
    <row r="839" spans="15:15" ht="15.75" customHeight="1" x14ac:dyDescent="0.3">
      <c r="O839" s="44"/>
    </row>
    <row r="840" spans="15:15" ht="15.75" customHeight="1" x14ac:dyDescent="0.3">
      <c r="O840" s="44"/>
    </row>
    <row r="841" spans="15:15" ht="15.75" customHeight="1" x14ac:dyDescent="0.3">
      <c r="O841" s="44"/>
    </row>
    <row r="842" spans="15:15" ht="15.75" customHeight="1" x14ac:dyDescent="0.3">
      <c r="O842" s="44"/>
    </row>
    <row r="843" spans="15:15" ht="15.75" customHeight="1" x14ac:dyDescent="0.3">
      <c r="O843" s="44"/>
    </row>
    <row r="844" spans="15:15" ht="15.75" customHeight="1" x14ac:dyDescent="0.3">
      <c r="O844" s="44"/>
    </row>
    <row r="845" spans="15:15" ht="15.75" customHeight="1" x14ac:dyDescent="0.3">
      <c r="O845" s="44"/>
    </row>
    <row r="846" spans="15:15" ht="15.75" customHeight="1" x14ac:dyDescent="0.3">
      <c r="O846" s="44"/>
    </row>
    <row r="847" spans="15:15" ht="15.75" customHeight="1" x14ac:dyDescent="0.3">
      <c r="O847" s="44"/>
    </row>
    <row r="848" spans="15:15" ht="15.75" customHeight="1" x14ac:dyDescent="0.3">
      <c r="O848" s="44"/>
    </row>
    <row r="849" spans="15:15" ht="15.75" customHeight="1" x14ac:dyDescent="0.3">
      <c r="O849" s="44"/>
    </row>
    <row r="850" spans="15:15" ht="15.75" customHeight="1" x14ac:dyDescent="0.3">
      <c r="O850" s="44"/>
    </row>
    <row r="851" spans="15:15" ht="15.75" customHeight="1" x14ac:dyDescent="0.3">
      <c r="O851" s="44"/>
    </row>
    <row r="852" spans="15:15" ht="15.75" customHeight="1" x14ac:dyDescent="0.3">
      <c r="O852" s="44"/>
    </row>
    <row r="853" spans="15:15" ht="15.75" customHeight="1" x14ac:dyDescent="0.3">
      <c r="O853" s="44"/>
    </row>
    <row r="854" spans="15:15" ht="15.75" customHeight="1" x14ac:dyDescent="0.3">
      <c r="O854" s="44"/>
    </row>
    <row r="855" spans="15:15" ht="15.75" customHeight="1" x14ac:dyDescent="0.3">
      <c r="O855" s="44"/>
    </row>
    <row r="856" spans="15:15" ht="15.75" customHeight="1" x14ac:dyDescent="0.3">
      <c r="O856" s="44"/>
    </row>
    <row r="857" spans="15:15" ht="15.75" customHeight="1" x14ac:dyDescent="0.3">
      <c r="O857" s="44"/>
    </row>
    <row r="858" spans="15:15" ht="15.75" customHeight="1" x14ac:dyDescent="0.3">
      <c r="O858" s="44"/>
    </row>
    <row r="859" spans="15:15" ht="15.75" customHeight="1" x14ac:dyDescent="0.3">
      <c r="O859" s="44"/>
    </row>
    <row r="860" spans="15:15" ht="15.75" customHeight="1" x14ac:dyDescent="0.3">
      <c r="O860" s="44"/>
    </row>
    <row r="861" spans="15:15" ht="15.75" customHeight="1" x14ac:dyDescent="0.3">
      <c r="O861" s="44"/>
    </row>
    <row r="862" spans="15:15" ht="15.75" customHeight="1" x14ac:dyDescent="0.3">
      <c r="O862" s="44"/>
    </row>
    <row r="863" spans="15:15" ht="15.75" customHeight="1" x14ac:dyDescent="0.3">
      <c r="O863" s="44"/>
    </row>
    <row r="864" spans="15:15" ht="15.75" customHeight="1" x14ac:dyDescent="0.3">
      <c r="O864" s="44"/>
    </row>
    <row r="865" spans="15:15" ht="15.75" customHeight="1" x14ac:dyDescent="0.3">
      <c r="O865" s="44"/>
    </row>
    <row r="866" spans="15:15" ht="15.75" customHeight="1" x14ac:dyDescent="0.3">
      <c r="O866" s="44"/>
    </row>
    <row r="867" spans="15:15" ht="15.75" customHeight="1" x14ac:dyDescent="0.3">
      <c r="O867" s="44"/>
    </row>
    <row r="868" spans="15:15" ht="15.75" customHeight="1" x14ac:dyDescent="0.3">
      <c r="O868" s="44"/>
    </row>
    <row r="869" spans="15:15" ht="15.75" customHeight="1" x14ac:dyDescent="0.3">
      <c r="O869" s="44"/>
    </row>
    <row r="870" spans="15:15" ht="15.75" customHeight="1" x14ac:dyDescent="0.3">
      <c r="O870" s="44"/>
    </row>
    <row r="871" spans="15:15" ht="15.75" customHeight="1" x14ac:dyDescent="0.3">
      <c r="O871" s="44"/>
    </row>
    <row r="872" spans="15:15" ht="15.75" customHeight="1" x14ac:dyDescent="0.3">
      <c r="O872" s="44"/>
    </row>
    <row r="873" spans="15:15" ht="15.75" customHeight="1" x14ac:dyDescent="0.3">
      <c r="O873" s="44"/>
    </row>
    <row r="874" spans="15:15" ht="15.75" customHeight="1" x14ac:dyDescent="0.3">
      <c r="O874" s="44"/>
    </row>
    <row r="875" spans="15:15" ht="15.75" customHeight="1" x14ac:dyDescent="0.3">
      <c r="O875" s="44"/>
    </row>
    <row r="876" spans="15:15" ht="15.75" customHeight="1" x14ac:dyDescent="0.3">
      <c r="O876" s="44"/>
    </row>
    <row r="877" spans="15:15" ht="15.75" customHeight="1" x14ac:dyDescent="0.3">
      <c r="O877" s="44"/>
    </row>
    <row r="878" spans="15:15" ht="15.75" customHeight="1" x14ac:dyDescent="0.3">
      <c r="O878" s="44"/>
    </row>
    <row r="879" spans="15:15" ht="15.75" customHeight="1" x14ac:dyDescent="0.3">
      <c r="O879" s="44"/>
    </row>
    <row r="880" spans="15:15" ht="15.75" customHeight="1" x14ac:dyDescent="0.3">
      <c r="O880" s="44"/>
    </row>
    <row r="881" spans="15:15" ht="15.75" customHeight="1" x14ac:dyDescent="0.3">
      <c r="O881" s="44"/>
    </row>
    <row r="882" spans="15:15" ht="15.75" customHeight="1" x14ac:dyDescent="0.3">
      <c r="O882" s="44"/>
    </row>
    <row r="883" spans="15:15" ht="15.75" customHeight="1" x14ac:dyDescent="0.3">
      <c r="O883" s="44"/>
    </row>
    <row r="884" spans="15:15" ht="15.75" customHeight="1" x14ac:dyDescent="0.3">
      <c r="O884" s="44"/>
    </row>
    <row r="885" spans="15:15" ht="15.75" customHeight="1" x14ac:dyDescent="0.3">
      <c r="O885" s="44"/>
    </row>
    <row r="886" spans="15:15" ht="15.75" customHeight="1" x14ac:dyDescent="0.3">
      <c r="O886" s="44"/>
    </row>
    <row r="887" spans="15:15" ht="15.75" customHeight="1" x14ac:dyDescent="0.3">
      <c r="O887" s="44"/>
    </row>
    <row r="888" spans="15:15" ht="15.75" customHeight="1" x14ac:dyDescent="0.3">
      <c r="O888" s="44"/>
    </row>
    <row r="889" spans="15:15" ht="15.75" customHeight="1" x14ac:dyDescent="0.3">
      <c r="O889" s="44"/>
    </row>
    <row r="890" spans="15:15" ht="15.75" customHeight="1" x14ac:dyDescent="0.3">
      <c r="O890" s="44"/>
    </row>
    <row r="891" spans="15:15" ht="15.75" customHeight="1" x14ac:dyDescent="0.3">
      <c r="O891" s="44"/>
    </row>
    <row r="892" spans="15:15" ht="15.75" customHeight="1" x14ac:dyDescent="0.3">
      <c r="O892" s="44"/>
    </row>
    <row r="893" spans="15:15" ht="15.75" customHeight="1" x14ac:dyDescent="0.3">
      <c r="O893" s="44"/>
    </row>
    <row r="894" spans="15:15" ht="15.75" customHeight="1" x14ac:dyDescent="0.3">
      <c r="O894" s="44"/>
    </row>
    <row r="895" spans="15:15" ht="15.75" customHeight="1" x14ac:dyDescent="0.3">
      <c r="O895" s="44"/>
    </row>
    <row r="896" spans="15:15" ht="15.75" customHeight="1" x14ac:dyDescent="0.3">
      <c r="O896" s="44"/>
    </row>
    <row r="897" spans="15:15" ht="15.75" customHeight="1" x14ac:dyDescent="0.3">
      <c r="O897" s="44"/>
    </row>
    <row r="898" spans="15:15" ht="15.75" customHeight="1" x14ac:dyDescent="0.3">
      <c r="O898" s="44"/>
    </row>
    <row r="899" spans="15:15" ht="15.75" customHeight="1" x14ac:dyDescent="0.3">
      <c r="O899" s="44"/>
    </row>
    <row r="900" spans="15:15" ht="15.75" customHeight="1" x14ac:dyDescent="0.3">
      <c r="O900" s="44"/>
    </row>
    <row r="901" spans="15:15" ht="15.75" customHeight="1" x14ac:dyDescent="0.3">
      <c r="O901" s="44"/>
    </row>
    <row r="902" spans="15:15" ht="15.75" customHeight="1" x14ac:dyDescent="0.3">
      <c r="O902" s="44"/>
    </row>
    <row r="903" spans="15:15" ht="15.75" customHeight="1" x14ac:dyDescent="0.3">
      <c r="O903" s="44"/>
    </row>
    <row r="904" spans="15:15" ht="15.75" customHeight="1" x14ac:dyDescent="0.3">
      <c r="O904" s="44"/>
    </row>
    <row r="905" spans="15:15" ht="15.75" customHeight="1" x14ac:dyDescent="0.3">
      <c r="O905" s="44"/>
    </row>
    <row r="906" spans="15:15" ht="15.75" customHeight="1" x14ac:dyDescent="0.3">
      <c r="O906" s="44"/>
    </row>
    <row r="907" spans="15:15" ht="15.75" customHeight="1" x14ac:dyDescent="0.3">
      <c r="O907" s="44"/>
    </row>
    <row r="908" spans="15:15" ht="15.75" customHeight="1" x14ac:dyDescent="0.3">
      <c r="O908" s="44"/>
    </row>
    <row r="909" spans="15:15" ht="15.75" customHeight="1" x14ac:dyDescent="0.3">
      <c r="O909" s="44"/>
    </row>
    <row r="910" spans="15:15" ht="15.75" customHeight="1" x14ac:dyDescent="0.3">
      <c r="O910" s="44"/>
    </row>
    <row r="911" spans="15:15" ht="15.75" customHeight="1" x14ac:dyDescent="0.3">
      <c r="O911" s="44"/>
    </row>
    <row r="912" spans="15:15" ht="15.75" customHeight="1" x14ac:dyDescent="0.3">
      <c r="O912" s="44"/>
    </row>
    <row r="913" spans="15:15" ht="15.75" customHeight="1" x14ac:dyDescent="0.3">
      <c r="O913" s="44"/>
    </row>
    <row r="914" spans="15:15" ht="15.75" customHeight="1" x14ac:dyDescent="0.3">
      <c r="O914" s="44"/>
    </row>
    <row r="915" spans="15:15" ht="15.75" customHeight="1" x14ac:dyDescent="0.3">
      <c r="O915" s="44"/>
    </row>
    <row r="916" spans="15:15" ht="15.75" customHeight="1" x14ac:dyDescent="0.3">
      <c r="O916" s="44"/>
    </row>
    <row r="917" spans="15:15" ht="15.75" customHeight="1" x14ac:dyDescent="0.3">
      <c r="O917" s="44"/>
    </row>
    <row r="918" spans="15:15" ht="15.75" customHeight="1" x14ac:dyDescent="0.3">
      <c r="O918" s="44"/>
    </row>
    <row r="919" spans="15:15" ht="15.75" customHeight="1" x14ac:dyDescent="0.3">
      <c r="O919" s="44"/>
    </row>
    <row r="920" spans="15:15" ht="15.75" customHeight="1" x14ac:dyDescent="0.3">
      <c r="O920" s="44"/>
    </row>
    <row r="921" spans="15:15" ht="15.75" customHeight="1" x14ac:dyDescent="0.3">
      <c r="O921" s="44"/>
    </row>
    <row r="922" spans="15:15" ht="15.75" customHeight="1" x14ac:dyDescent="0.3">
      <c r="O922" s="44"/>
    </row>
    <row r="923" spans="15:15" ht="15.75" customHeight="1" x14ac:dyDescent="0.3">
      <c r="O923" s="44"/>
    </row>
    <row r="924" spans="15:15" ht="15.75" customHeight="1" x14ac:dyDescent="0.3">
      <c r="O924" s="44"/>
    </row>
    <row r="925" spans="15:15" ht="15.75" customHeight="1" x14ac:dyDescent="0.3">
      <c r="O925" s="44"/>
    </row>
    <row r="926" spans="15:15" ht="15.75" customHeight="1" x14ac:dyDescent="0.3">
      <c r="O926" s="44"/>
    </row>
    <row r="927" spans="15:15" ht="15.75" customHeight="1" x14ac:dyDescent="0.3">
      <c r="O927" s="44"/>
    </row>
    <row r="928" spans="15:15" ht="15.75" customHeight="1" x14ac:dyDescent="0.3">
      <c r="O928" s="44"/>
    </row>
    <row r="929" spans="15:15" ht="15.75" customHeight="1" x14ac:dyDescent="0.3">
      <c r="O929" s="44"/>
    </row>
    <row r="930" spans="15:15" ht="15.75" customHeight="1" x14ac:dyDescent="0.3">
      <c r="O930" s="44"/>
    </row>
    <row r="931" spans="15:15" ht="15.75" customHeight="1" x14ac:dyDescent="0.3">
      <c r="O931" s="44"/>
    </row>
    <row r="932" spans="15:15" ht="15.75" customHeight="1" x14ac:dyDescent="0.3">
      <c r="O932" s="44"/>
    </row>
    <row r="933" spans="15:15" ht="15.75" customHeight="1" x14ac:dyDescent="0.3">
      <c r="O933" s="44"/>
    </row>
    <row r="934" spans="15:15" ht="15.75" customHeight="1" x14ac:dyDescent="0.3">
      <c r="O934" s="44"/>
    </row>
    <row r="935" spans="15:15" ht="15.75" customHeight="1" x14ac:dyDescent="0.3">
      <c r="O935" s="44"/>
    </row>
    <row r="936" spans="15:15" ht="15.75" customHeight="1" x14ac:dyDescent="0.3">
      <c r="O936" s="44"/>
    </row>
    <row r="937" spans="15:15" ht="15.75" customHeight="1" x14ac:dyDescent="0.3">
      <c r="O937" s="44"/>
    </row>
    <row r="938" spans="15:15" ht="15.75" customHeight="1" x14ac:dyDescent="0.3">
      <c r="O938" s="44"/>
    </row>
    <row r="939" spans="15:15" ht="15.75" customHeight="1" x14ac:dyDescent="0.3">
      <c r="O939" s="44"/>
    </row>
    <row r="940" spans="15:15" ht="15.75" customHeight="1" x14ac:dyDescent="0.3">
      <c r="O940" s="44"/>
    </row>
    <row r="941" spans="15:15" ht="15.75" customHeight="1" x14ac:dyDescent="0.3">
      <c r="O941" s="44"/>
    </row>
    <row r="942" spans="15:15" ht="15.75" customHeight="1" x14ac:dyDescent="0.3">
      <c r="O942" s="44"/>
    </row>
    <row r="943" spans="15:15" ht="15.75" customHeight="1" x14ac:dyDescent="0.3">
      <c r="O943" s="44"/>
    </row>
    <row r="944" spans="15:15" ht="15.75" customHeight="1" x14ac:dyDescent="0.3">
      <c r="O944" s="44"/>
    </row>
    <row r="945" spans="15:15" ht="15.75" customHeight="1" x14ac:dyDescent="0.3">
      <c r="O945" s="44"/>
    </row>
    <row r="946" spans="15:15" ht="15.75" customHeight="1" x14ac:dyDescent="0.3">
      <c r="O946" s="44"/>
    </row>
    <row r="947" spans="15:15" ht="15.75" customHeight="1" x14ac:dyDescent="0.3">
      <c r="O947" s="44"/>
    </row>
    <row r="948" spans="15:15" ht="15.75" customHeight="1" x14ac:dyDescent="0.3">
      <c r="O948" s="44"/>
    </row>
    <row r="949" spans="15:15" ht="15.75" customHeight="1" x14ac:dyDescent="0.3">
      <c r="O949" s="44"/>
    </row>
    <row r="950" spans="15:15" ht="15.75" customHeight="1" x14ac:dyDescent="0.3">
      <c r="O950" s="44"/>
    </row>
    <row r="951" spans="15:15" ht="15.75" customHeight="1" x14ac:dyDescent="0.3">
      <c r="O951" s="44"/>
    </row>
    <row r="952" spans="15:15" ht="15.75" customHeight="1" x14ac:dyDescent="0.3">
      <c r="O952" s="44"/>
    </row>
    <row r="953" spans="15:15" ht="15.75" customHeight="1" x14ac:dyDescent="0.3">
      <c r="O953" s="44"/>
    </row>
    <row r="954" spans="15:15" ht="15.75" customHeight="1" x14ac:dyDescent="0.3">
      <c r="O954" s="44"/>
    </row>
    <row r="955" spans="15:15" ht="15.75" customHeight="1" x14ac:dyDescent="0.3">
      <c r="O955" s="44"/>
    </row>
    <row r="956" spans="15:15" ht="15.75" customHeight="1" x14ac:dyDescent="0.3">
      <c r="O956" s="44"/>
    </row>
    <row r="957" spans="15:15" ht="15.75" customHeight="1" x14ac:dyDescent="0.3">
      <c r="O957" s="44"/>
    </row>
    <row r="958" spans="15:15" ht="15.75" customHeight="1" x14ac:dyDescent="0.3">
      <c r="O958" s="44"/>
    </row>
    <row r="959" spans="15:15" ht="15.75" customHeight="1" x14ac:dyDescent="0.3">
      <c r="O959" s="44"/>
    </row>
    <row r="960" spans="15:15" ht="15.75" customHeight="1" x14ac:dyDescent="0.3">
      <c r="O960" s="44"/>
    </row>
    <row r="961" spans="15:15" ht="15.75" customHeight="1" x14ac:dyDescent="0.3">
      <c r="O961" s="44"/>
    </row>
    <row r="962" spans="15:15" ht="15.75" customHeight="1" x14ac:dyDescent="0.3">
      <c r="O962" s="44"/>
    </row>
    <row r="963" spans="15:15" ht="15.75" customHeight="1" x14ac:dyDescent="0.3">
      <c r="O963" s="44"/>
    </row>
    <row r="964" spans="15:15" ht="15.75" customHeight="1" x14ac:dyDescent="0.3">
      <c r="O964" s="44"/>
    </row>
    <row r="965" spans="15:15" ht="15.75" customHeight="1" x14ac:dyDescent="0.3">
      <c r="O965" s="44"/>
    </row>
    <row r="966" spans="15:15" ht="15.75" customHeight="1" x14ac:dyDescent="0.3">
      <c r="O966" s="44"/>
    </row>
    <row r="967" spans="15:15" ht="15.75" customHeight="1" x14ac:dyDescent="0.3">
      <c r="O967" s="44"/>
    </row>
    <row r="968" spans="15:15" ht="15.75" customHeight="1" x14ac:dyDescent="0.3">
      <c r="O968" s="44"/>
    </row>
    <row r="969" spans="15:15" ht="15.75" customHeight="1" x14ac:dyDescent="0.3">
      <c r="O969" s="44"/>
    </row>
    <row r="970" spans="15:15" ht="15.75" customHeight="1" x14ac:dyDescent="0.3">
      <c r="O970" s="44"/>
    </row>
    <row r="971" spans="15:15" ht="15.75" customHeight="1" x14ac:dyDescent="0.3">
      <c r="O971" s="44"/>
    </row>
    <row r="972" spans="15:15" ht="15.75" customHeight="1" x14ac:dyDescent="0.3">
      <c r="O972" s="44"/>
    </row>
    <row r="973" spans="15:15" ht="15.75" customHeight="1" x14ac:dyDescent="0.3">
      <c r="O973" s="44"/>
    </row>
    <row r="974" spans="15:15" ht="15.75" customHeight="1" x14ac:dyDescent="0.3">
      <c r="O974" s="44"/>
    </row>
    <row r="975" spans="15:15" ht="15.75" customHeight="1" x14ac:dyDescent="0.3">
      <c r="O975" s="44"/>
    </row>
    <row r="976" spans="15:15" ht="15.75" customHeight="1" x14ac:dyDescent="0.3">
      <c r="O976" s="44"/>
    </row>
    <row r="977" spans="15:15" ht="15.75" customHeight="1" x14ac:dyDescent="0.3">
      <c r="O977" s="44"/>
    </row>
    <row r="978" spans="15:15" ht="15.75" customHeight="1" x14ac:dyDescent="0.3">
      <c r="O978" s="44"/>
    </row>
    <row r="979" spans="15:15" ht="15.75" customHeight="1" x14ac:dyDescent="0.3">
      <c r="O979" s="44"/>
    </row>
    <row r="980" spans="15:15" ht="15.75" customHeight="1" x14ac:dyDescent="0.3">
      <c r="O980" s="44"/>
    </row>
    <row r="981" spans="15:15" ht="15.75" customHeight="1" x14ac:dyDescent="0.3">
      <c r="O981" s="44"/>
    </row>
    <row r="982" spans="15:15" ht="15.75" customHeight="1" x14ac:dyDescent="0.3">
      <c r="O982" s="44"/>
    </row>
    <row r="983" spans="15:15" ht="15.75" customHeight="1" x14ac:dyDescent="0.3">
      <c r="O983" s="44"/>
    </row>
    <row r="984" spans="15:15" ht="15.75" customHeight="1" x14ac:dyDescent="0.3">
      <c r="O984" s="44"/>
    </row>
    <row r="985" spans="15:15" ht="15.75" customHeight="1" x14ac:dyDescent="0.3">
      <c r="O985" s="44"/>
    </row>
    <row r="986" spans="15:15" ht="15.75" customHeight="1" x14ac:dyDescent="0.3">
      <c r="O986" s="44"/>
    </row>
    <row r="987" spans="15:15" ht="15.75" customHeight="1" x14ac:dyDescent="0.3">
      <c r="O987" s="44"/>
    </row>
    <row r="988" spans="15:15" ht="15.75" customHeight="1" x14ac:dyDescent="0.3">
      <c r="O988" s="44"/>
    </row>
    <row r="989" spans="15:15" ht="15.75" customHeight="1" x14ac:dyDescent="0.3">
      <c r="O989" s="44"/>
    </row>
    <row r="990" spans="15:15" ht="15.75" customHeight="1" x14ac:dyDescent="0.3">
      <c r="O990" s="44"/>
    </row>
    <row r="991" spans="15:15" ht="15.75" customHeight="1" x14ac:dyDescent="0.3">
      <c r="O991" s="44"/>
    </row>
    <row r="992" spans="15:15" ht="15.75" customHeight="1" x14ac:dyDescent="0.3">
      <c r="O992" s="44"/>
    </row>
    <row r="993" spans="15:15" ht="15.75" customHeight="1" x14ac:dyDescent="0.3">
      <c r="O993" s="44"/>
    </row>
    <row r="994" spans="15:15" ht="15.75" customHeight="1" x14ac:dyDescent="0.3">
      <c r="O994" s="44"/>
    </row>
    <row r="995" spans="15:15" ht="15.75" customHeight="1" x14ac:dyDescent="0.3">
      <c r="O995" s="44"/>
    </row>
    <row r="996" spans="15:15" ht="15.75" customHeight="1" x14ac:dyDescent="0.3">
      <c r="O996" s="44"/>
    </row>
    <row r="997" spans="15:15" ht="15.75" customHeight="1" x14ac:dyDescent="0.3">
      <c r="O997" s="44"/>
    </row>
    <row r="998" spans="15:15" ht="15.75" customHeight="1" x14ac:dyDescent="0.3">
      <c r="O998" s="44"/>
    </row>
    <row r="999" spans="15:15" ht="15.75" customHeight="1" x14ac:dyDescent="0.3">
      <c r="O999" s="44"/>
    </row>
    <row r="1000" spans="15:15" ht="15.75" customHeight="1" x14ac:dyDescent="0.3">
      <c r="O1000" s="44"/>
    </row>
  </sheetData>
  <mergeCells count="91">
    <mergeCell ref="A1:O1"/>
    <mergeCell ref="CH3:CH4"/>
    <mergeCell ref="CV3:CV4"/>
    <mergeCell ref="EN3:EN4"/>
    <mergeCell ref="CX3:CX4"/>
    <mergeCell ref="AK3:AK4"/>
    <mergeCell ref="AW3:AW4"/>
    <mergeCell ref="EN1:FB1"/>
    <mergeCell ref="DH3:DH4"/>
    <mergeCell ref="BA3:BA4"/>
    <mergeCell ref="DX2:EC2"/>
    <mergeCell ref="U3:U4"/>
    <mergeCell ref="BO3:BO4"/>
    <mergeCell ref="BQ3:BQ4"/>
    <mergeCell ref="EH2:EK2"/>
    <mergeCell ref="CC3:CC4"/>
    <mergeCell ref="EX2:FA2"/>
    <mergeCell ref="ER3:ER4"/>
    <mergeCell ref="BS2:BV2"/>
    <mergeCell ref="CS3:CS4"/>
    <mergeCell ref="Q1:AE1"/>
    <mergeCell ref="AM2:AP2"/>
    <mergeCell ref="AW1:BK1"/>
    <mergeCell ref="CS1:DG1"/>
    <mergeCell ref="BC2:BF2"/>
    <mergeCell ref="DK3:DK4"/>
    <mergeCell ref="Q2:V2"/>
    <mergeCell ref="DC2:DF2"/>
    <mergeCell ref="R3:R4"/>
    <mergeCell ref="EC3:EC4"/>
    <mergeCell ref="CD3:CD4"/>
    <mergeCell ref="CM2:CP2"/>
    <mergeCell ref="T3:T4"/>
    <mergeCell ref="DZ3:DZ4"/>
    <mergeCell ref="DX3:DX4"/>
    <mergeCell ref="DX1:EL1"/>
    <mergeCell ref="DR2:DU2"/>
    <mergeCell ref="ED2:EG2"/>
    <mergeCell ref="W2:Z2"/>
    <mergeCell ref="AH3:AH4"/>
    <mergeCell ref="DH2:DM2"/>
    <mergeCell ref="BW2:BZ2"/>
    <mergeCell ref="CI2:CL2"/>
    <mergeCell ref="AW2:BB2"/>
    <mergeCell ref="V3:V4"/>
    <mergeCell ref="CC1:CQ1"/>
    <mergeCell ref="BB3:BB4"/>
    <mergeCell ref="ES3:ES4"/>
    <mergeCell ref="AL3:AL4"/>
    <mergeCell ref="AX3:AX4"/>
    <mergeCell ref="AZ3:AZ4"/>
    <mergeCell ref="CC2:CH2"/>
    <mergeCell ref="DL3:DL4"/>
    <mergeCell ref="EQ3:EQ4"/>
    <mergeCell ref="EO3:EO4"/>
    <mergeCell ref="ET2:EW2"/>
    <mergeCell ref="DI3:DI4"/>
    <mergeCell ref="AG1:AU1"/>
    <mergeCell ref="Q3:Q4"/>
    <mergeCell ref="AY3:AY4"/>
    <mergeCell ref="S3:S4"/>
    <mergeCell ref="AQ2:AT2"/>
    <mergeCell ref="EN2:ES2"/>
    <mergeCell ref="BM3:BM4"/>
    <mergeCell ref="CE3:CE4"/>
    <mergeCell ref="DM3:DM4"/>
    <mergeCell ref="BG2:BJ2"/>
    <mergeCell ref="CG3:CG4"/>
    <mergeCell ref="AA2:AD2"/>
    <mergeCell ref="BN3:BN4"/>
    <mergeCell ref="BP3:BP4"/>
    <mergeCell ref="BM1:BZ1"/>
    <mergeCell ref="CT3:CT4"/>
    <mergeCell ref="AG3:AG4"/>
    <mergeCell ref="AI3:AI4"/>
    <mergeCell ref="CU3:CU4"/>
    <mergeCell ref="AJ3:AJ4"/>
    <mergeCell ref="EB3:EB4"/>
    <mergeCell ref="DN2:DQ2"/>
    <mergeCell ref="EP3:EP4"/>
    <mergeCell ref="CF3:CF4"/>
    <mergeCell ref="DH1:DV1"/>
    <mergeCell ref="CW3:CW4"/>
    <mergeCell ref="CY2:DB2"/>
    <mergeCell ref="BM2:BR2"/>
    <mergeCell ref="EA3:EA4"/>
    <mergeCell ref="AG2:AL2"/>
    <mergeCell ref="CS2:CX2"/>
    <mergeCell ref="DY3:DY4"/>
    <mergeCell ref="BR3:BR4"/>
    <mergeCell ref="DJ3:DJ4"/>
  </mergeCells>
  <pageMargins left="0.25" right="0.25" top="0.75" bottom="0.75" header="0" footer="0"/>
  <pageSetup paperSize="9" orientation="portrait"/>
  <colBreaks count="4" manualBreakCount="4">
    <brk id="126" max="16383" man="1"/>
    <brk id="63" max="16383" man="1"/>
    <brk id="95" max="16383" man="1"/>
    <brk id="31" max="16383" man="1"/>
  </col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Z1000"/>
  <sheetViews>
    <sheetView workbookViewId="0">
      <selection activeCell="E15" sqref="E15"/>
    </sheetView>
  </sheetViews>
  <sheetFormatPr defaultColWidth="14.44140625" defaultRowHeight="15" customHeight="1" x14ac:dyDescent="0.3"/>
  <cols>
    <col min="1" max="1" width="8.88671875" customWidth="1"/>
    <col min="2" max="2" width="9.6640625" customWidth="1"/>
    <col min="3" max="3" width="5.109375" customWidth="1"/>
    <col min="4" max="4" width="5" customWidth="1"/>
    <col min="5" max="5" width="27.44140625" customWidth="1"/>
    <col min="6" max="6" width="13.109375" customWidth="1"/>
    <col min="7" max="7" width="7.33203125" customWidth="1"/>
    <col min="8" max="8" width="11.5546875" customWidth="1"/>
    <col min="9" max="9" width="6.44140625" customWidth="1"/>
    <col min="10" max="10" width="7" customWidth="1"/>
    <col min="11" max="11" width="12" customWidth="1"/>
    <col min="12" max="12" width="5.44140625" customWidth="1"/>
    <col min="13" max="13" width="6" customWidth="1"/>
    <col min="14" max="14" width="6.6640625" customWidth="1"/>
    <col min="15" max="15" width="13.88671875" customWidth="1"/>
    <col min="16" max="16" width="9.109375" customWidth="1"/>
    <col min="17" max="17" width="3" customWidth="1"/>
    <col min="18" max="18" width="21.6640625" customWidth="1"/>
    <col min="19" max="19" width="9.33203125" customWidth="1"/>
    <col min="20" max="22" width="9.109375" customWidth="1"/>
    <col min="23" max="23" width="10.88671875" customWidth="1"/>
    <col min="24" max="26" width="9.109375" customWidth="1"/>
  </cols>
  <sheetData>
    <row r="1" spans="1:26" ht="20.399999999999999" customHeight="1" x14ac:dyDescent="0.35">
      <c r="A1" s="353" t="s">
        <v>942</v>
      </c>
      <c r="B1" s="321"/>
      <c r="C1" s="321"/>
      <c r="D1" s="321"/>
      <c r="E1" s="321"/>
      <c r="F1" s="321"/>
      <c r="G1" s="321"/>
      <c r="H1" s="321"/>
      <c r="I1" s="321"/>
      <c r="J1" s="3"/>
      <c r="K1" s="3"/>
      <c r="L1" s="3"/>
      <c r="M1" s="3"/>
      <c r="N1" s="3"/>
      <c r="O1" s="3"/>
      <c r="P1" s="3"/>
      <c r="Q1" s="3"/>
      <c r="R1" s="3"/>
      <c r="S1" s="3"/>
      <c r="T1" s="3"/>
      <c r="U1" s="3"/>
      <c r="V1" s="3"/>
      <c r="W1" s="3"/>
      <c r="X1" s="3"/>
      <c r="Y1" s="3"/>
      <c r="Z1" s="3"/>
    </row>
    <row r="2" spans="1:26" ht="15.6" customHeight="1" x14ac:dyDescent="0.3">
      <c r="A2" s="177"/>
      <c r="B2" s="3"/>
      <c r="C2" s="3"/>
      <c r="D2" s="3"/>
      <c r="E2" s="3"/>
      <c r="F2" s="3"/>
      <c r="G2" s="3"/>
      <c r="H2" s="26" t="s">
        <v>921</v>
      </c>
      <c r="I2" s="26"/>
      <c r="J2" s="26" t="s">
        <v>943</v>
      </c>
      <c r="K2" s="26" t="s">
        <v>944</v>
      </c>
      <c r="L2" s="26" t="s">
        <v>943</v>
      </c>
      <c r="M2" s="26" t="s">
        <v>944</v>
      </c>
      <c r="N2" s="26" t="s">
        <v>943</v>
      </c>
      <c r="O2" s="26" t="s">
        <v>944</v>
      </c>
      <c r="P2" s="3"/>
      <c r="Q2" s="3"/>
      <c r="R2" s="3"/>
      <c r="S2" s="3"/>
      <c r="T2" s="3"/>
      <c r="U2" s="3"/>
      <c r="V2" s="3"/>
      <c r="W2" s="3"/>
      <c r="X2" s="3"/>
      <c r="Y2" s="3"/>
      <c r="Z2" s="3"/>
    </row>
    <row r="3" spans="1:26" ht="14.4" customHeight="1" x14ac:dyDescent="0.3">
      <c r="A3" s="344" t="s">
        <v>945</v>
      </c>
      <c r="B3" s="341" t="s">
        <v>946</v>
      </c>
      <c r="C3" s="341" t="s">
        <v>947</v>
      </c>
      <c r="D3" s="354"/>
      <c r="E3" s="351" t="s">
        <v>948</v>
      </c>
      <c r="F3" s="3"/>
      <c r="G3" s="26" t="s">
        <v>949</v>
      </c>
      <c r="H3" s="26" t="s">
        <v>950</v>
      </c>
      <c r="I3" s="26" t="s">
        <v>951</v>
      </c>
      <c r="J3" s="343" t="s">
        <v>952</v>
      </c>
      <c r="K3" s="310"/>
      <c r="L3" s="343" t="s">
        <v>953</v>
      </c>
      <c r="M3" s="310"/>
      <c r="N3" s="343" t="s">
        <v>954</v>
      </c>
      <c r="O3" s="310"/>
      <c r="P3" s="3"/>
      <c r="Q3" s="3"/>
      <c r="R3" s="3"/>
      <c r="S3" s="3"/>
      <c r="T3" s="3"/>
      <c r="U3" s="3"/>
      <c r="V3" s="3"/>
      <c r="W3" s="3"/>
      <c r="X3" s="3"/>
      <c r="Y3" s="3"/>
      <c r="Z3" s="3"/>
    </row>
    <row r="4" spans="1:26" ht="15.6" customHeight="1" x14ac:dyDescent="0.3">
      <c r="A4" s="345"/>
      <c r="B4" s="333"/>
      <c r="C4" s="178" t="s">
        <v>955</v>
      </c>
      <c r="D4" s="178" t="s">
        <v>956</v>
      </c>
      <c r="E4" s="352"/>
      <c r="F4" s="3"/>
      <c r="G4" s="26"/>
      <c r="H4" s="26"/>
      <c r="I4" s="26"/>
      <c r="J4" s="26"/>
      <c r="K4" s="26"/>
      <c r="L4" s="26"/>
      <c r="M4" s="26"/>
      <c r="N4" s="26"/>
      <c r="O4" s="26"/>
      <c r="P4" s="3"/>
      <c r="Q4" s="4">
        <f>Rates!A19</f>
        <v>17</v>
      </c>
      <c r="R4" s="4" t="str">
        <f>Rates!B19</f>
        <v>M.S. Sheet 4mm</v>
      </c>
      <c r="S4" s="4">
        <f>Rates!C19</f>
        <v>72</v>
      </c>
      <c r="T4" s="3"/>
      <c r="U4" s="3"/>
      <c r="V4" s="3"/>
      <c r="W4" s="3"/>
      <c r="X4" s="3"/>
      <c r="Y4" s="3"/>
      <c r="Z4" s="3"/>
    </row>
    <row r="5" spans="1:26" ht="15.6" customHeight="1" x14ac:dyDescent="0.3">
      <c r="A5" s="179" t="s">
        <v>957</v>
      </c>
      <c r="B5" s="180" t="s">
        <v>958</v>
      </c>
      <c r="C5" s="180">
        <v>0.43</v>
      </c>
      <c r="D5" s="180">
        <v>1.1100000000000001</v>
      </c>
      <c r="E5" s="181">
        <f>E15+E19+(O5*4)</f>
        <v>168099.56583648638</v>
      </c>
      <c r="F5" s="182"/>
      <c r="G5" s="183">
        <v>60</v>
      </c>
      <c r="H5" s="183">
        <v>6</v>
      </c>
      <c r="I5" s="26">
        <v>8</v>
      </c>
      <c r="J5" s="26">
        <f>H5*Rates!$C$23</f>
        <v>810</v>
      </c>
      <c r="K5" s="78">
        <f>H5*Rates!C30*Rates!G30</f>
        <v>8349.8914591215926</v>
      </c>
      <c r="L5" s="26"/>
      <c r="M5" s="26">
        <f>I5*Rates!C36</f>
        <v>4800</v>
      </c>
      <c r="N5" s="26">
        <f t="shared" ref="N5:O8" si="0">J5+L5</f>
        <v>810</v>
      </c>
      <c r="O5" s="78">
        <f t="shared" si="0"/>
        <v>13149.891459121593</v>
      </c>
      <c r="P5" s="3"/>
      <c r="Q5" s="4">
        <f>Rates!A20</f>
        <v>18</v>
      </c>
      <c r="R5" s="4" t="str">
        <f>Rates!B20</f>
        <v>M.S. Sheet 5mm</v>
      </c>
      <c r="S5" s="4">
        <f>Rates!C20</f>
        <v>51.7</v>
      </c>
      <c r="T5" s="3"/>
      <c r="U5" s="3"/>
      <c r="V5" s="3"/>
      <c r="W5" s="3"/>
      <c r="X5" s="3"/>
      <c r="Y5" s="3"/>
      <c r="Z5" s="3"/>
    </row>
    <row r="6" spans="1:26" ht="15.6" customHeight="1" x14ac:dyDescent="0.3">
      <c r="A6" s="179" t="s">
        <v>959</v>
      </c>
      <c r="B6" s="180" t="s">
        <v>960</v>
      </c>
      <c r="C6" s="180">
        <v>0.75</v>
      </c>
      <c r="D6" s="180">
        <v>2</v>
      </c>
      <c r="E6" s="181">
        <f>E16+E19+(O6*4)</f>
        <v>205433.17675002344</v>
      </c>
      <c r="F6" s="182"/>
      <c r="G6" s="183">
        <v>76</v>
      </c>
      <c r="H6" s="183">
        <v>8</v>
      </c>
      <c r="I6" s="26">
        <v>8</v>
      </c>
      <c r="J6" s="26">
        <f>H6*Rates!$C$23</f>
        <v>1080</v>
      </c>
      <c r="K6" s="78">
        <f>H6*Rates!C31*Rates!G31</f>
        <v>14258.294187505862</v>
      </c>
      <c r="L6" s="26"/>
      <c r="M6" s="26">
        <f>I6*Rates!C37</f>
        <v>5600</v>
      </c>
      <c r="N6" s="26">
        <f t="shared" si="0"/>
        <v>1080</v>
      </c>
      <c r="O6" s="78">
        <f t="shared" si="0"/>
        <v>19858.29418750586</v>
      </c>
      <c r="P6" s="3"/>
      <c r="Q6" s="4">
        <f>Rates!A21</f>
        <v>19</v>
      </c>
      <c r="R6" s="4" t="str">
        <f>Rates!B21</f>
        <v>M.S. Sheet 8mm</v>
      </c>
      <c r="S6" s="4">
        <f>Rates!C21</f>
        <v>49.94</v>
      </c>
      <c r="T6" s="3"/>
      <c r="U6" s="3"/>
      <c r="V6" s="3"/>
      <c r="W6" s="3"/>
      <c r="X6" s="3"/>
      <c r="Y6" s="3"/>
      <c r="Z6" s="3"/>
    </row>
    <row r="7" spans="1:26" ht="15.6" customHeight="1" x14ac:dyDescent="0.3">
      <c r="A7" s="179" t="s">
        <v>961</v>
      </c>
      <c r="B7" s="180" t="s">
        <v>962</v>
      </c>
      <c r="C7" s="180">
        <v>1.39</v>
      </c>
      <c r="D7" s="180">
        <v>3.53</v>
      </c>
      <c r="E7" s="181">
        <f>E17+E20+(O7*4)</f>
        <v>237417.70996840938</v>
      </c>
      <c r="F7" s="182"/>
      <c r="G7" s="183">
        <v>100</v>
      </c>
      <c r="H7" s="183">
        <v>10.5</v>
      </c>
      <c r="I7" s="26">
        <v>8</v>
      </c>
      <c r="J7" s="26">
        <f>H7*Rates!$C$23</f>
        <v>1417.5</v>
      </c>
      <c r="K7" s="78">
        <f>H7*Rates!C32*Rates!G32</f>
        <v>17104.427492102346</v>
      </c>
      <c r="L7" s="26"/>
      <c r="M7" s="26">
        <f>I7*Rates!C38</f>
        <v>8000</v>
      </c>
      <c r="N7" s="26">
        <f t="shared" si="0"/>
        <v>1417.5</v>
      </c>
      <c r="O7" s="78">
        <f t="shared" si="0"/>
        <v>25104.427492102346</v>
      </c>
      <c r="P7" s="3"/>
      <c r="Q7" s="4">
        <f>Rates!A22</f>
        <v>20</v>
      </c>
      <c r="R7" s="4" t="str">
        <f>Rates!B22</f>
        <v>M.S. Tube "B" Class 1.5 in</v>
      </c>
      <c r="S7" s="4">
        <f>Rates!C22</f>
        <v>135</v>
      </c>
      <c r="T7" s="3"/>
      <c r="U7" s="3"/>
      <c r="V7" s="3"/>
      <c r="W7" s="3"/>
      <c r="X7" s="3"/>
      <c r="Y7" s="3"/>
      <c r="Z7" s="3"/>
    </row>
    <row r="8" spans="1:26" ht="15.6" customHeight="1" x14ac:dyDescent="0.3">
      <c r="A8" s="184" t="s">
        <v>963</v>
      </c>
      <c r="B8" s="185" t="s">
        <v>964</v>
      </c>
      <c r="C8" s="185">
        <v>1.91</v>
      </c>
      <c r="D8" s="185">
        <v>4.67</v>
      </c>
      <c r="E8" s="186">
        <f>E18+E20+(O8*4)</f>
        <v>278191.66853532498</v>
      </c>
      <c r="F8" s="182"/>
      <c r="G8" s="183">
        <v>100</v>
      </c>
      <c r="H8" s="183">
        <v>12</v>
      </c>
      <c r="I8" s="26">
        <v>8</v>
      </c>
      <c r="J8" s="26">
        <f>H8*Rates!$C$23</f>
        <v>1620</v>
      </c>
      <c r="K8" s="78">
        <f>H8*Rates!C32*Rates!G32</f>
        <v>19547.917133831252</v>
      </c>
      <c r="L8" s="26"/>
      <c r="M8" s="26">
        <f>I8*Rates!C38</f>
        <v>8000</v>
      </c>
      <c r="N8" s="26">
        <f t="shared" si="0"/>
        <v>1620</v>
      </c>
      <c r="O8" s="78">
        <f t="shared" si="0"/>
        <v>27547.917133831252</v>
      </c>
      <c r="P8" s="3"/>
      <c r="Q8" s="4">
        <f>Rates!A23</f>
        <v>21</v>
      </c>
      <c r="R8" s="4" t="str">
        <f>Rates!B23</f>
        <v>M.S. Tube "C" Class 1.5 in</v>
      </c>
      <c r="S8" s="4">
        <f>Rates!C23</f>
        <v>135</v>
      </c>
      <c r="T8" s="3"/>
      <c r="U8" s="3"/>
      <c r="V8" s="3"/>
      <c r="W8" s="3"/>
      <c r="X8" s="3"/>
      <c r="Y8" s="3"/>
      <c r="Z8" s="3"/>
    </row>
    <row r="9" spans="1:26" ht="15.6" customHeight="1" x14ac:dyDescent="0.3">
      <c r="A9" s="177"/>
      <c r="B9" s="3"/>
      <c r="C9" s="3"/>
      <c r="D9" s="3"/>
      <c r="E9" s="3"/>
      <c r="F9" s="3"/>
      <c r="G9" s="3"/>
      <c r="H9" s="3"/>
      <c r="I9" s="3"/>
      <c r="J9" s="3"/>
      <c r="K9" s="3"/>
      <c r="L9" s="3"/>
      <c r="M9" s="3"/>
      <c r="N9" s="3"/>
      <c r="O9" s="3"/>
      <c r="P9" s="3"/>
      <c r="Q9" s="4">
        <f>Rates!A24</f>
        <v>22</v>
      </c>
      <c r="R9" s="4" t="str">
        <f>Rates!B24</f>
        <v>M.S.Chanel</v>
      </c>
      <c r="S9" s="4">
        <f>Rates!C24</f>
        <v>51.4</v>
      </c>
      <c r="T9" s="3"/>
      <c r="U9" s="3"/>
      <c r="V9" s="3"/>
      <c r="W9" s="3"/>
      <c r="X9" s="3"/>
      <c r="Y9" s="3"/>
      <c r="Z9" s="3"/>
    </row>
    <row r="10" spans="1:26" ht="18" customHeight="1" x14ac:dyDescent="0.35">
      <c r="A10" s="350" t="s">
        <v>965</v>
      </c>
      <c r="B10" s="321"/>
      <c r="C10" s="321"/>
      <c r="D10" s="321"/>
      <c r="E10" s="321"/>
      <c r="F10" s="3"/>
      <c r="G10" s="3"/>
      <c r="H10" s="3"/>
      <c r="I10" s="3"/>
      <c r="J10" s="3"/>
      <c r="K10" s="3"/>
      <c r="L10" s="3"/>
      <c r="M10" s="3"/>
      <c r="N10" s="3"/>
      <c r="O10" s="3"/>
      <c r="P10" s="3"/>
      <c r="Q10" s="4">
        <f>Rates!A25</f>
        <v>23</v>
      </c>
      <c r="R10" s="4" t="str">
        <f>Rates!B25</f>
        <v>Plumber block with Bearing</v>
      </c>
      <c r="S10" s="4">
        <f>Rates!C25</f>
        <v>13000</v>
      </c>
      <c r="T10" s="3"/>
      <c r="U10" s="3"/>
      <c r="V10" s="3"/>
      <c r="W10" s="3"/>
      <c r="X10" s="3"/>
      <c r="Y10" s="3"/>
      <c r="Z10" s="3"/>
    </row>
    <row r="11" spans="1:26" ht="15.6" customHeight="1" x14ac:dyDescent="0.3">
      <c r="A11" s="177"/>
      <c r="B11" s="3"/>
      <c r="C11" s="3"/>
      <c r="D11" s="3"/>
      <c r="E11" s="3"/>
      <c r="F11" s="3"/>
      <c r="G11" s="3"/>
      <c r="H11" s="3"/>
      <c r="I11" s="3"/>
      <c r="J11" s="3"/>
      <c r="K11" s="3"/>
      <c r="L11" s="3"/>
      <c r="M11" s="3"/>
      <c r="N11" s="3"/>
      <c r="O11" s="3"/>
      <c r="P11" s="3"/>
      <c r="Q11" s="4">
        <f>Rates!A26</f>
        <v>24</v>
      </c>
      <c r="R11" s="4" t="str">
        <f>Rates!B26</f>
        <v>Pulley with V belt</v>
      </c>
      <c r="S11" s="4">
        <f>Rates!C26</f>
        <v>5000</v>
      </c>
      <c r="T11" s="3"/>
      <c r="U11" s="3"/>
      <c r="V11" s="3"/>
      <c r="W11" s="3"/>
      <c r="X11" s="3"/>
      <c r="Y11" s="3"/>
      <c r="Z11" s="3"/>
    </row>
    <row r="12" spans="1:26" ht="14.4" customHeight="1" x14ac:dyDescent="0.3">
      <c r="A12" s="342" t="s">
        <v>108</v>
      </c>
      <c r="B12" s="312"/>
      <c r="C12" s="318"/>
      <c r="D12" s="348" t="s">
        <v>966</v>
      </c>
      <c r="E12" s="349"/>
      <c r="F12" s="3"/>
      <c r="G12" s="3"/>
      <c r="H12" s="3"/>
      <c r="I12" s="3"/>
      <c r="J12" s="3">
        <v>154400</v>
      </c>
      <c r="K12" s="3"/>
      <c r="L12" s="320">
        <v>159040</v>
      </c>
      <c r="M12" s="321"/>
      <c r="N12" s="3">
        <f>J12/L12</f>
        <v>0.97082494969818911</v>
      </c>
      <c r="O12" s="3"/>
      <c r="P12" s="3"/>
      <c r="Q12" s="4">
        <f>Rates!A27</f>
        <v>25</v>
      </c>
      <c r="R12" s="4" t="str">
        <f>Rates!B27</f>
        <v>S.S. Sheet 3mm</v>
      </c>
      <c r="S12" s="4">
        <f>Rates!C27</f>
        <v>206.4</v>
      </c>
      <c r="T12" s="3"/>
      <c r="U12" s="3"/>
      <c r="V12" s="3"/>
      <c r="W12" s="3"/>
      <c r="X12" s="3"/>
      <c r="Y12" s="3"/>
      <c r="Z12" s="3"/>
    </row>
    <row r="13" spans="1:26" ht="15.6" customHeight="1" x14ac:dyDescent="0.3">
      <c r="A13" s="346" t="s">
        <v>114</v>
      </c>
      <c r="B13" s="302"/>
      <c r="C13" s="304"/>
      <c r="D13" s="187"/>
      <c r="E13" s="188">
        <v>19500</v>
      </c>
      <c r="F13" s="3"/>
      <c r="G13" s="3"/>
      <c r="H13" s="3"/>
      <c r="I13" s="3"/>
      <c r="J13" s="3">
        <v>188300</v>
      </c>
      <c r="K13" s="3"/>
      <c r="L13" s="320">
        <v>193950</v>
      </c>
      <c r="M13" s="321"/>
      <c r="N13" s="3">
        <f>J13/L13</f>
        <v>0.97086878061356019</v>
      </c>
      <c r="O13" s="3"/>
      <c r="P13" s="3"/>
      <c r="Q13" s="4">
        <f>Rates!A28</f>
        <v>26</v>
      </c>
      <c r="R13" s="4" t="str">
        <f>Rates!B28</f>
        <v>SS Pipe</v>
      </c>
      <c r="S13" s="4">
        <f>Rates!C28</f>
        <v>0</v>
      </c>
      <c r="T13" s="3"/>
      <c r="U13" s="3"/>
      <c r="V13" s="3"/>
      <c r="W13" s="3"/>
      <c r="X13" s="3"/>
      <c r="Y13" s="3"/>
      <c r="Z13" s="3"/>
    </row>
    <row r="14" spans="1:26" ht="15.6" customHeight="1" x14ac:dyDescent="0.3">
      <c r="A14" s="339" t="s">
        <v>117</v>
      </c>
      <c r="B14" s="309"/>
      <c r="C14" s="310"/>
      <c r="D14" s="183"/>
      <c r="E14" s="181">
        <v>6500</v>
      </c>
      <c r="F14" s="3"/>
      <c r="G14" s="3"/>
      <c r="H14" s="3"/>
      <c r="I14" s="3"/>
      <c r="J14" s="3">
        <v>240200</v>
      </c>
      <c r="K14" s="3"/>
      <c r="L14" s="320">
        <v>247410</v>
      </c>
      <c r="M14" s="321"/>
      <c r="N14" s="3">
        <f>J14/L14</f>
        <v>0.97085808981043609</v>
      </c>
      <c r="O14" s="3"/>
      <c r="P14" s="3"/>
      <c r="Q14" s="4">
        <f>Rates!A29</f>
        <v>27</v>
      </c>
      <c r="R14" s="4" t="str">
        <f>Rates!B29</f>
        <v>Ceramic Fiber</v>
      </c>
      <c r="S14" s="4">
        <f>Rates!C29</f>
        <v>1728.89</v>
      </c>
      <c r="T14" s="3"/>
      <c r="U14" s="3"/>
      <c r="V14" s="3"/>
      <c r="W14" s="4" t="str">
        <f>Rates!G29</f>
        <v>Pipe Kg/Mtr</v>
      </c>
      <c r="X14" s="3"/>
      <c r="Y14" s="3"/>
      <c r="Z14" s="3"/>
    </row>
    <row r="15" spans="1:26" ht="15.6" customHeight="1" x14ac:dyDescent="0.3">
      <c r="A15" s="339" t="s">
        <v>120</v>
      </c>
      <c r="B15" s="309"/>
      <c r="C15" s="310"/>
      <c r="D15" s="183"/>
      <c r="E15" s="181">
        <v>84500</v>
      </c>
      <c r="F15" s="3"/>
      <c r="G15" s="3"/>
      <c r="H15" s="3"/>
      <c r="I15" s="3"/>
      <c r="J15" s="3">
        <v>280600</v>
      </c>
      <c r="K15" s="3"/>
      <c r="L15" s="320">
        <v>289020</v>
      </c>
      <c r="M15" s="321"/>
      <c r="N15" s="3">
        <f>J15/L15</f>
        <v>0.97086706802297418</v>
      </c>
      <c r="O15" s="3"/>
      <c r="P15" s="3"/>
      <c r="Q15" s="4">
        <f>Rates!A30</f>
        <v>28</v>
      </c>
      <c r="R15" s="4" t="str">
        <f>Rates!B30</f>
        <v>SS Pipe 304 60 X 3mm</v>
      </c>
      <c r="S15" s="4">
        <f>Rates!C30</f>
        <v>330</v>
      </c>
      <c r="T15" s="4"/>
      <c r="U15" s="4"/>
      <c r="V15" s="4"/>
      <c r="W15" s="189">
        <f>Rates!G30</f>
        <v>4.2171168985462586</v>
      </c>
      <c r="X15" s="3"/>
      <c r="Y15" s="3"/>
      <c r="Z15" s="3"/>
    </row>
    <row r="16" spans="1:26" ht="15.6" customHeight="1" x14ac:dyDescent="0.3">
      <c r="A16" s="339" t="s">
        <v>123</v>
      </c>
      <c r="B16" s="309"/>
      <c r="C16" s="310"/>
      <c r="D16" s="183"/>
      <c r="E16" s="181">
        <v>95000</v>
      </c>
      <c r="F16" s="3"/>
      <c r="G16" s="3"/>
      <c r="H16" s="3"/>
      <c r="I16" s="3"/>
      <c r="J16" s="3"/>
      <c r="K16" s="3"/>
      <c r="L16" s="3"/>
      <c r="M16" s="3"/>
      <c r="N16" s="3"/>
      <c r="O16" s="3"/>
      <c r="P16" s="3"/>
      <c r="Q16" s="4">
        <v>29</v>
      </c>
      <c r="R16" s="4" t="str">
        <f>Rates!B31</f>
        <v>SS Pipe 304 76 X 3mm</v>
      </c>
      <c r="S16" s="4">
        <f>Rates!C31</f>
        <v>330</v>
      </c>
      <c r="T16" s="4"/>
      <c r="U16" s="4"/>
      <c r="V16" s="4"/>
      <c r="W16" s="189">
        <f>Rates!G31</f>
        <v>5.4008690104188872</v>
      </c>
      <c r="X16" s="3"/>
      <c r="Y16" s="3"/>
      <c r="Z16" s="3"/>
    </row>
    <row r="17" spans="1:26" ht="15.6" customHeight="1" x14ac:dyDescent="0.3">
      <c r="A17" s="339" t="s">
        <v>126</v>
      </c>
      <c r="B17" s="309"/>
      <c r="C17" s="310"/>
      <c r="D17" s="183"/>
      <c r="E17" s="181">
        <v>101000</v>
      </c>
      <c r="F17" s="3"/>
      <c r="G17" s="3"/>
      <c r="H17" s="3"/>
      <c r="I17" s="3"/>
      <c r="J17" s="3"/>
      <c r="K17" s="3"/>
      <c r="L17" s="3"/>
      <c r="M17" s="3"/>
      <c r="N17" s="3"/>
      <c r="O17" s="3"/>
      <c r="P17" s="3"/>
      <c r="Q17" s="4">
        <v>30</v>
      </c>
      <c r="R17" s="4" t="str">
        <f>Rates!B32</f>
        <v>SS Pipe 304 100 X 3mm</v>
      </c>
      <c r="S17" s="189">
        <f>Rates!C32</f>
        <v>226.99</v>
      </c>
      <c r="T17" s="4"/>
      <c r="U17" s="4"/>
      <c r="V17" s="4"/>
      <c r="W17" s="189">
        <f>Rates!G32</f>
        <v>7.1764971782278408</v>
      </c>
      <c r="X17" s="3"/>
      <c r="Y17" s="3"/>
      <c r="Z17" s="3"/>
    </row>
    <row r="18" spans="1:26" ht="15.6" customHeight="1" x14ac:dyDescent="0.3">
      <c r="A18" s="339" t="s">
        <v>129</v>
      </c>
      <c r="B18" s="309"/>
      <c r="C18" s="310"/>
      <c r="D18" s="183"/>
      <c r="E18" s="181">
        <v>132000</v>
      </c>
      <c r="F18" s="3"/>
      <c r="G18" s="3"/>
      <c r="H18" s="3"/>
      <c r="I18" s="3"/>
      <c r="J18" s="3"/>
      <c r="K18" s="3"/>
      <c r="L18" s="3"/>
      <c r="M18" s="3"/>
      <c r="N18" s="3"/>
      <c r="O18" s="3"/>
      <c r="P18" s="3"/>
      <c r="Q18" s="4">
        <v>31</v>
      </c>
      <c r="R18" s="4" t="str">
        <f>Rates!B33</f>
        <v>M.S. Elbow 60 OD</v>
      </c>
      <c r="S18" s="189">
        <f>Rates!C33</f>
        <v>200</v>
      </c>
      <c r="T18" s="3"/>
      <c r="U18" s="3"/>
      <c r="V18" s="3"/>
      <c r="W18" s="3"/>
      <c r="X18" s="3"/>
      <c r="Y18" s="3"/>
      <c r="Z18" s="3"/>
    </row>
    <row r="19" spans="1:26" ht="15.6" customHeight="1" x14ac:dyDescent="0.3">
      <c r="A19" s="339" t="s">
        <v>132</v>
      </c>
      <c r="B19" s="309"/>
      <c r="C19" s="310"/>
      <c r="D19" s="183"/>
      <c r="E19" s="181">
        <v>31000</v>
      </c>
      <c r="F19" s="3"/>
      <c r="G19" s="3"/>
      <c r="H19" s="3"/>
      <c r="I19" s="3"/>
      <c r="J19" s="3"/>
      <c r="K19" s="3"/>
      <c r="L19" s="3"/>
      <c r="M19" s="3"/>
      <c r="N19" s="3"/>
      <c r="O19" s="3"/>
      <c r="P19" s="3"/>
      <c r="Q19" s="4">
        <v>32</v>
      </c>
      <c r="R19" s="4" t="str">
        <f>Rates!B34</f>
        <v>M.S. Elbow 76 OD</v>
      </c>
      <c r="S19" s="189">
        <f>Rates!C34</f>
        <v>300</v>
      </c>
      <c r="T19" s="3"/>
      <c r="U19" s="3"/>
      <c r="V19" s="3"/>
      <c r="W19" s="3"/>
      <c r="X19" s="3"/>
      <c r="Y19" s="3"/>
      <c r="Z19" s="3"/>
    </row>
    <row r="20" spans="1:26" ht="15.6" customHeight="1" x14ac:dyDescent="0.3">
      <c r="A20" s="339" t="s">
        <v>135</v>
      </c>
      <c r="B20" s="309"/>
      <c r="C20" s="310"/>
      <c r="D20" s="183"/>
      <c r="E20" s="181">
        <v>36000</v>
      </c>
      <c r="F20" s="3"/>
      <c r="G20" s="3"/>
      <c r="H20" s="3"/>
      <c r="I20" s="3"/>
      <c r="J20" s="3"/>
      <c r="K20" s="3"/>
      <c r="L20" s="3"/>
      <c r="M20" s="3"/>
      <c r="N20" s="3"/>
      <c r="O20" s="3"/>
      <c r="P20" s="3"/>
      <c r="Q20" s="4">
        <v>33</v>
      </c>
      <c r="R20" s="4" t="str">
        <f>Rates!B35</f>
        <v>M.S. Elbow 100 OD</v>
      </c>
      <c r="S20" s="189">
        <f>Rates!C35</f>
        <v>400</v>
      </c>
      <c r="T20" s="3"/>
      <c r="U20" s="3"/>
      <c r="V20" s="3"/>
      <c r="W20" s="3"/>
      <c r="X20" s="3"/>
      <c r="Y20" s="3"/>
      <c r="Z20" s="3"/>
    </row>
    <row r="21" spans="1:26" ht="15.75" customHeight="1" x14ac:dyDescent="0.3">
      <c r="A21" s="339" t="s">
        <v>138</v>
      </c>
      <c r="B21" s="309"/>
      <c r="C21" s="310"/>
      <c r="D21" s="183"/>
      <c r="E21" s="181">
        <v>48000</v>
      </c>
      <c r="F21" s="3"/>
      <c r="G21" s="3"/>
      <c r="H21" s="3"/>
      <c r="I21" s="3"/>
      <c r="J21" s="3"/>
      <c r="K21" s="3"/>
      <c r="L21" s="3"/>
      <c r="M21" s="3"/>
      <c r="N21" s="3"/>
      <c r="O21" s="3"/>
      <c r="P21" s="3"/>
      <c r="Q21" s="4">
        <v>34</v>
      </c>
      <c r="R21" s="4" t="str">
        <f>Rates!B36</f>
        <v>SS Elbow 60 OD</v>
      </c>
      <c r="S21" s="189">
        <f>Rates!C36</f>
        <v>600</v>
      </c>
      <c r="T21" s="3"/>
      <c r="U21" s="3"/>
      <c r="V21" s="3"/>
      <c r="W21" s="3"/>
      <c r="X21" s="3"/>
      <c r="Y21" s="3"/>
      <c r="Z21" s="3"/>
    </row>
    <row r="22" spans="1:26" ht="15.75" customHeight="1" x14ac:dyDescent="0.3">
      <c r="A22" s="339" t="s">
        <v>140</v>
      </c>
      <c r="B22" s="309"/>
      <c r="C22" s="310"/>
      <c r="D22" s="183"/>
      <c r="E22" s="181">
        <v>124000</v>
      </c>
      <c r="F22" s="3"/>
      <c r="G22" s="3"/>
      <c r="H22" s="3"/>
      <c r="I22" s="3"/>
      <c r="J22" s="3"/>
      <c r="K22" s="3"/>
      <c r="L22" s="3"/>
      <c r="M22" s="3"/>
      <c r="N22" s="3"/>
      <c r="O22" s="3"/>
      <c r="P22" s="3"/>
      <c r="Q22" s="4">
        <v>35</v>
      </c>
      <c r="R22" s="4" t="str">
        <f>Rates!B37</f>
        <v>SS Elbow 76 OD</v>
      </c>
      <c r="S22" s="189">
        <f>Rates!C37</f>
        <v>700</v>
      </c>
      <c r="T22" s="3"/>
      <c r="U22" s="3"/>
      <c r="V22" s="3"/>
      <c r="W22" s="3"/>
      <c r="X22" s="3"/>
      <c r="Y22" s="3"/>
      <c r="Z22" s="3"/>
    </row>
    <row r="23" spans="1:26" ht="15.75" customHeight="1" x14ac:dyDescent="0.3">
      <c r="A23" s="339" t="s">
        <v>144</v>
      </c>
      <c r="B23" s="309"/>
      <c r="C23" s="310"/>
      <c r="D23" s="183"/>
      <c r="E23" s="181">
        <v>27000</v>
      </c>
      <c r="F23" s="3"/>
      <c r="G23" s="3"/>
      <c r="H23" s="3"/>
      <c r="I23" s="3"/>
      <c r="J23" s="3"/>
      <c r="K23" s="3"/>
      <c r="L23" s="3"/>
      <c r="M23" s="3"/>
      <c r="N23" s="3"/>
      <c r="O23" s="3"/>
      <c r="P23" s="3"/>
      <c r="Q23" s="4">
        <v>36</v>
      </c>
      <c r="R23" s="4" t="str">
        <f>Rates!B38</f>
        <v>SS Elbow 100 OD</v>
      </c>
      <c r="S23" s="189">
        <f>Rates!C38</f>
        <v>1000</v>
      </c>
      <c r="T23" s="3"/>
      <c r="U23" s="3"/>
      <c r="V23" s="3"/>
      <c r="W23" s="3"/>
      <c r="X23" s="3"/>
      <c r="Y23" s="3"/>
      <c r="Z23" s="3"/>
    </row>
    <row r="24" spans="1:26" ht="15.75" customHeight="1" x14ac:dyDescent="0.3">
      <c r="A24" s="339" t="s">
        <v>146</v>
      </c>
      <c r="B24" s="309"/>
      <c r="C24" s="310"/>
      <c r="D24" s="183"/>
      <c r="E24" s="181">
        <v>3500</v>
      </c>
      <c r="F24" s="3"/>
      <c r="G24" s="3"/>
      <c r="H24" s="3"/>
      <c r="I24" s="3"/>
      <c r="J24" s="3"/>
      <c r="K24" s="3"/>
      <c r="L24" s="3"/>
      <c r="M24" s="3"/>
      <c r="N24" s="3"/>
      <c r="O24" s="3"/>
      <c r="P24" s="3"/>
      <c r="Q24" s="3"/>
      <c r="R24" s="3"/>
      <c r="S24" s="3"/>
      <c r="T24" s="3"/>
      <c r="U24" s="3"/>
      <c r="V24" s="3"/>
      <c r="W24" s="3"/>
      <c r="X24" s="3"/>
      <c r="Y24" s="3"/>
      <c r="Z24" s="3"/>
    </row>
    <row r="25" spans="1:26" ht="15.75" customHeight="1" x14ac:dyDescent="0.3">
      <c r="A25" s="339" t="s">
        <v>148</v>
      </c>
      <c r="B25" s="309"/>
      <c r="C25" s="310"/>
      <c r="D25" s="183"/>
      <c r="E25" s="181">
        <v>2100</v>
      </c>
      <c r="F25" s="3"/>
      <c r="G25" s="3"/>
      <c r="H25" s="3"/>
      <c r="I25" s="3"/>
      <c r="J25" s="3"/>
      <c r="K25" s="3"/>
      <c r="L25" s="3"/>
      <c r="M25" s="3"/>
      <c r="N25" s="3"/>
      <c r="O25" s="3"/>
      <c r="P25" s="3"/>
      <c r="Q25" s="3"/>
      <c r="R25" s="3"/>
      <c r="S25" s="3"/>
      <c r="T25" s="3"/>
      <c r="U25" s="3"/>
      <c r="V25" s="3"/>
      <c r="W25" s="3"/>
      <c r="X25" s="3"/>
      <c r="Y25" s="3"/>
      <c r="Z25" s="3"/>
    </row>
    <row r="26" spans="1:26" ht="15.75" customHeight="1" x14ac:dyDescent="0.3">
      <c r="A26" s="339" t="s">
        <v>150</v>
      </c>
      <c r="B26" s="309"/>
      <c r="C26" s="310"/>
      <c r="D26" s="183"/>
      <c r="E26" s="190">
        <v>1400</v>
      </c>
      <c r="F26" s="3"/>
      <c r="G26" s="3"/>
      <c r="H26" s="3"/>
      <c r="I26" s="3"/>
      <c r="J26" s="3"/>
      <c r="K26" s="3"/>
      <c r="L26" s="3"/>
      <c r="M26" s="3"/>
      <c r="N26" s="3"/>
      <c r="O26" s="3"/>
      <c r="P26" s="3"/>
      <c r="Q26" s="3"/>
      <c r="R26" s="3"/>
      <c r="S26" s="3"/>
      <c r="T26" s="3"/>
      <c r="U26" s="3"/>
      <c r="V26" s="3"/>
      <c r="W26" s="3"/>
      <c r="X26" s="3"/>
      <c r="Y26" s="3"/>
      <c r="Z26" s="3"/>
    </row>
    <row r="27" spans="1:26" ht="15.75" customHeight="1" x14ac:dyDescent="0.3">
      <c r="A27" s="339" t="s">
        <v>967</v>
      </c>
      <c r="B27" s="309"/>
      <c r="C27" s="310"/>
      <c r="D27" s="26"/>
      <c r="E27" s="191">
        <v>400</v>
      </c>
      <c r="F27" s="3"/>
      <c r="G27" s="3"/>
      <c r="H27" s="3"/>
      <c r="I27" s="3"/>
      <c r="J27" s="3"/>
      <c r="K27" s="3"/>
      <c r="L27" s="3"/>
      <c r="M27" s="3"/>
      <c r="N27" s="3"/>
      <c r="O27" s="3"/>
      <c r="P27" s="3"/>
      <c r="Q27" s="3"/>
      <c r="R27" s="3"/>
      <c r="S27" s="3"/>
      <c r="T27" s="3"/>
      <c r="U27" s="3"/>
      <c r="V27" s="3"/>
      <c r="W27" s="3"/>
      <c r="X27" s="3"/>
      <c r="Y27" s="3"/>
      <c r="Z27" s="3"/>
    </row>
    <row r="28" spans="1:26" ht="15.75" customHeight="1" x14ac:dyDescent="0.3">
      <c r="A28" s="339" t="s">
        <v>968</v>
      </c>
      <c r="B28" s="309"/>
      <c r="C28" s="310"/>
      <c r="D28" s="180"/>
      <c r="E28" s="191">
        <v>300</v>
      </c>
      <c r="F28" s="3"/>
      <c r="G28" s="3"/>
      <c r="H28" s="3"/>
      <c r="I28" s="3"/>
      <c r="J28" s="3"/>
      <c r="K28" s="3"/>
      <c r="L28" s="3"/>
      <c r="M28" s="3"/>
      <c r="N28" s="3"/>
      <c r="O28" s="3"/>
      <c r="P28" s="3"/>
      <c r="Q28" s="3"/>
      <c r="R28" s="3"/>
      <c r="S28" s="3"/>
      <c r="T28" s="3"/>
      <c r="U28" s="3"/>
      <c r="V28" s="3"/>
      <c r="W28" s="3"/>
      <c r="X28" s="3"/>
      <c r="Y28" s="3"/>
      <c r="Z28" s="3"/>
    </row>
    <row r="29" spans="1:26" ht="15.75" customHeight="1" x14ac:dyDescent="0.3">
      <c r="A29" s="339" t="s">
        <v>969</v>
      </c>
      <c r="B29" s="309"/>
      <c r="C29" s="310"/>
      <c r="D29" s="183"/>
      <c r="E29" s="190">
        <v>2500</v>
      </c>
      <c r="F29" s="3"/>
      <c r="G29" s="3"/>
      <c r="H29" s="3"/>
      <c r="I29" s="3"/>
      <c r="J29" s="3"/>
      <c r="K29" s="3"/>
      <c r="L29" s="3"/>
      <c r="M29" s="3"/>
      <c r="N29" s="3"/>
      <c r="O29" s="3"/>
      <c r="P29" s="3"/>
      <c r="Q29" s="3"/>
      <c r="R29" s="3"/>
      <c r="S29" s="3"/>
      <c r="T29" s="3"/>
      <c r="U29" s="3"/>
      <c r="V29" s="3"/>
      <c r="W29" s="3"/>
      <c r="X29" s="3"/>
      <c r="Y29" s="3"/>
      <c r="Z29" s="3"/>
    </row>
    <row r="30" spans="1:26" ht="15.75" customHeight="1" x14ac:dyDescent="0.3">
      <c r="A30" s="339" t="s">
        <v>970</v>
      </c>
      <c r="B30" s="309"/>
      <c r="C30" s="310"/>
      <c r="D30" s="183"/>
      <c r="E30" s="181">
        <v>1000</v>
      </c>
      <c r="F30" s="3"/>
      <c r="G30" s="3"/>
      <c r="H30" s="3"/>
      <c r="I30" s="3"/>
      <c r="J30" s="3"/>
      <c r="K30" s="3"/>
      <c r="L30" s="3"/>
      <c r="M30" s="3"/>
      <c r="N30" s="3"/>
      <c r="O30" s="3"/>
      <c r="P30" s="3"/>
      <c r="Q30" s="3"/>
      <c r="R30" s="3"/>
      <c r="S30" s="3"/>
      <c r="T30" s="3"/>
      <c r="U30" s="3"/>
      <c r="V30" s="3"/>
      <c r="W30" s="3"/>
      <c r="X30" s="3"/>
      <c r="Y30" s="3"/>
      <c r="Z30" s="3"/>
    </row>
    <row r="31" spans="1:26" ht="15.75" customHeight="1" x14ac:dyDescent="0.3">
      <c r="A31" s="347" t="s">
        <v>971</v>
      </c>
      <c r="B31" s="315"/>
      <c r="C31" s="316"/>
      <c r="D31" s="192"/>
      <c r="E31" s="186">
        <v>10500</v>
      </c>
      <c r="F31" s="3"/>
      <c r="G31" s="3"/>
      <c r="H31" s="3"/>
      <c r="I31" s="3"/>
      <c r="J31" s="3"/>
      <c r="K31" s="3"/>
      <c r="L31" s="3"/>
      <c r="M31" s="3"/>
      <c r="N31" s="3"/>
      <c r="O31" s="3"/>
      <c r="P31" s="3"/>
      <c r="Q31" s="3"/>
      <c r="R31" s="3"/>
      <c r="S31" s="3"/>
      <c r="T31" s="3"/>
      <c r="U31" s="3"/>
      <c r="V31" s="3"/>
      <c r="W31" s="3"/>
      <c r="X31" s="3"/>
      <c r="Y31" s="3"/>
      <c r="Z31" s="3"/>
    </row>
    <row r="32" spans="1:26" ht="15.75" customHeight="1" x14ac:dyDescent="0.3">
      <c r="A32" s="340"/>
      <c r="B32" s="321"/>
      <c r="C32" s="321"/>
      <c r="D32" s="194"/>
      <c r="E32" s="194"/>
      <c r="F32" s="3"/>
      <c r="G32" s="3"/>
      <c r="H32" s="3"/>
      <c r="I32" s="3"/>
      <c r="J32" s="3"/>
      <c r="K32" s="3"/>
      <c r="L32" s="3"/>
      <c r="M32" s="3"/>
      <c r="N32" s="3"/>
      <c r="O32" s="3"/>
      <c r="P32" s="3"/>
      <c r="Q32" s="3"/>
      <c r="R32" s="3"/>
      <c r="S32" s="3"/>
      <c r="T32" s="3"/>
      <c r="U32" s="3"/>
      <c r="V32" s="3"/>
      <c r="W32" s="3"/>
      <c r="X32" s="3"/>
      <c r="Y32" s="3"/>
      <c r="Z32" s="3"/>
    </row>
    <row r="33" spans="1:26" ht="15.75" customHeight="1" x14ac:dyDescent="0.3">
      <c r="A33" s="340"/>
      <c r="B33" s="321"/>
      <c r="C33" s="321"/>
      <c r="D33" s="194"/>
      <c r="E33" s="194"/>
      <c r="F33" s="3"/>
      <c r="G33" s="3"/>
      <c r="H33" s="3"/>
      <c r="I33" s="3"/>
      <c r="J33" s="3"/>
      <c r="K33" s="3"/>
      <c r="L33" s="3"/>
      <c r="M33" s="3"/>
      <c r="N33" s="3"/>
      <c r="O33" s="3"/>
      <c r="P33" s="3"/>
      <c r="Q33" s="3"/>
      <c r="R33" s="3"/>
      <c r="S33" s="3"/>
      <c r="T33" s="3"/>
      <c r="U33" s="3"/>
      <c r="V33" s="3"/>
      <c r="W33" s="3"/>
      <c r="X33" s="3"/>
      <c r="Y33" s="3"/>
      <c r="Z33" s="3"/>
    </row>
    <row r="34" spans="1:26" ht="15.75" customHeight="1" x14ac:dyDescent="0.3">
      <c r="A34" s="340"/>
      <c r="B34" s="321"/>
      <c r="C34" s="321"/>
      <c r="D34" s="194"/>
      <c r="E34" s="194"/>
      <c r="F34" s="3"/>
      <c r="G34" s="3"/>
      <c r="H34" s="3"/>
      <c r="I34" s="3"/>
      <c r="J34" s="3"/>
      <c r="K34" s="3"/>
      <c r="L34" s="3"/>
      <c r="M34" s="3"/>
      <c r="N34" s="3"/>
      <c r="O34" s="3"/>
      <c r="P34" s="3"/>
      <c r="Q34" s="3"/>
      <c r="R34" s="3"/>
      <c r="S34" s="3"/>
      <c r="T34" s="3"/>
      <c r="U34" s="3"/>
      <c r="V34" s="3"/>
      <c r="W34" s="3"/>
      <c r="X34" s="3"/>
      <c r="Y34" s="3"/>
      <c r="Z34" s="3"/>
    </row>
    <row r="35" spans="1:26" ht="15.75" customHeight="1" x14ac:dyDescent="0.3">
      <c r="A35" s="340"/>
      <c r="B35" s="321"/>
      <c r="C35" s="321"/>
      <c r="D35" s="194"/>
      <c r="E35" s="194"/>
      <c r="F35" s="3"/>
      <c r="G35" s="3"/>
      <c r="H35" s="3"/>
      <c r="I35" s="3"/>
      <c r="J35" s="3"/>
      <c r="K35" s="3"/>
      <c r="L35" s="3"/>
      <c r="M35" s="3"/>
      <c r="N35" s="3"/>
      <c r="O35" s="3"/>
      <c r="P35" s="3"/>
      <c r="Q35" s="3"/>
      <c r="R35" s="3"/>
      <c r="S35" s="3"/>
      <c r="T35" s="3"/>
      <c r="U35" s="3"/>
      <c r="V35" s="3"/>
      <c r="W35" s="3"/>
      <c r="X35" s="3"/>
      <c r="Y35" s="3"/>
      <c r="Z35" s="3"/>
    </row>
    <row r="36" spans="1:26" ht="15.75" customHeight="1" x14ac:dyDescent="0.3">
      <c r="A36" s="340"/>
      <c r="B36" s="321"/>
      <c r="C36" s="321"/>
      <c r="D36" s="194"/>
      <c r="E36" s="194"/>
      <c r="F36" s="3"/>
      <c r="G36" s="3"/>
      <c r="H36" s="3"/>
      <c r="I36" s="3"/>
      <c r="J36" s="3"/>
      <c r="K36" s="3"/>
      <c r="L36" s="3"/>
      <c r="M36" s="3"/>
      <c r="N36" s="3"/>
      <c r="O36" s="3"/>
      <c r="P36" s="3"/>
      <c r="Q36" s="3"/>
      <c r="R36" s="3"/>
      <c r="S36" s="3"/>
      <c r="T36" s="3"/>
      <c r="U36" s="3"/>
      <c r="V36" s="3"/>
      <c r="W36" s="3"/>
      <c r="X36" s="3"/>
      <c r="Y36" s="3"/>
      <c r="Z36" s="3"/>
    </row>
    <row r="37" spans="1:26" ht="15.75" customHeight="1" x14ac:dyDescent="0.3">
      <c r="A37" s="340"/>
      <c r="B37" s="321"/>
      <c r="C37" s="321"/>
      <c r="D37" s="194"/>
      <c r="E37" s="194"/>
      <c r="F37" s="3"/>
      <c r="G37" s="3"/>
      <c r="H37" s="3"/>
      <c r="I37" s="3"/>
      <c r="J37" s="3"/>
      <c r="K37" s="3"/>
      <c r="L37" s="3"/>
      <c r="M37" s="3"/>
      <c r="N37" s="3"/>
      <c r="O37" s="3"/>
      <c r="P37" s="3"/>
      <c r="Q37" s="3"/>
      <c r="R37" s="3"/>
      <c r="S37" s="3"/>
      <c r="T37" s="3"/>
      <c r="U37" s="3"/>
      <c r="V37" s="3"/>
      <c r="W37" s="3"/>
      <c r="X37" s="3"/>
      <c r="Y37" s="3"/>
      <c r="Z37" s="3"/>
    </row>
    <row r="38" spans="1:26" ht="15.75" customHeight="1" x14ac:dyDescent="0.3">
      <c r="A38" s="340"/>
      <c r="B38" s="321"/>
      <c r="C38" s="321"/>
      <c r="D38" s="194"/>
      <c r="E38" s="194"/>
      <c r="F38" s="3"/>
      <c r="G38" s="3"/>
      <c r="H38" s="3"/>
      <c r="I38" s="3"/>
      <c r="J38" s="3"/>
      <c r="K38" s="3"/>
      <c r="L38" s="3"/>
      <c r="M38" s="3"/>
      <c r="N38" s="3"/>
      <c r="O38" s="3"/>
      <c r="P38" s="3"/>
      <c r="Q38" s="3"/>
      <c r="R38" s="3"/>
      <c r="S38" s="3"/>
      <c r="T38" s="3"/>
      <c r="U38" s="3"/>
      <c r="V38" s="3"/>
      <c r="W38" s="3"/>
      <c r="X38" s="3"/>
      <c r="Y38" s="3"/>
      <c r="Z38" s="3"/>
    </row>
    <row r="39" spans="1:26" ht="15.75" customHeight="1" x14ac:dyDescent="0.3">
      <c r="A39" s="340"/>
      <c r="B39" s="321"/>
      <c r="C39" s="321"/>
      <c r="D39" s="194"/>
      <c r="E39" s="194"/>
      <c r="F39" s="3"/>
      <c r="G39" s="3"/>
      <c r="H39" s="3"/>
      <c r="I39" s="3"/>
      <c r="J39" s="3"/>
      <c r="K39" s="3"/>
      <c r="L39" s="3"/>
      <c r="M39" s="3"/>
      <c r="N39" s="3"/>
      <c r="O39" s="3"/>
      <c r="P39" s="3"/>
      <c r="Q39" s="3"/>
      <c r="R39" s="3"/>
      <c r="S39" s="3"/>
      <c r="T39" s="3"/>
      <c r="U39" s="3"/>
      <c r="V39" s="3"/>
      <c r="W39" s="3"/>
      <c r="X39" s="3"/>
      <c r="Y39" s="3"/>
      <c r="Z39" s="3"/>
    </row>
    <row r="40" spans="1:26" ht="15.75" customHeight="1" x14ac:dyDescent="0.3">
      <c r="A40" s="340"/>
      <c r="B40" s="321"/>
      <c r="C40" s="321"/>
      <c r="D40" s="194"/>
      <c r="E40" s="194"/>
      <c r="F40" s="3"/>
      <c r="G40" s="3"/>
      <c r="H40" s="3"/>
      <c r="I40" s="3"/>
      <c r="J40" s="3"/>
      <c r="K40" s="3"/>
      <c r="L40" s="3"/>
      <c r="M40" s="3"/>
      <c r="N40" s="3"/>
      <c r="O40" s="3"/>
      <c r="P40" s="3"/>
      <c r="Q40" s="3"/>
      <c r="R40" s="3"/>
      <c r="S40" s="3"/>
      <c r="T40" s="3"/>
      <c r="U40" s="3"/>
      <c r="V40" s="3"/>
      <c r="W40" s="3"/>
      <c r="X40" s="3"/>
      <c r="Y40" s="3"/>
      <c r="Z40" s="3"/>
    </row>
    <row r="41" spans="1:26" ht="15.75" customHeight="1" x14ac:dyDescent="0.3">
      <c r="A41" s="340"/>
      <c r="B41" s="321"/>
      <c r="C41" s="321"/>
      <c r="D41" s="194"/>
      <c r="E41" s="194"/>
      <c r="F41" s="3"/>
      <c r="G41" s="3"/>
      <c r="H41" s="3"/>
      <c r="I41" s="3"/>
      <c r="J41" s="3"/>
      <c r="K41" s="3"/>
      <c r="L41" s="3"/>
      <c r="M41" s="3"/>
      <c r="N41" s="3"/>
      <c r="O41" s="3"/>
      <c r="P41" s="3"/>
      <c r="Q41" s="3"/>
      <c r="R41" s="3"/>
      <c r="S41" s="3"/>
      <c r="T41" s="3"/>
      <c r="U41" s="3"/>
      <c r="V41" s="3"/>
      <c r="W41" s="3"/>
      <c r="X41" s="3"/>
      <c r="Y41" s="3"/>
      <c r="Z41" s="3"/>
    </row>
    <row r="42" spans="1:26" ht="15.75" customHeight="1" x14ac:dyDescent="0.3">
      <c r="A42" s="340"/>
      <c r="B42" s="321"/>
      <c r="C42" s="321"/>
      <c r="D42" s="194"/>
      <c r="E42" s="194"/>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5">
    <mergeCell ref="A1:I1"/>
    <mergeCell ref="C3:D3"/>
    <mergeCell ref="A16:C16"/>
    <mergeCell ref="D12:E12"/>
    <mergeCell ref="J3:K3"/>
    <mergeCell ref="A36:C36"/>
    <mergeCell ref="A10:E10"/>
    <mergeCell ref="E3:E4"/>
    <mergeCell ref="A30:C30"/>
    <mergeCell ref="A39:C39"/>
    <mergeCell ref="A34:C34"/>
    <mergeCell ref="A15:C15"/>
    <mergeCell ref="A24:C24"/>
    <mergeCell ref="L13:M13"/>
    <mergeCell ref="A42:C42"/>
    <mergeCell ref="L3:M3"/>
    <mergeCell ref="A33:C33"/>
    <mergeCell ref="N3:O3"/>
    <mergeCell ref="L12:M12"/>
    <mergeCell ref="A23:C23"/>
    <mergeCell ref="A32:C32"/>
    <mergeCell ref="A14:C14"/>
    <mergeCell ref="A3:A4"/>
    <mergeCell ref="A22:C22"/>
    <mergeCell ref="A17:C17"/>
    <mergeCell ref="L15:M15"/>
    <mergeCell ref="A29:C29"/>
    <mergeCell ref="A35:C35"/>
    <mergeCell ref="L14:M14"/>
    <mergeCell ref="A25:C25"/>
    <mergeCell ref="A41:C41"/>
    <mergeCell ref="A37:C37"/>
    <mergeCell ref="B3:B4"/>
    <mergeCell ref="A18:C18"/>
    <mergeCell ref="A27:C27"/>
    <mergeCell ref="A21:C21"/>
    <mergeCell ref="A12:C12"/>
    <mergeCell ref="A26:C26"/>
    <mergeCell ref="A20:C20"/>
    <mergeCell ref="A38:C38"/>
    <mergeCell ref="A28:C28"/>
    <mergeCell ref="A19:C19"/>
    <mergeCell ref="A13:C13"/>
    <mergeCell ref="A31:C31"/>
    <mergeCell ref="A40:C40"/>
  </mergeCells>
  <pageMargins left="0.23622047244094491" right="0.23622047244094491" top="0.74803149606299213" bottom="0.74803149606299213" header="0" footer="0"/>
  <pageSetup paperSize="8" scale="9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3:I1000"/>
  <sheetViews>
    <sheetView workbookViewId="0"/>
  </sheetViews>
  <sheetFormatPr defaultColWidth="14.44140625" defaultRowHeight="15" customHeight="1" x14ac:dyDescent="0.3"/>
  <cols>
    <col min="1" max="1" width="8.6640625" customWidth="1"/>
    <col min="2" max="2" width="38.88671875" customWidth="1"/>
    <col min="3" max="3" width="11.5546875" customWidth="1"/>
    <col min="4" max="4" width="10.5546875" customWidth="1"/>
    <col min="5" max="5" width="10.6640625" customWidth="1"/>
    <col min="6" max="6" width="10.33203125" customWidth="1"/>
    <col min="7" max="9" width="10.6640625" customWidth="1"/>
    <col min="10" max="26" width="8.6640625" customWidth="1"/>
  </cols>
  <sheetData>
    <row r="3" spans="2:9" ht="17.399999999999999" customHeight="1" x14ac:dyDescent="0.3">
      <c r="B3" s="195" t="s">
        <v>972</v>
      </c>
    </row>
    <row r="4" spans="2:9" ht="17.399999999999999" customHeight="1" x14ac:dyDescent="0.3">
      <c r="B4" s="195"/>
    </row>
    <row r="5" spans="2:9" ht="46.8" customHeight="1" x14ac:dyDescent="0.3">
      <c r="B5" s="196" t="s">
        <v>82</v>
      </c>
      <c r="C5" s="197" t="s">
        <v>973</v>
      </c>
      <c r="D5" s="197" t="s">
        <v>974</v>
      </c>
      <c r="E5" s="197" t="s">
        <v>975</v>
      </c>
      <c r="F5" s="197" t="s">
        <v>976</v>
      </c>
      <c r="G5" s="197" t="s">
        <v>977</v>
      </c>
      <c r="H5" s="197" t="s">
        <v>978</v>
      </c>
      <c r="I5" s="197" t="s">
        <v>979</v>
      </c>
    </row>
    <row r="6" spans="2:9" ht="15.6" customHeight="1" x14ac:dyDescent="0.3">
      <c r="B6" s="198" t="s">
        <v>980</v>
      </c>
      <c r="C6" s="163">
        <v>26000</v>
      </c>
      <c r="D6" s="163">
        <v>7100</v>
      </c>
      <c r="E6" s="163">
        <v>6700</v>
      </c>
      <c r="F6" s="199">
        <v>2400</v>
      </c>
      <c r="G6" s="199">
        <v>3300</v>
      </c>
      <c r="H6" s="199">
        <v>3900</v>
      </c>
      <c r="I6" s="199">
        <v>49400</v>
      </c>
    </row>
    <row r="7" spans="2:9" ht="15.6" customHeight="1" x14ac:dyDescent="0.3">
      <c r="B7" s="198" t="s">
        <v>981</v>
      </c>
      <c r="C7" s="163">
        <v>37500</v>
      </c>
      <c r="D7" s="163">
        <v>8100</v>
      </c>
      <c r="E7" s="163">
        <v>12700</v>
      </c>
      <c r="F7" s="199">
        <v>3100</v>
      </c>
      <c r="G7" s="199">
        <v>3300</v>
      </c>
      <c r="H7" s="199">
        <v>7800</v>
      </c>
      <c r="I7" s="199">
        <v>72500</v>
      </c>
    </row>
    <row r="8" spans="2:9" ht="15.6" customHeight="1" x14ac:dyDescent="0.3">
      <c r="B8" s="198" t="s">
        <v>982</v>
      </c>
      <c r="C8" s="163">
        <v>48500</v>
      </c>
      <c r="D8" s="163">
        <v>8100</v>
      </c>
      <c r="E8" s="163">
        <v>15600</v>
      </c>
      <c r="F8" s="199">
        <v>4200</v>
      </c>
      <c r="G8" s="199">
        <v>9500</v>
      </c>
      <c r="H8" s="199">
        <v>7800</v>
      </c>
      <c r="I8" s="199">
        <v>93700</v>
      </c>
    </row>
    <row r="9" spans="2:9" ht="17.399999999999999" customHeight="1" x14ac:dyDescent="0.3">
      <c r="B9" s="195"/>
    </row>
    <row r="10" spans="2:9" ht="17.399999999999999" customHeight="1" x14ac:dyDescent="0.3">
      <c r="B10" s="200"/>
    </row>
    <row r="11" spans="2:9" ht="17.399999999999999" customHeight="1" x14ac:dyDescent="0.3">
      <c r="B11" s="195" t="s">
        <v>983</v>
      </c>
    </row>
    <row r="12" spans="2:9" ht="17.399999999999999" customHeight="1" x14ac:dyDescent="0.3">
      <c r="B12" s="195"/>
    </row>
    <row r="13" spans="2:9" ht="15.6" customHeight="1" x14ac:dyDescent="0.3">
      <c r="B13" s="201" t="s">
        <v>984</v>
      </c>
      <c r="C13" s="202">
        <v>11000</v>
      </c>
    </row>
    <row r="14" spans="2:9" ht="15.6" customHeight="1" x14ac:dyDescent="0.3">
      <c r="B14" s="198" t="s">
        <v>985</v>
      </c>
      <c r="C14" s="199">
        <v>20000</v>
      </c>
    </row>
    <row r="15" spans="2:9" ht="15.6" customHeight="1" x14ac:dyDescent="0.3">
      <c r="B15" s="198" t="s">
        <v>986</v>
      </c>
      <c r="C15" s="199">
        <v>20000</v>
      </c>
    </row>
    <row r="16" spans="2:9" ht="15.6" customHeight="1" x14ac:dyDescent="0.3">
      <c r="B16" s="198" t="s">
        <v>987</v>
      </c>
      <c r="C16" s="199">
        <v>1700</v>
      </c>
    </row>
    <row r="17" spans="2:3" ht="15.6" customHeight="1" x14ac:dyDescent="0.3">
      <c r="B17" s="198" t="s">
        <v>988</v>
      </c>
      <c r="C17" s="199">
        <v>3300</v>
      </c>
    </row>
    <row r="18" spans="2:3" ht="15.6" customHeight="1" x14ac:dyDescent="0.3">
      <c r="B18" s="198" t="s">
        <v>989</v>
      </c>
      <c r="C18" s="199">
        <v>10000</v>
      </c>
    </row>
    <row r="19" spans="2:3" ht="15.6" customHeight="1" x14ac:dyDescent="0.3">
      <c r="B19" s="198" t="s">
        <v>990</v>
      </c>
      <c r="C19" s="199">
        <v>5500</v>
      </c>
    </row>
    <row r="20" spans="2:3" ht="15.6" customHeight="1" x14ac:dyDescent="0.3">
      <c r="B20" s="198" t="s">
        <v>991</v>
      </c>
      <c r="C20" s="199">
        <v>13000</v>
      </c>
    </row>
    <row r="21" spans="2:3" ht="15.75" customHeight="1" x14ac:dyDescent="0.3">
      <c r="B21" s="200"/>
    </row>
    <row r="22" spans="2:3" ht="15.75" customHeight="1" x14ac:dyDescent="0.3">
      <c r="B22" s="195"/>
    </row>
    <row r="23" spans="2:3" ht="15.75" customHeight="1" x14ac:dyDescent="0.3">
      <c r="B23" s="203" t="s">
        <v>992</v>
      </c>
    </row>
    <row r="24" spans="2:3" ht="15.75" customHeight="1" x14ac:dyDescent="0.3"/>
    <row r="25" spans="2:3" ht="15.75" customHeight="1" x14ac:dyDescent="0.3"/>
    <row r="26" spans="2:3" ht="15.75" customHeight="1" x14ac:dyDescent="0.3"/>
    <row r="27" spans="2:3" ht="15.75" customHeight="1" x14ac:dyDescent="0.3"/>
    <row r="28" spans="2:3" ht="15.75" customHeight="1" x14ac:dyDescent="0.3"/>
    <row r="29" spans="2:3" ht="15.75" customHeight="1" x14ac:dyDescent="0.3"/>
    <row r="30" spans="2:3" ht="15.75" customHeight="1" x14ac:dyDescent="0.3"/>
    <row r="31" spans="2:3" ht="15.75" customHeight="1" x14ac:dyDescent="0.3"/>
    <row r="32" spans="2: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W1000"/>
  <sheetViews>
    <sheetView workbookViewId="0">
      <selection sqref="A1:I1"/>
    </sheetView>
  </sheetViews>
  <sheetFormatPr defaultColWidth="14.44140625" defaultRowHeight="15" customHeight="1" x14ac:dyDescent="0.3"/>
  <cols>
    <col min="1" max="1" width="8.88671875" customWidth="1"/>
    <col min="2" max="2" width="9.6640625" customWidth="1"/>
    <col min="3" max="3" width="5.109375" customWidth="1"/>
    <col min="4" max="4" width="5" customWidth="1"/>
    <col min="5" max="5" width="27.44140625" customWidth="1"/>
    <col min="6" max="6" width="10.88671875" customWidth="1"/>
    <col min="7" max="7" width="7.33203125" customWidth="1"/>
    <col min="8" max="8" width="11.5546875" customWidth="1"/>
    <col min="9" max="9" width="27.44140625" customWidth="1"/>
    <col min="10" max="10" width="26.109375" customWidth="1"/>
    <col min="11" max="11" width="12" customWidth="1"/>
    <col min="12" max="12" width="5.44140625" customWidth="1"/>
    <col min="13" max="13" width="6" customWidth="1"/>
    <col min="14" max="14" width="6.6640625" customWidth="1"/>
    <col min="15" max="15" width="13.88671875" customWidth="1"/>
    <col min="16" max="16" width="8.6640625" customWidth="1"/>
    <col min="17" max="17" width="3" customWidth="1"/>
    <col min="18" max="18" width="21.6640625" customWidth="1"/>
    <col min="19" max="19" width="9.33203125" customWidth="1"/>
    <col min="20" max="22" width="8.6640625" customWidth="1"/>
    <col min="23" max="23" width="10.88671875" customWidth="1"/>
    <col min="24" max="26" width="8.6640625" customWidth="1"/>
  </cols>
  <sheetData>
    <row r="1" spans="1:23" ht="20.399999999999999" customHeight="1" x14ac:dyDescent="0.35">
      <c r="A1" s="353" t="s">
        <v>942</v>
      </c>
      <c r="B1" s="321"/>
      <c r="C1" s="321"/>
      <c r="D1" s="321"/>
      <c r="E1" s="321"/>
      <c r="F1" s="321"/>
      <c r="G1" s="321"/>
      <c r="H1" s="321"/>
      <c r="I1" s="321"/>
    </row>
    <row r="2" spans="1:23" ht="15.6" customHeight="1" x14ac:dyDescent="0.3">
      <c r="A2" s="177"/>
      <c r="H2" s="26" t="s">
        <v>921</v>
      </c>
      <c r="I2" s="26"/>
      <c r="J2" s="26" t="s">
        <v>943</v>
      </c>
      <c r="K2" s="26" t="s">
        <v>944</v>
      </c>
      <c r="L2" s="26" t="s">
        <v>943</v>
      </c>
      <c r="M2" s="26" t="s">
        <v>944</v>
      </c>
      <c r="N2" s="26" t="s">
        <v>943</v>
      </c>
      <c r="O2" s="26" t="s">
        <v>944</v>
      </c>
    </row>
    <row r="3" spans="1:23" ht="14.4" customHeight="1" x14ac:dyDescent="0.3">
      <c r="A3" s="344" t="s">
        <v>945</v>
      </c>
      <c r="B3" s="341" t="s">
        <v>946</v>
      </c>
      <c r="C3" s="341" t="s">
        <v>947</v>
      </c>
      <c r="D3" s="354"/>
      <c r="E3" s="351" t="s">
        <v>948</v>
      </c>
      <c r="G3" s="26" t="s">
        <v>949</v>
      </c>
      <c r="H3" s="26" t="s">
        <v>950</v>
      </c>
      <c r="I3" s="26" t="s">
        <v>951</v>
      </c>
      <c r="J3" s="343" t="s">
        <v>952</v>
      </c>
      <c r="K3" s="310"/>
      <c r="L3" s="343" t="s">
        <v>953</v>
      </c>
      <c r="M3" s="310"/>
      <c r="N3" s="343" t="s">
        <v>954</v>
      </c>
      <c r="O3" s="310"/>
    </row>
    <row r="4" spans="1:23" ht="15.6" customHeight="1" x14ac:dyDescent="0.3">
      <c r="A4" s="345"/>
      <c r="B4" s="333"/>
      <c r="C4" s="178" t="s">
        <v>955</v>
      </c>
      <c r="D4" s="178" t="s">
        <v>956</v>
      </c>
      <c r="E4" s="352"/>
      <c r="G4" s="26"/>
      <c r="H4" s="26"/>
      <c r="I4" s="26"/>
      <c r="J4" s="26"/>
      <c r="K4" s="26"/>
      <c r="L4" s="26"/>
      <c r="M4" s="26"/>
      <c r="N4" s="26"/>
      <c r="O4" s="26"/>
      <c r="Q4" s="4">
        <f>Rates!A19</f>
        <v>17</v>
      </c>
      <c r="R4" s="4" t="str">
        <f>Rates!B19</f>
        <v>M.S. Sheet 4mm</v>
      </c>
      <c r="S4" s="4">
        <f>Rates!C19</f>
        <v>72</v>
      </c>
    </row>
    <row r="5" spans="1:23" ht="15.6" customHeight="1" x14ac:dyDescent="0.3">
      <c r="A5" s="179" t="s">
        <v>957</v>
      </c>
      <c r="B5" s="180" t="s">
        <v>958</v>
      </c>
      <c r="C5" s="180">
        <v>0.43</v>
      </c>
      <c r="D5" s="180">
        <v>1.1100000000000001</v>
      </c>
      <c r="E5" s="181">
        <f>ROUND(E15+E19+(O5*4),-3)</f>
        <v>165000</v>
      </c>
      <c r="F5" s="182"/>
      <c r="G5" s="183">
        <v>60</v>
      </c>
      <c r="H5" s="183">
        <v>6</v>
      </c>
      <c r="I5" s="26">
        <v>8</v>
      </c>
      <c r="J5" s="26">
        <f>H5*Rates!$C$23</f>
        <v>810</v>
      </c>
      <c r="K5" s="78">
        <f>H5*Rates!C30*Rates!G30</f>
        <v>8349.8914591215926</v>
      </c>
      <c r="L5" s="26"/>
      <c r="M5" s="26">
        <f>I5*Rates!C36</f>
        <v>4800</v>
      </c>
      <c r="N5" s="26">
        <f t="shared" ref="N5:O8" si="0">J5+L5</f>
        <v>810</v>
      </c>
      <c r="O5" s="78">
        <f t="shared" si="0"/>
        <v>13149.891459121593</v>
      </c>
      <c r="Q5" s="4">
        <f>Rates!A20</f>
        <v>18</v>
      </c>
      <c r="R5" s="4" t="str">
        <f>Rates!B20</f>
        <v>M.S. Sheet 5mm</v>
      </c>
      <c r="S5" s="4">
        <f>Rates!C20</f>
        <v>51.7</v>
      </c>
    </row>
    <row r="6" spans="1:23" ht="15.6" customHeight="1" x14ac:dyDescent="0.3">
      <c r="A6" s="179" t="s">
        <v>959</v>
      </c>
      <c r="B6" s="180" t="s">
        <v>960</v>
      </c>
      <c r="C6" s="180">
        <v>0.75</v>
      </c>
      <c r="D6" s="180">
        <v>2</v>
      </c>
      <c r="E6" s="181">
        <f>ROUND(E16+E19+(O6*4),-3)</f>
        <v>201000</v>
      </c>
      <c r="F6" s="182"/>
      <c r="G6" s="183">
        <v>76</v>
      </c>
      <c r="H6" s="183">
        <v>8</v>
      </c>
      <c r="I6" s="26">
        <v>8</v>
      </c>
      <c r="J6" s="26">
        <f>H6*Rates!$C$23</f>
        <v>1080</v>
      </c>
      <c r="K6" s="78">
        <f>H6*Rates!C31*Rates!G31</f>
        <v>14258.294187505862</v>
      </c>
      <c r="L6" s="26"/>
      <c r="M6" s="26">
        <f>I6*Rates!C37</f>
        <v>5600</v>
      </c>
      <c r="N6" s="26">
        <f t="shared" si="0"/>
        <v>1080</v>
      </c>
      <c r="O6" s="78">
        <f t="shared" si="0"/>
        <v>19858.29418750586</v>
      </c>
      <c r="Q6" s="4">
        <f>Rates!A21</f>
        <v>19</v>
      </c>
      <c r="R6" s="4" t="str">
        <f>Rates!B21</f>
        <v>M.S. Sheet 8mm</v>
      </c>
      <c r="S6" s="4">
        <f>Rates!C21</f>
        <v>49.94</v>
      </c>
    </row>
    <row r="7" spans="1:23" ht="15.6" customHeight="1" x14ac:dyDescent="0.3">
      <c r="A7" s="179" t="s">
        <v>961</v>
      </c>
      <c r="B7" s="180" t="s">
        <v>962</v>
      </c>
      <c r="C7" s="180">
        <v>1.39</v>
      </c>
      <c r="D7" s="180">
        <v>3.53</v>
      </c>
      <c r="E7" s="181">
        <f>ROUND(E17+E20+(O7*3.5),-3)</f>
        <v>221000</v>
      </c>
      <c r="F7" s="182"/>
      <c r="G7" s="183">
        <v>100</v>
      </c>
      <c r="H7" s="183">
        <v>10.5</v>
      </c>
      <c r="I7" s="26">
        <v>8</v>
      </c>
      <c r="J7" s="26">
        <f>H7*Rates!$C$23</f>
        <v>1417.5</v>
      </c>
      <c r="K7" s="78">
        <f>H7*Rates!C32*Rates!G32</f>
        <v>17104.427492102346</v>
      </c>
      <c r="L7" s="26"/>
      <c r="M7" s="26">
        <f>I7*Rates!C38</f>
        <v>8000</v>
      </c>
      <c r="N7" s="26">
        <f t="shared" si="0"/>
        <v>1417.5</v>
      </c>
      <c r="O7" s="78">
        <f t="shared" si="0"/>
        <v>25104.427492102346</v>
      </c>
      <c r="Q7" s="4">
        <f>Rates!A22</f>
        <v>20</v>
      </c>
      <c r="R7" s="4" t="str">
        <f>Rates!B22</f>
        <v>M.S. Tube "B" Class 1.5 in</v>
      </c>
      <c r="S7" s="4">
        <f>Rates!C22</f>
        <v>135</v>
      </c>
    </row>
    <row r="8" spans="1:23" ht="15.6" customHeight="1" x14ac:dyDescent="0.3">
      <c r="A8" s="184" t="s">
        <v>963</v>
      </c>
      <c r="B8" s="185" t="s">
        <v>964</v>
      </c>
      <c r="C8" s="185">
        <v>1.91</v>
      </c>
      <c r="D8" s="185">
        <v>4.67</v>
      </c>
      <c r="E8" s="186">
        <f>ROUND(E18+E20+(O8*4),-3)</f>
        <v>273000</v>
      </c>
      <c r="F8" s="182"/>
      <c r="G8" s="183">
        <v>100</v>
      </c>
      <c r="H8" s="183">
        <v>12</v>
      </c>
      <c r="I8" s="26">
        <v>8</v>
      </c>
      <c r="J8" s="26">
        <f>H8*Rates!$C$23</f>
        <v>1620</v>
      </c>
      <c r="K8" s="78">
        <f>H8*Rates!C32*Rates!G32</f>
        <v>19547.917133831252</v>
      </c>
      <c r="L8" s="26"/>
      <c r="M8" s="26">
        <f>I8*Rates!C38</f>
        <v>8000</v>
      </c>
      <c r="N8" s="26">
        <f t="shared" si="0"/>
        <v>1620</v>
      </c>
      <c r="O8" s="78">
        <f t="shared" si="0"/>
        <v>27547.917133831252</v>
      </c>
      <c r="Q8" s="4">
        <f>Rates!A23</f>
        <v>21</v>
      </c>
      <c r="R8" s="4" t="str">
        <f>Rates!B23</f>
        <v>M.S. Tube "C" Class 1.5 in</v>
      </c>
      <c r="S8" s="4">
        <f>Rates!C23</f>
        <v>135</v>
      </c>
    </row>
    <row r="9" spans="1:23" ht="15.6" customHeight="1" x14ac:dyDescent="0.3">
      <c r="A9" s="177"/>
      <c r="Q9" s="4">
        <f>Rates!A24</f>
        <v>22</v>
      </c>
      <c r="R9" s="4" t="str">
        <f>Rates!B24</f>
        <v>M.S.Chanel</v>
      </c>
      <c r="S9" s="4">
        <f>Rates!C24</f>
        <v>51.4</v>
      </c>
    </row>
    <row r="10" spans="1:23" ht="18" customHeight="1" x14ac:dyDescent="0.35">
      <c r="A10" s="350" t="s">
        <v>965</v>
      </c>
      <c r="B10" s="321"/>
      <c r="C10" s="321"/>
      <c r="D10" s="321"/>
      <c r="E10" s="321"/>
      <c r="Q10" s="4">
        <f>Rates!A25</f>
        <v>23</v>
      </c>
      <c r="R10" s="4" t="str">
        <f>Rates!B25</f>
        <v>Plumber block with Bearing</v>
      </c>
      <c r="S10" s="4">
        <f>Rates!C25</f>
        <v>13000</v>
      </c>
    </row>
    <row r="11" spans="1:23" ht="15.6" customHeight="1" x14ac:dyDescent="0.3">
      <c r="A11" s="177"/>
      <c r="F11" s="3"/>
      <c r="G11" s="3"/>
      <c r="H11" s="3"/>
      <c r="I11" s="3"/>
      <c r="J11" s="3"/>
      <c r="K11" s="3"/>
      <c r="L11" s="3"/>
      <c r="Q11" s="4">
        <f>Rates!A26</f>
        <v>24</v>
      </c>
      <c r="R11" s="4" t="str">
        <f>Rates!B26</f>
        <v>Pulley with V belt</v>
      </c>
      <c r="S11" s="4">
        <f>Rates!C26</f>
        <v>5000</v>
      </c>
    </row>
    <row r="12" spans="1:23" ht="14.4" customHeight="1" x14ac:dyDescent="0.3">
      <c r="A12" s="342" t="s">
        <v>108</v>
      </c>
      <c r="B12" s="312"/>
      <c r="C12" s="318"/>
      <c r="D12" s="348" t="s">
        <v>966</v>
      </c>
      <c r="E12" s="349"/>
      <c r="Q12" s="4">
        <f>Rates!A27</f>
        <v>25</v>
      </c>
      <c r="R12" s="4" t="str">
        <f>Rates!B27</f>
        <v>S.S. Sheet 3mm</v>
      </c>
      <c r="S12" s="4">
        <f>Rates!C27</f>
        <v>206.4</v>
      </c>
    </row>
    <row r="13" spans="1:23" ht="15.75" customHeight="1" x14ac:dyDescent="0.3">
      <c r="A13" s="356" t="s">
        <v>114</v>
      </c>
      <c r="B13" s="306"/>
      <c r="C13" s="306"/>
      <c r="D13" s="354"/>
      <c r="E13" s="188">
        <v>18600</v>
      </c>
      <c r="H13" s="1">
        <v>131100</v>
      </c>
      <c r="I13" s="1">
        <v>154400</v>
      </c>
      <c r="J13" s="204">
        <f>I13/H13</f>
        <v>1.1777269260106789</v>
      </c>
      <c r="Q13" s="4">
        <f>Rates!A28</f>
        <v>26</v>
      </c>
      <c r="R13" s="4" t="str">
        <f>Rates!B28</f>
        <v>SS Pipe</v>
      </c>
      <c r="S13" s="4">
        <f>Rates!C28</f>
        <v>0</v>
      </c>
    </row>
    <row r="14" spans="1:23" ht="15.75" customHeight="1" x14ac:dyDescent="0.3">
      <c r="A14" s="355" t="s">
        <v>117</v>
      </c>
      <c r="B14" s="309"/>
      <c r="C14" s="309"/>
      <c r="D14" s="310"/>
      <c r="E14" s="181">
        <v>6200</v>
      </c>
      <c r="H14" s="1">
        <v>160900</v>
      </c>
      <c r="I14" s="3">
        <v>188300</v>
      </c>
      <c r="J14" s="204">
        <f>I14/H14</f>
        <v>1.1702921068986949</v>
      </c>
      <c r="Q14" s="4">
        <f>Rates!A29</f>
        <v>27</v>
      </c>
      <c r="R14" s="4" t="str">
        <f>Rates!B29</f>
        <v>Ceramic Fiber</v>
      </c>
      <c r="S14" s="4">
        <f>Rates!C29</f>
        <v>1728.89</v>
      </c>
      <c r="W14" s="4" t="str">
        <f>Rates!G29</f>
        <v>Pipe Kg/Mtr</v>
      </c>
    </row>
    <row r="15" spans="1:23" ht="15.75" customHeight="1" x14ac:dyDescent="0.3">
      <c r="A15" s="355" t="s">
        <v>120</v>
      </c>
      <c r="B15" s="309"/>
      <c r="C15" s="309"/>
      <c r="D15" s="310"/>
      <c r="E15" s="181">
        <v>82000</v>
      </c>
      <c r="H15" s="1">
        <v>205300</v>
      </c>
      <c r="I15" s="3">
        <v>240200</v>
      </c>
      <c r="J15" s="204">
        <f>I15/H15</f>
        <v>1.169995129079396</v>
      </c>
      <c r="Q15" s="4">
        <f>Rates!A30</f>
        <v>28</v>
      </c>
      <c r="R15" s="4" t="str">
        <f>Rates!B30</f>
        <v>SS Pipe 304 60 X 3mm</v>
      </c>
      <c r="S15" s="4">
        <f>Rates!C30</f>
        <v>330</v>
      </c>
      <c r="T15" s="4"/>
      <c r="U15" s="4"/>
      <c r="V15" s="4"/>
      <c r="W15" s="189">
        <f>Rates!G30</f>
        <v>4.2171168985462586</v>
      </c>
    </row>
    <row r="16" spans="1:23" ht="15.6" customHeight="1" x14ac:dyDescent="0.3">
      <c r="A16" s="355" t="s">
        <v>123</v>
      </c>
      <c r="B16" s="309"/>
      <c r="C16" s="309"/>
      <c r="D16" s="310"/>
      <c r="E16" s="181">
        <v>92000</v>
      </c>
      <c r="H16" s="1">
        <v>239800</v>
      </c>
      <c r="I16" s="3">
        <v>280600</v>
      </c>
      <c r="J16" s="204">
        <f>I16/H16</f>
        <v>1.1701417848206839</v>
      </c>
      <c r="Q16" s="4">
        <v>29</v>
      </c>
      <c r="R16" s="4" t="str">
        <f>Rates!B31</f>
        <v>SS Pipe 304 76 X 3mm</v>
      </c>
      <c r="S16" s="4">
        <f>Rates!C31</f>
        <v>330</v>
      </c>
      <c r="T16" s="4"/>
      <c r="U16" s="4"/>
      <c r="V16" s="4"/>
      <c r="W16" s="189">
        <f>Rates!G31</f>
        <v>5.4008690104188872</v>
      </c>
    </row>
    <row r="17" spans="1:23" ht="15.6" customHeight="1" x14ac:dyDescent="0.3">
      <c r="A17" s="355" t="s">
        <v>126</v>
      </c>
      <c r="B17" s="309"/>
      <c r="C17" s="309"/>
      <c r="D17" s="310"/>
      <c r="E17" s="181">
        <v>98100</v>
      </c>
      <c r="F17" s="3"/>
      <c r="H17" s="205"/>
      <c r="Q17" s="4">
        <v>30</v>
      </c>
      <c r="R17" s="4" t="str">
        <f>Rates!B32</f>
        <v>SS Pipe 304 100 X 3mm</v>
      </c>
      <c r="S17" s="189">
        <f>Rates!C32</f>
        <v>226.99</v>
      </c>
      <c r="T17" s="4"/>
      <c r="U17" s="4"/>
      <c r="V17" s="4"/>
      <c r="W17" s="189">
        <f>Rates!G32</f>
        <v>7.1764971782278408</v>
      </c>
    </row>
    <row r="18" spans="1:23" ht="15.6" customHeight="1" x14ac:dyDescent="0.3">
      <c r="A18" s="355" t="s">
        <v>129</v>
      </c>
      <c r="B18" s="309"/>
      <c r="C18" s="309"/>
      <c r="D18" s="310"/>
      <c r="E18" s="181">
        <v>128000</v>
      </c>
      <c r="F18" s="3"/>
      <c r="G18" s="3"/>
      <c r="H18" s="205"/>
      <c r="I18" s="3"/>
      <c r="J18" s="3"/>
      <c r="K18" s="3"/>
      <c r="L18" s="3"/>
      <c r="Q18" s="4">
        <v>31</v>
      </c>
      <c r="R18" s="4" t="str">
        <f>Rates!B33</f>
        <v>M.S. Elbow 60 OD</v>
      </c>
      <c r="S18" s="189">
        <f>Rates!C33</f>
        <v>200</v>
      </c>
    </row>
    <row r="19" spans="1:23" ht="15.6" customHeight="1" x14ac:dyDescent="0.3">
      <c r="A19" s="355" t="s">
        <v>132</v>
      </c>
      <c r="B19" s="309"/>
      <c r="C19" s="309"/>
      <c r="D19" s="310"/>
      <c r="E19" s="181">
        <v>30000</v>
      </c>
      <c r="F19" s="3"/>
      <c r="G19" s="3"/>
      <c r="H19" s="205"/>
      <c r="I19" s="3"/>
      <c r="J19" s="3"/>
      <c r="K19" s="3"/>
      <c r="L19" s="3"/>
      <c r="Q19" s="4">
        <v>32</v>
      </c>
      <c r="R19" s="4" t="str">
        <f>Rates!B34</f>
        <v>M.S. Elbow 76 OD</v>
      </c>
      <c r="S19" s="189">
        <f>Rates!C34</f>
        <v>300</v>
      </c>
    </row>
    <row r="20" spans="1:23" ht="15.6" customHeight="1" x14ac:dyDescent="0.3">
      <c r="A20" s="355" t="s">
        <v>135</v>
      </c>
      <c r="B20" s="309"/>
      <c r="C20" s="309"/>
      <c r="D20" s="310"/>
      <c r="E20" s="181">
        <v>35000</v>
      </c>
      <c r="F20" s="3"/>
      <c r="G20" s="3"/>
      <c r="H20" s="205"/>
      <c r="I20" s="3"/>
      <c r="J20" s="3"/>
      <c r="K20" s="3"/>
      <c r="L20" s="3"/>
      <c r="Q20" s="4">
        <v>33</v>
      </c>
      <c r="R20" s="4" t="str">
        <f>Rates!B35</f>
        <v>M.S. Elbow 100 OD</v>
      </c>
      <c r="S20" s="189">
        <f>Rates!C35</f>
        <v>400</v>
      </c>
    </row>
    <row r="21" spans="1:23" ht="15.75" customHeight="1" x14ac:dyDescent="0.3">
      <c r="A21" s="355" t="s">
        <v>138</v>
      </c>
      <c r="B21" s="309"/>
      <c r="C21" s="309"/>
      <c r="D21" s="310"/>
      <c r="E21" s="181">
        <v>47000</v>
      </c>
      <c r="F21" s="3"/>
      <c r="G21" s="3"/>
      <c r="H21" s="205"/>
      <c r="I21" s="3"/>
      <c r="J21" s="3"/>
      <c r="K21" s="3"/>
      <c r="L21" s="3"/>
      <c r="Q21" s="4">
        <v>34</v>
      </c>
      <c r="R21" s="4" t="str">
        <f>Rates!B36</f>
        <v>SS Elbow 60 OD</v>
      </c>
      <c r="S21" s="189">
        <f>Rates!C36</f>
        <v>600</v>
      </c>
    </row>
    <row r="22" spans="1:23" ht="15.75" customHeight="1" x14ac:dyDescent="0.3">
      <c r="A22" s="355" t="s">
        <v>140</v>
      </c>
      <c r="B22" s="309"/>
      <c r="C22" s="309"/>
      <c r="D22" s="310"/>
      <c r="E22" s="181">
        <v>121000</v>
      </c>
      <c r="F22" s="3"/>
      <c r="G22" s="3"/>
      <c r="H22" s="205"/>
      <c r="I22" s="3"/>
      <c r="J22" s="3"/>
      <c r="K22" s="3"/>
      <c r="L22" s="3"/>
      <c r="Q22" s="4">
        <v>35</v>
      </c>
      <c r="R22" s="4" t="str">
        <f>Rates!B37</f>
        <v>SS Elbow 76 OD</v>
      </c>
      <c r="S22" s="189">
        <f>Rates!C37</f>
        <v>700</v>
      </c>
    </row>
    <row r="23" spans="1:23" ht="15.75" customHeight="1" x14ac:dyDescent="0.3">
      <c r="A23" s="355" t="s">
        <v>144</v>
      </c>
      <c r="B23" s="309"/>
      <c r="C23" s="309"/>
      <c r="D23" s="310"/>
      <c r="E23" s="181">
        <v>26000</v>
      </c>
      <c r="F23" s="3"/>
      <c r="G23" s="3"/>
      <c r="H23" s="205"/>
      <c r="I23" s="3"/>
      <c r="J23" s="3"/>
      <c r="K23" s="3"/>
      <c r="L23" s="3"/>
      <c r="Q23" s="4">
        <v>36</v>
      </c>
      <c r="R23" s="4" t="str">
        <f>Rates!B38</f>
        <v>SS Elbow 100 OD</v>
      </c>
      <c r="S23" s="189">
        <f>Rates!C38</f>
        <v>1000</v>
      </c>
    </row>
    <row r="24" spans="1:23" ht="15.75" customHeight="1" x14ac:dyDescent="0.3">
      <c r="A24" s="355" t="s">
        <v>146</v>
      </c>
      <c r="B24" s="309"/>
      <c r="C24" s="309"/>
      <c r="D24" s="310"/>
      <c r="E24" s="181">
        <v>3500</v>
      </c>
      <c r="F24" s="3"/>
      <c r="G24" s="3"/>
      <c r="H24" s="205"/>
      <c r="I24" s="3"/>
      <c r="J24" s="3"/>
      <c r="K24" s="3"/>
      <c r="L24" s="3"/>
    </row>
    <row r="25" spans="1:23" ht="15.75" customHeight="1" x14ac:dyDescent="0.3">
      <c r="A25" s="355" t="s">
        <v>148</v>
      </c>
      <c r="B25" s="309"/>
      <c r="C25" s="309"/>
      <c r="D25" s="310"/>
      <c r="E25" s="181">
        <v>2000</v>
      </c>
      <c r="F25" s="3"/>
      <c r="G25" s="3"/>
      <c r="H25" s="205"/>
      <c r="I25" s="3"/>
      <c r="J25" s="3"/>
      <c r="K25" s="3"/>
      <c r="L25" s="3"/>
    </row>
    <row r="26" spans="1:23" ht="15.75" customHeight="1" x14ac:dyDescent="0.3">
      <c r="A26" s="355" t="s">
        <v>150</v>
      </c>
      <c r="B26" s="309"/>
      <c r="C26" s="309"/>
      <c r="D26" s="310"/>
      <c r="E26" s="181">
        <v>1300</v>
      </c>
      <c r="F26" s="3"/>
      <c r="G26" s="3"/>
      <c r="H26" s="205"/>
      <c r="I26" s="3"/>
      <c r="J26" s="3"/>
      <c r="K26" s="3"/>
      <c r="L26" s="3"/>
    </row>
    <row r="27" spans="1:23" ht="15.75" customHeight="1" x14ac:dyDescent="0.3">
      <c r="A27" s="355" t="s">
        <v>967</v>
      </c>
      <c r="B27" s="309"/>
      <c r="C27" s="309"/>
      <c r="D27" s="310"/>
      <c r="E27" s="206">
        <v>300</v>
      </c>
      <c r="F27" s="3"/>
      <c r="G27" s="3"/>
      <c r="H27" s="205"/>
      <c r="I27" s="3"/>
      <c r="J27" s="3"/>
      <c r="K27" s="3"/>
      <c r="L27" s="3"/>
    </row>
    <row r="28" spans="1:23" ht="15.75" customHeight="1" x14ac:dyDescent="0.3">
      <c r="A28" s="355" t="s">
        <v>968</v>
      </c>
      <c r="B28" s="309"/>
      <c r="C28" s="309"/>
      <c r="D28" s="310"/>
      <c r="E28" s="206">
        <v>200</v>
      </c>
      <c r="F28" s="3"/>
      <c r="G28" s="3"/>
      <c r="H28" s="205"/>
      <c r="I28" s="3"/>
      <c r="J28" s="3"/>
      <c r="K28" s="3"/>
      <c r="L28" s="3"/>
    </row>
    <row r="29" spans="1:23" ht="15.75" customHeight="1" x14ac:dyDescent="0.3">
      <c r="A29" s="355" t="s">
        <v>969</v>
      </c>
      <c r="B29" s="309"/>
      <c r="C29" s="309"/>
      <c r="D29" s="310"/>
      <c r="E29" s="181">
        <v>2500</v>
      </c>
      <c r="F29" s="3"/>
      <c r="H29" s="205"/>
    </row>
    <row r="30" spans="1:23" ht="15.75" customHeight="1" x14ac:dyDescent="0.3">
      <c r="A30" s="355" t="s">
        <v>970</v>
      </c>
      <c r="B30" s="309"/>
      <c r="C30" s="309"/>
      <c r="D30" s="310"/>
      <c r="E30" s="181">
        <v>1000</v>
      </c>
      <c r="F30" s="3"/>
      <c r="H30" s="205"/>
    </row>
    <row r="31" spans="1:23" ht="15.75" customHeight="1" x14ac:dyDescent="0.3">
      <c r="A31" s="357" t="s">
        <v>971</v>
      </c>
      <c r="B31" s="315"/>
      <c r="C31" s="315"/>
      <c r="D31" s="316"/>
      <c r="E31" s="186">
        <v>10000</v>
      </c>
      <c r="F31" s="3"/>
      <c r="H31" s="205"/>
    </row>
    <row r="32" spans="1:23" ht="15.75" customHeight="1" x14ac:dyDescent="0.3">
      <c r="A32" s="340"/>
      <c r="B32" s="321"/>
      <c r="C32" s="321"/>
      <c r="D32" s="194"/>
      <c r="E32" s="194"/>
    </row>
    <row r="33" spans="1:5" ht="15.75" customHeight="1" x14ac:dyDescent="0.3">
      <c r="A33" s="340"/>
      <c r="B33" s="321"/>
      <c r="C33" s="321"/>
      <c r="D33" s="194"/>
      <c r="E33" s="194"/>
    </row>
    <row r="34" spans="1:5" ht="15.75" customHeight="1" x14ac:dyDescent="0.3">
      <c r="A34" s="340"/>
      <c r="B34" s="321"/>
      <c r="C34" s="321"/>
      <c r="D34" s="194"/>
      <c r="E34" s="194"/>
    </row>
    <row r="35" spans="1:5" ht="15.75" customHeight="1" x14ac:dyDescent="0.3">
      <c r="A35" s="340"/>
      <c r="B35" s="321"/>
      <c r="C35" s="321"/>
      <c r="D35" s="194"/>
      <c r="E35" s="194"/>
    </row>
    <row r="36" spans="1:5" ht="15.75" customHeight="1" x14ac:dyDescent="0.3">
      <c r="A36" s="340"/>
      <c r="B36" s="321"/>
      <c r="C36" s="321"/>
      <c r="D36" s="194"/>
      <c r="E36" s="194"/>
    </row>
    <row r="37" spans="1:5" ht="15.75" customHeight="1" x14ac:dyDescent="0.3">
      <c r="A37" s="340"/>
      <c r="B37" s="321"/>
      <c r="C37" s="321"/>
      <c r="D37" s="194"/>
      <c r="E37" s="194"/>
    </row>
    <row r="38" spans="1:5" ht="15.75" customHeight="1" x14ac:dyDescent="0.3">
      <c r="A38" s="340"/>
      <c r="B38" s="321"/>
      <c r="C38" s="321"/>
      <c r="D38" s="194"/>
      <c r="E38" s="194"/>
    </row>
    <row r="39" spans="1:5" ht="15.75" customHeight="1" x14ac:dyDescent="0.3">
      <c r="A39" s="340"/>
      <c r="B39" s="321"/>
      <c r="C39" s="321"/>
      <c r="D39" s="194"/>
      <c r="E39" s="194"/>
    </row>
    <row r="40" spans="1:5" ht="15.75" customHeight="1" x14ac:dyDescent="0.3">
      <c r="A40" s="340"/>
      <c r="B40" s="321"/>
      <c r="C40" s="321"/>
      <c r="D40" s="194"/>
      <c r="E40" s="194"/>
    </row>
    <row r="41" spans="1:5" ht="15.75" customHeight="1" x14ac:dyDescent="0.3">
      <c r="A41" s="340"/>
      <c r="B41" s="321"/>
      <c r="C41" s="321"/>
      <c r="D41" s="194"/>
      <c r="E41" s="194"/>
    </row>
    <row r="42" spans="1:5" ht="15.75" customHeight="1" x14ac:dyDescent="0.3">
      <c r="A42" s="340"/>
      <c r="B42" s="321"/>
      <c r="C42" s="321"/>
      <c r="D42" s="194"/>
      <c r="E42" s="194"/>
    </row>
    <row r="43" spans="1:5" ht="15.75" customHeight="1" x14ac:dyDescent="0.3">
      <c r="A43" s="3"/>
      <c r="B43" s="3"/>
      <c r="C43" s="3"/>
      <c r="D43" s="3"/>
      <c r="E43" s="3"/>
    </row>
    <row r="44" spans="1:5" ht="15.75" customHeight="1" x14ac:dyDescent="0.3"/>
    <row r="45" spans="1:5" ht="15.75" customHeight="1" x14ac:dyDescent="0.3"/>
    <row r="46" spans="1:5" ht="15.75" customHeight="1" x14ac:dyDescent="0.3"/>
    <row r="47" spans="1:5" ht="15.75" customHeight="1" x14ac:dyDescent="0.3"/>
    <row r="48" spans="1: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1">
    <mergeCell ref="A1:I1"/>
    <mergeCell ref="C3:D3"/>
    <mergeCell ref="A14:D14"/>
    <mergeCell ref="J3:K3"/>
    <mergeCell ref="A18:D18"/>
    <mergeCell ref="A36:C36"/>
    <mergeCell ref="A27:D27"/>
    <mergeCell ref="A10:E10"/>
    <mergeCell ref="A26:D26"/>
    <mergeCell ref="A21:D21"/>
    <mergeCell ref="E3:E4"/>
    <mergeCell ref="A42:C42"/>
    <mergeCell ref="L3:M3"/>
    <mergeCell ref="A33:C33"/>
    <mergeCell ref="A31:D31"/>
    <mergeCell ref="N3:O3"/>
    <mergeCell ref="A32:C32"/>
    <mergeCell ref="A3:A4"/>
    <mergeCell ref="A30:D30"/>
    <mergeCell ref="A15:D15"/>
    <mergeCell ref="A24:D24"/>
    <mergeCell ref="A35:C35"/>
    <mergeCell ref="A38:C38"/>
    <mergeCell ref="A40:C40"/>
    <mergeCell ref="A25:D25"/>
    <mergeCell ref="A39:C39"/>
    <mergeCell ref="A34:C34"/>
    <mergeCell ref="B3:B4"/>
    <mergeCell ref="A20:D20"/>
    <mergeCell ref="A29:D29"/>
    <mergeCell ref="A19:D19"/>
    <mergeCell ref="A12:C12"/>
    <mergeCell ref="A28:D28"/>
    <mergeCell ref="A13:D13"/>
    <mergeCell ref="A16:D16"/>
    <mergeCell ref="D12:E12"/>
    <mergeCell ref="A23:D23"/>
    <mergeCell ref="A41:C41"/>
    <mergeCell ref="A17:D17"/>
    <mergeCell ref="A22:D22"/>
    <mergeCell ref="A37:C37"/>
  </mergeCells>
  <pageMargins left="0.23622047244094491" right="0.23622047244094491" top="0.74803149606299213" bottom="0.74803149606299213" header="0" footer="0"/>
  <pageSetup paperSize="8" scale="77"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Z1000"/>
  <sheetViews>
    <sheetView workbookViewId="0"/>
  </sheetViews>
  <sheetFormatPr defaultColWidth="14.44140625" defaultRowHeight="15" customHeight="1" x14ac:dyDescent="0.3"/>
  <cols>
    <col min="1" max="1" width="17.88671875" customWidth="1"/>
    <col min="2" max="2" width="13.6640625" customWidth="1"/>
    <col min="3" max="4" width="15.33203125" customWidth="1"/>
    <col min="5" max="5" width="15.5546875" customWidth="1"/>
    <col min="6" max="6" width="17.44140625" customWidth="1"/>
    <col min="7" max="7" width="15.6640625" customWidth="1"/>
    <col min="8" max="8" width="14" customWidth="1"/>
    <col min="9" max="10" width="11.88671875" customWidth="1"/>
    <col min="11" max="11" width="11.6640625" customWidth="1"/>
    <col min="12" max="12" width="14.6640625" customWidth="1"/>
    <col min="13" max="13" width="14.44140625" customWidth="1"/>
    <col min="14" max="14" width="16.44140625" customWidth="1"/>
    <col min="15" max="15" width="13.5546875" customWidth="1"/>
    <col min="16" max="17" width="8.6640625" customWidth="1"/>
    <col min="18" max="18" width="10.33203125" customWidth="1"/>
    <col min="19" max="20" width="11.33203125" customWidth="1"/>
    <col min="21" max="26" width="8.6640625" customWidth="1"/>
  </cols>
  <sheetData>
    <row r="1" spans="1:20" ht="17.399999999999999" customHeight="1" x14ac:dyDescent="0.3">
      <c r="A1" s="98"/>
    </row>
    <row r="2" spans="1:20" ht="15.6" customHeight="1" x14ac:dyDescent="0.3">
      <c r="A2" s="360" t="s">
        <v>993</v>
      </c>
      <c r="B2" s="321"/>
      <c r="C2" s="321"/>
      <c r="D2" s="321"/>
      <c r="E2" s="321"/>
      <c r="F2" s="321"/>
      <c r="G2" s="321"/>
      <c r="H2" s="321"/>
      <c r="I2" s="321"/>
    </row>
    <row r="3" spans="1:20" ht="14.4" customHeight="1" x14ac:dyDescent="0.3">
      <c r="A3" s="207"/>
    </row>
    <row r="4" spans="1:20" ht="46.8" customHeight="1" x14ac:dyDescent="0.3">
      <c r="A4" s="208" t="s">
        <v>82</v>
      </c>
      <c r="B4" s="209" t="s">
        <v>994</v>
      </c>
      <c r="C4" s="209" t="s">
        <v>995</v>
      </c>
      <c r="D4" s="209" t="s">
        <v>996</v>
      </c>
      <c r="E4" s="209" t="s">
        <v>997</v>
      </c>
      <c r="F4" s="209" t="s">
        <v>998</v>
      </c>
      <c r="G4" s="209" t="s">
        <v>999</v>
      </c>
      <c r="H4" s="209" t="s">
        <v>977</v>
      </c>
      <c r="I4" s="210" t="s">
        <v>1000</v>
      </c>
    </row>
    <row r="5" spans="1:20" ht="15.6" customHeight="1" x14ac:dyDescent="0.3">
      <c r="A5" s="179" t="s">
        <v>1001</v>
      </c>
      <c r="B5" s="183">
        <f>SUM(' Oil Burner'!H4:H8)*2.5</f>
        <v>14500</v>
      </c>
      <c r="C5" s="183">
        <f>' Oil Burner'!Q13*2</f>
        <v>4600</v>
      </c>
      <c r="D5" s="183">
        <f>' Oil Burner'!H16*1.8</f>
        <v>5418</v>
      </c>
      <c r="E5" s="183">
        <f>' Oil Burner'!H17*2</f>
        <v>7200</v>
      </c>
      <c r="F5" s="183">
        <f>SUM(' Oil Burner'!H11:H12)*2</f>
        <v>2360</v>
      </c>
      <c r="G5" s="183">
        <f>Rates!K24*2.5</f>
        <v>1125</v>
      </c>
      <c r="H5" s="183">
        <f>' Oil Burner'!H9*2</f>
        <v>3000</v>
      </c>
      <c r="I5" s="181">
        <f t="shared" ref="I5:I10" si="0">SUM(B5:H5)</f>
        <v>38203</v>
      </c>
      <c r="J5" s="205"/>
    </row>
    <row r="6" spans="1:20" ht="15.6" customHeight="1" x14ac:dyDescent="0.3">
      <c r="A6" s="179" t="s">
        <v>1002</v>
      </c>
      <c r="B6" s="183">
        <v>14000</v>
      </c>
      <c r="C6" s="183">
        <f>C5</f>
        <v>4600</v>
      </c>
      <c r="D6" s="183">
        <v>6518</v>
      </c>
      <c r="E6" s="183">
        <f>E5</f>
        <v>7200</v>
      </c>
      <c r="F6" s="183">
        <f>F5</f>
        <v>2360</v>
      </c>
      <c r="G6" s="183">
        <f>G5</f>
        <v>1125</v>
      </c>
      <c r="H6" s="183">
        <f>H5</f>
        <v>3000</v>
      </c>
      <c r="I6" s="181">
        <f t="shared" si="0"/>
        <v>38803</v>
      </c>
      <c r="J6" s="205"/>
      <c r="L6" s="3"/>
      <c r="T6" s="205"/>
    </row>
    <row r="7" spans="1:20" ht="15.6" customHeight="1" x14ac:dyDescent="0.3">
      <c r="A7" s="179" t="s">
        <v>1003</v>
      </c>
      <c r="B7" s="183">
        <f>SUM(' Oil Burner'!Q4:Q8)*2.5</f>
        <v>16850</v>
      </c>
      <c r="C7" s="183">
        <f>C6</f>
        <v>4600</v>
      </c>
      <c r="D7" s="183">
        <f>' Oil Burner'!Q16*1.8</f>
        <v>7452</v>
      </c>
      <c r="E7" s="183">
        <f>' Oil Burner'!Q17*2</f>
        <v>9300</v>
      </c>
      <c r="F7" s="183">
        <f>F6</f>
        <v>2360</v>
      </c>
      <c r="G7" s="183">
        <f>G6</f>
        <v>1125</v>
      </c>
      <c r="H7" s="183">
        <f>' Oil Burner'!Q9*2</f>
        <v>3300</v>
      </c>
      <c r="I7" s="181">
        <f t="shared" si="0"/>
        <v>44987</v>
      </c>
      <c r="J7" s="205"/>
      <c r="L7" s="3"/>
    </row>
    <row r="8" spans="1:20" ht="15.6" customHeight="1" x14ac:dyDescent="0.3">
      <c r="A8" s="179" t="s">
        <v>1004</v>
      </c>
      <c r="B8" s="183">
        <f>SUM(' Oil Burner'!Z4:Z8)*2.5</f>
        <v>29600</v>
      </c>
      <c r="C8" s="183">
        <f>C7</f>
        <v>4600</v>
      </c>
      <c r="D8" s="183">
        <f>' Oil Burner'!Z16*1.8</f>
        <v>9000</v>
      </c>
      <c r="E8" s="183">
        <f>' Oil Burner'!Z17*2.2</f>
        <v>17490</v>
      </c>
      <c r="F8" s="183">
        <f>SUM(' Oil Burner'!Z11:Z12)*2</f>
        <v>3100</v>
      </c>
      <c r="G8" s="183">
        <f>G7</f>
        <v>1125</v>
      </c>
      <c r="H8" s="183">
        <f>' Oil Burner'!Z9*2</f>
        <v>3300</v>
      </c>
      <c r="I8" s="181">
        <f t="shared" si="0"/>
        <v>68215</v>
      </c>
      <c r="J8" s="205"/>
      <c r="L8" s="3"/>
    </row>
    <row r="9" spans="1:20" ht="15.6" customHeight="1" x14ac:dyDescent="0.3">
      <c r="A9" s="179" t="s">
        <v>1005</v>
      </c>
      <c r="B9" s="183">
        <f>B8</f>
        <v>29600</v>
      </c>
      <c r="C9" s="183">
        <f>C8</f>
        <v>4600</v>
      </c>
      <c r="D9" s="183">
        <f>D8</f>
        <v>9000</v>
      </c>
      <c r="E9" s="183">
        <f>E8</f>
        <v>17490</v>
      </c>
      <c r="F9" s="183">
        <f>F8</f>
        <v>3100</v>
      </c>
      <c r="G9" s="183">
        <f>G8</f>
        <v>1125</v>
      </c>
      <c r="H9" s="183">
        <f>H8</f>
        <v>3300</v>
      </c>
      <c r="I9" s="181">
        <f t="shared" si="0"/>
        <v>68215</v>
      </c>
      <c r="J9" s="205"/>
      <c r="L9" s="3"/>
    </row>
    <row r="10" spans="1:20" ht="15.6" customHeight="1" x14ac:dyDescent="0.3">
      <c r="A10" s="184" t="s">
        <v>1006</v>
      </c>
      <c r="B10" s="192">
        <f>SUM(' Oil Burner'!AI4:AI13)*2.5</f>
        <v>80994.3</v>
      </c>
      <c r="C10" s="192">
        <f>Rates!K13*2</f>
        <v>5000</v>
      </c>
      <c r="D10" s="192">
        <f>' Oil Burner'!AI20*1.8</f>
        <v>9000</v>
      </c>
      <c r="E10" s="192">
        <f>' Oil Burner'!AI19*2</f>
        <v>21600</v>
      </c>
      <c r="F10" s="192">
        <f>SUM(' Oil Burner'!AI15:AI16)*2</f>
        <v>3800</v>
      </c>
      <c r="G10" s="192">
        <f>G9</f>
        <v>1125</v>
      </c>
      <c r="H10" s="192">
        <f>' Oil Burner'!AI17*2</f>
        <v>9000</v>
      </c>
      <c r="I10" s="186">
        <f t="shared" si="0"/>
        <v>130519.3</v>
      </c>
      <c r="J10" s="205"/>
      <c r="L10" s="3"/>
    </row>
    <row r="12" spans="1:20" ht="17.399999999999999" customHeight="1" x14ac:dyDescent="0.3">
      <c r="A12" s="329" t="s">
        <v>1007</v>
      </c>
      <c r="B12" s="321"/>
      <c r="C12" s="321"/>
      <c r="D12" s="321"/>
      <c r="E12" s="321"/>
      <c r="F12" s="321"/>
      <c r="G12" s="321"/>
      <c r="H12" s="321"/>
      <c r="I12" s="321"/>
      <c r="J12" s="321"/>
      <c r="K12" s="321"/>
    </row>
    <row r="13" spans="1:20" ht="14.4" customHeight="1" x14ac:dyDescent="0.3">
      <c r="C13" s="207" t="s">
        <v>1008</v>
      </c>
    </row>
    <row r="14" spans="1:20" ht="14.4" customHeight="1" x14ac:dyDescent="0.3">
      <c r="A14" s="211" t="s">
        <v>82</v>
      </c>
      <c r="B14" s="212" t="s">
        <v>83</v>
      </c>
      <c r="C14" s="213" t="s">
        <v>1009</v>
      </c>
    </row>
    <row r="15" spans="1:20" ht="15.6" customHeight="1" x14ac:dyDescent="0.3">
      <c r="A15" s="179" t="s">
        <v>93</v>
      </c>
      <c r="B15" s="183">
        <f>' Oil Burner'!H8*3</f>
        <v>7500</v>
      </c>
      <c r="C15" s="183">
        <v>2900</v>
      </c>
    </row>
    <row r="16" spans="1:20" ht="18" customHeight="1" x14ac:dyDescent="0.3">
      <c r="A16" s="179" t="s">
        <v>94</v>
      </c>
      <c r="B16" s="183">
        <f>BURNER!B15+250</f>
        <v>7750</v>
      </c>
      <c r="C16" s="183">
        <v>2900</v>
      </c>
      <c r="F16" s="3"/>
    </row>
    <row r="17" spans="1:26" ht="18" customHeight="1" x14ac:dyDescent="0.3">
      <c r="A17" s="179" t="s">
        <v>95</v>
      </c>
      <c r="B17" s="183">
        <f>' Oil Burner'!Q8*3.93</f>
        <v>10218</v>
      </c>
      <c r="C17" s="183">
        <v>3600</v>
      </c>
      <c r="F17" s="3"/>
    </row>
    <row r="18" spans="1:26" ht="18" customHeight="1" x14ac:dyDescent="0.3">
      <c r="A18" s="179" t="s">
        <v>96</v>
      </c>
      <c r="B18" s="183">
        <f>' Oil Burner'!Z8*3.4</f>
        <v>17000</v>
      </c>
      <c r="C18" s="183">
        <v>6600</v>
      </c>
      <c r="F18" s="3"/>
    </row>
    <row r="19" spans="1:26" ht="18" customHeight="1" x14ac:dyDescent="0.3">
      <c r="A19" s="179" t="s">
        <v>97</v>
      </c>
      <c r="B19" s="183">
        <f>B18+200</f>
        <v>17200</v>
      </c>
      <c r="C19" s="183">
        <f>C18</f>
        <v>6600</v>
      </c>
      <c r="F19" s="3"/>
    </row>
    <row r="20" spans="1:26" ht="18" customHeight="1" x14ac:dyDescent="0.3">
      <c r="A20" s="184" t="s">
        <v>98</v>
      </c>
      <c r="B20" s="192">
        <f>SUM(' Oil Burner'!AI13*2)</f>
        <v>52000</v>
      </c>
      <c r="C20" s="192">
        <v>8100</v>
      </c>
      <c r="F20" s="3"/>
    </row>
    <row r="21" spans="1:26" ht="18" customHeight="1" x14ac:dyDescent="0.3"/>
    <row r="22" spans="1:26" ht="18" customHeight="1" x14ac:dyDescent="0.3">
      <c r="A22" s="360" t="s">
        <v>1010</v>
      </c>
      <c r="B22" s="321"/>
      <c r="C22" s="321"/>
      <c r="D22" s="321"/>
      <c r="E22" s="321"/>
      <c r="F22" s="321"/>
      <c r="G22" s="321"/>
      <c r="H22" s="321"/>
      <c r="I22" s="321"/>
      <c r="J22" s="3"/>
      <c r="K22" s="3"/>
      <c r="L22" s="3"/>
      <c r="M22" s="3"/>
      <c r="N22" s="3"/>
      <c r="O22" s="3"/>
      <c r="P22" s="3"/>
      <c r="Q22" s="3"/>
      <c r="R22" s="3"/>
      <c r="S22" s="3"/>
      <c r="T22" s="3"/>
      <c r="U22" s="3"/>
      <c r="V22" s="3"/>
      <c r="W22" s="3"/>
      <c r="X22" s="3"/>
      <c r="Y22" s="3"/>
      <c r="Z22" s="3"/>
    </row>
    <row r="23" spans="1:26" ht="18"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207"/>
      <c r="B24" s="3"/>
      <c r="C24" s="3"/>
      <c r="D24" s="3"/>
      <c r="E24" s="3"/>
      <c r="F24" s="3"/>
      <c r="G24" s="3"/>
      <c r="H24" s="3"/>
      <c r="I24" s="3"/>
      <c r="J24" s="214"/>
      <c r="K24" s="3"/>
    </row>
    <row r="25" spans="1:26" ht="15.75" customHeight="1" x14ac:dyDescent="0.3">
      <c r="A25" s="208" t="s">
        <v>82</v>
      </c>
      <c r="B25" s="209" t="s">
        <v>994</v>
      </c>
      <c r="C25" s="209" t="s">
        <v>995</v>
      </c>
      <c r="D25" s="209" t="s">
        <v>996</v>
      </c>
      <c r="E25" s="209" t="s">
        <v>997</v>
      </c>
      <c r="F25" s="209" t="s">
        <v>998</v>
      </c>
      <c r="G25" s="209" t="s">
        <v>978</v>
      </c>
      <c r="H25" s="209" t="s">
        <v>1011</v>
      </c>
      <c r="I25" s="209" t="s">
        <v>977</v>
      </c>
      <c r="J25" s="210" t="s">
        <v>1000</v>
      </c>
      <c r="K25" s="3"/>
    </row>
    <row r="26" spans="1:26" ht="15.75" customHeight="1" x14ac:dyDescent="0.3">
      <c r="A26" s="179" t="s">
        <v>1001</v>
      </c>
      <c r="B26" s="183">
        <f t="shared" ref="B26:B31" si="1">B5+B15</f>
        <v>22000</v>
      </c>
      <c r="C26" s="183">
        <f>C5</f>
        <v>4600</v>
      </c>
      <c r="D26" s="183">
        <f>D5</f>
        <v>5418</v>
      </c>
      <c r="E26" s="183">
        <f>E5</f>
        <v>7200</v>
      </c>
      <c r="F26" s="183">
        <f>F5*3/2-5</f>
        <v>3535</v>
      </c>
      <c r="G26" s="183">
        <f t="shared" ref="G26:G31" si="2">C54</f>
        <v>2680.08</v>
      </c>
      <c r="H26" s="183">
        <f t="shared" ref="H26:I31" si="3">G5</f>
        <v>1125</v>
      </c>
      <c r="I26" s="183">
        <f t="shared" si="3"/>
        <v>3000</v>
      </c>
      <c r="J26" s="181">
        <f t="shared" ref="J26:J31" si="4">SUM(B26:I26)</f>
        <v>49558.080000000002</v>
      </c>
      <c r="K26" s="3"/>
      <c r="L26" s="1">
        <v>36000</v>
      </c>
      <c r="M26" s="1">
        <f t="shared" ref="M26:M31" si="5">J26/L26</f>
        <v>1.3766133333333335</v>
      </c>
    </row>
    <row r="27" spans="1:26" ht="15.75" customHeight="1" x14ac:dyDescent="0.3">
      <c r="A27" s="179" t="s">
        <v>1002</v>
      </c>
      <c r="B27" s="183">
        <f t="shared" si="1"/>
        <v>21750</v>
      </c>
      <c r="C27" s="183">
        <f>C26</f>
        <v>4600</v>
      </c>
      <c r="D27" s="183">
        <f>D6</f>
        <v>6518</v>
      </c>
      <c r="E27" s="183">
        <f>E26</f>
        <v>7200</v>
      </c>
      <c r="F27" s="183">
        <f>F26</f>
        <v>3535</v>
      </c>
      <c r="G27" s="183">
        <f t="shared" si="2"/>
        <v>2680.08</v>
      </c>
      <c r="H27" s="183">
        <f t="shared" si="3"/>
        <v>1125</v>
      </c>
      <c r="I27" s="183">
        <f t="shared" si="3"/>
        <v>3000</v>
      </c>
      <c r="J27" s="181">
        <f t="shared" si="4"/>
        <v>50408.08</v>
      </c>
      <c r="K27" s="3"/>
      <c r="L27" s="1">
        <v>37800</v>
      </c>
      <c r="M27" s="3">
        <f t="shared" si="5"/>
        <v>1.33354708994709</v>
      </c>
    </row>
    <row r="28" spans="1:26" ht="15.75" customHeight="1" x14ac:dyDescent="0.3">
      <c r="A28" s="179" t="s">
        <v>1003</v>
      </c>
      <c r="B28" s="183">
        <f t="shared" si="1"/>
        <v>27068</v>
      </c>
      <c r="C28" s="183">
        <f>C27</f>
        <v>4600</v>
      </c>
      <c r="D28" s="183">
        <f>D7</f>
        <v>7452</v>
      </c>
      <c r="E28" s="183">
        <f>E7</f>
        <v>9300</v>
      </c>
      <c r="F28" s="183">
        <f>F27</f>
        <v>3535</v>
      </c>
      <c r="G28" s="183">
        <f t="shared" si="2"/>
        <v>3900</v>
      </c>
      <c r="H28" s="183">
        <f t="shared" si="3"/>
        <v>1125</v>
      </c>
      <c r="I28" s="183">
        <f t="shared" si="3"/>
        <v>3300</v>
      </c>
      <c r="J28" s="181">
        <f t="shared" si="4"/>
        <v>60280</v>
      </c>
      <c r="K28" s="3"/>
      <c r="L28" s="1">
        <v>46100</v>
      </c>
      <c r="M28" s="3">
        <f t="shared" si="5"/>
        <v>1.3075921908893708</v>
      </c>
    </row>
    <row r="29" spans="1:26" ht="15.75" customHeight="1" x14ac:dyDescent="0.3">
      <c r="A29" s="179" t="s">
        <v>1004</v>
      </c>
      <c r="B29" s="183">
        <f t="shared" si="1"/>
        <v>46600</v>
      </c>
      <c r="C29" s="183">
        <f>C28</f>
        <v>4600</v>
      </c>
      <c r="D29" s="183">
        <f>D8</f>
        <v>9000</v>
      </c>
      <c r="E29" s="183">
        <v>11850</v>
      </c>
      <c r="F29" s="183">
        <f>F8*3/2</f>
        <v>4650</v>
      </c>
      <c r="G29" s="183">
        <f t="shared" si="2"/>
        <v>4569.24</v>
      </c>
      <c r="H29" s="183">
        <f t="shared" si="3"/>
        <v>1125</v>
      </c>
      <c r="I29" s="183">
        <f t="shared" si="3"/>
        <v>3300</v>
      </c>
      <c r="J29" s="181">
        <f t="shared" si="4"/>
        <v>85694.24</v>
      </c>
      <c r="K29" s="3"/>
      <c r="L29" s="1">
        <v>66000</v>
      </c>
      <c r="M29" s="3">
        <f t="shared" si="5"/>
        <v>1.2983975757575759</v>
      </c>
    </row>
    <row r="30" spans="1:26" ht="15.75" customHeight="1" x14ac:dyDescent="0.3">
      <c r="A30" s="179" t="s">
        <v>1005</v>
      </c>
      <c r="B30" s="183">
        <f t="shared" si="1"/>
        <v>46800</v>
      </c>
      <c r="C30" s="183">
        <f>C29</f>
        <v>4600</v>
      </c>
      <c r="D30" s="183">
        <f>D9</f>
        <v>9000</v>
      </c>
      <c r="E30" s="183">
        <f>E29</f>
        <v>11850</v>
      </c>
      <c r="F30" s="183">
        <f>F29</f>
        <v>4650</v>
      </c>
      <c r="G30" s="183">
        <f t="shared" si="2"/>
        <v>7800</v>
      </c>
      <c r="H30" s="183">
        <f t="shared" si="3"/>
        <v>1125</v>
      </c>
      <c r="I30" s="183">
        <f t="shared" si="3"/>
        <v>3300</v>
      </c>
      <c r="J30" s="181">
        <f t="shared" si="4"/>
        <v>89125</v>
      </c>
      <c r="K30" s="3"/>
      <c r="L30" s="1">
        <v>70400</v>
      </c>
      <c r="M30" s="3">
        <f t="shared" si="5"/>
        <v>1.2659801136363635</v>
      </c>
    </row>
    <row r="31" spans="1:26" ht="15.75" customHeight="1" x14ac:dyDescent="0.3">
      <c r="A31" s="184" t="s">
        <v>1006</v>
      </c>
      <c r="B31" s="192">
        <f t="shared" si="1"/>
        <v>132994.29999999999</v>
      </c>
      <c r="C31" s="183">
        <f>C30</f>
        <v>4600</v>
      </c>
      <c r="D31" s="192">
        <f>D10</f>
        <v>9000</v>
      </c>
      <c r="E31" s="192">
        <f>E10</f>
        <v>21600</v>
      </c>
      <c r="F31" s="192">
        <f>F10*3/2</f>
        <v>5700</v>
      </c>
      <c r="G31" s="192">
        <f t="shared" si="2"/>
        <v>7800</v>
      </c>
      <c r="H31" s="192">
        <f t="shared" si="3"/>
        <v>1125</v>
      </c>
      <c r="I31" s="192">
        <f t="shared" si="3"/>
        <v>9000</v>
      </c>
      <c r="J31" s="186">
        <f t="shared" si="4"/>
        <v>191819.3</v>
      </c>
      <c r="K31" s="3"/>
      <c r="L31" s="1">
        <v>138300</v>
      </c>
      <c r="M31" s="3">
        <f t="shared" si="5"/>
        <v>1.3869797541576283</v>
      </c>
    </row>
    <row r="32" spans="1:26" ht="15.75" customHeight="1" x14ac:dyDescent="0.3">
      <c r="A32" s="193"/>
      <c r="B32" s="194"/>
      <c r="C32" s="194"/>
      <c r="D32" s="194"/>
      <c r="E32" s="194"/>
      <c r="F32" s="194"/>
      <c r="G32" s="3"/>
      <c r="H32" s="194"/>
      <c r="I32" s="194"/>
      <c r="J32" s="194"/>
      <c r="K32" s="3"/>
      <c r="L32" s="3"/>
      <c r="M32" s="3"/>
      <c r="N32" s="3"/>
      <c r="O32" s="3"/>
      <c r="P32" s="3"/>
      <c r="Q32" s="3"/>
      <c r="R32" s="3"/>
      <c r="S32" s="3"/>
      <c r="T32" s="3"/>
      <c r="U32" s="3"/>
      <c r="V32" s="3"/>
      <c r="W32" s="3"/>
      <c r="X32" s="3"/>
      <c r="Y32" s="3"/>
      <c r="Z32" s="3"/>
    </row>
    <row r="33" spans="1:12" ht="15.75" customHeight="1" x14ac:dyDescent="0.3">
      <c r="A33" s="362" t="s">
        <v>1012</v>
      </c>
      <c r="B33" s="321"/>
      <c r="C33" s="321"/>
      <c r="D33" s="321"/>
      <c r="E33" s="321"/>
      <c r="F33" s="321"/>
      <c r="G33" s="321"/>
      <c r="H33" s="321"/>
      <c r="I33" s="321"/>
      <c r="J33" s="3"/>
      <c r="K33" s="3"/>
    </row>
    <row r="34" spans="1:12" ht="15.75" customHeight="1" x14ac:dyDescent="0.3">
      <c r="A34" s="215"/>
      <c r="J34" s="3"/>
      <c r="K34" s="3"/>
    </row>
    <row r="35" spans="1:12" ht="15.75" customHeight="1" x14ac:dyDescent="0.3">
      <c r="A35" s="344" t="s">
        <v>82</v>
      </c>
      <c r="B35" s="354"/>
      <c r="C35" s="209" t="s">
        <v>994</v>
      </c>
      <c r="D35" s="209" t="s">
        <v>975</v>
      </c>
      <c r="E35" s="209" t="s">
        <v>995</v>
      </c>
      <c r="F35" s="209" t="s">
        <v>998</v>
      </c>
      <c r="G35" s="209" t="s">
        <v>999</v>
      </c>
      <c r="H35" s="209" t="s">
        <v>977</v>
      </c>
      <c r="I35" s="216" t="s">
        <v>1000</v>
      </c>
      <c r="J35" s="3"/>
      <c r="K35" s="3"/>
    </row>
    <row r="36" spans="1:12" ht="15.75" customHeight="1" x14ac:dyDescent="0.3">
      <c r="A36" s="358" t="s">
        <v>1013</v>
      </c>
      <c r="B36" s="310"/>
      <c r="C36" s="183">
        <f>B6</f>
        <v>14000</v>
      </c>
      <c r="D36" s="183">
        <v>44000</v>
      </c>
      <c r="E36" s="183">
        <f>C5</f>
        <v>4600</v>
      </c>
      <c r="F36" s="183">
        <f>SUM('HV  Oil Burner'!H7:H8)*2</f>
        <v>4720</v>
      </c>
      <c r="G36" s="183">
        <f>H27</f>
        <v>1125</v>
      </c>
      <c r="H36" s="183">
        <f>H6</f>
        <v>3000</v>
      </c>
      <c r="I36" s="217">
        <f>SUM(C36:H36)</f>
        <v>71445</v>
      </c>
      <c r="J36" s="3"/>
      <c r="K36" s="205"/>
    </row>
    <row r="37" spans="1:12" ht="15.75" customHeight="1" x14ac:dyDescent="0.3">
      <c r="A37" s="358" t="s">
        <v>1014</v>
      </c>
      <c r="B37" s="310"/>
      <c r="C37" s="183">
        <f>B7</f>
        <v>16850</v>
      </c>
      <c r="D37" s="183">
        <v>59000</v>
      </c>
      <c r="E37" s="183">
        <f>C6</f>
        <v>4600</v>
      </c>
      <c r="F37" s="183">
        <f>SUM('HV  Oil Burner'!Q7:Q8)*2</f>
        <v>4720</v>
      </c>
      <c r="G37" s="183">
        <f>H28</f>
        <v>1125</v>
      </c>
      <c r="H37" s="183">
        <f>H7</f>
        <v>3300</v>
      </c>
      <c r="I37" s="217">
        <f>SUM(C37:H37)</f>
        <v>89595</v>
      </c>
      <c r="J37" s="3"/>
      <c r="K37" s="205"/>
      <c r="L37" s="3"/>
    </row>
    <row r="38" spans="1:12" ht="15.75" customHeight="1" x14ac:dyDescent="0.3">
      <c r="A38" s="358" t="s">
        <v>1015</v>
      </c>
      <c r="B38" s="310"/>
      <c r="C38" s="183">
        <f>B8</f>
        <v>29600</v>
      </c>
      <c r="D38" s="183">
        <v>71500</v>
      </c>
      <c r="E38" s="183">
        <f>C7</f>
        <v>4600</v>
      </c>
      <c r="F38" s="183">
        <f>F37</f>
        <v>4720</v>
      </c>
      <c r="G38" s="183">
        <f>H29</f>
        <v>1125</v>
      </c>
      <c r="H38" s="183">
        <f>H8</f>
        <v>3300</v>
      </c>
      <c r="I38" s="217">
        <f>SUM(C38:H38)</f>
        <v>114845</v>
      </c>
      <c r="J38" s="3"/>
      <c r="K38" s="205"/>
      <c r="L38" s="3"/>
    </row>
    <row r="39" spans="1:12" ht="15.75" customHeight="1" x14ac:dyDescent="0.3">
      <c r="A39" s="358" t="s">
        <v>1016</v>
      </c>
      <c r="B39" s="310"/>
      <c r="C39" s="183">
        <f>B9</f>
        <v>29600</v>
      </c>
      <c r="D39" s="183">
        <v>161000</v>
      </c>
      <c r="E39" s="183">
        <f>C8</f>
        <v>4600</v>
      </c>
      <c r="F39" s="183">
        <f>SUM('HV  Oil Burner'!Z7:Z9)*2</f>
        <v>5460</v>
      </c>
      <c r="G39" s="183">
        <f>H30</f>
        <v>1125</v>
      </c>
      <c r="H39" s="183">
        <f>H9</f>
        <v>3300</v>
      </c>
      <c r="I39" s="217">
        <f>SUM(C39:H39)</f>
        <v>205085</v>
      </c>
      <c r="J39" s="3"/>
      <c r="K39" s="205"/>
      <c r="L39" s="3"/>
    </row>
    <row r="40" spans="1:12" ht="15.75" customHeight="1" x14ac:dyDescent="0.3">
      <c r="A40" s="359" t="s">
        <v>1017</v>
      </c>
      <c r="B40" s="316"/>
      <c r="C40" s="192">
        <f>B10</f>
        <v>80994.3</v>
      </c>
      <c r="D40" s="192">
        <v>201300</v>
      </c>
      <c r="E40" s="192">
        <f>C10</f>
        <v>5000</v>
      </c>
      <c r="F40" s="192">
        <f>SUM('HV  Oil Burner'!AI14:AI15)*2</f>
        <v>7000</v>
      </c>
      <c r="G40" s="192">
        <f>H31</f>
        <v>1125</v>
      </c>
      <c r="H40" s="192">
        <f>H10</f>
        <v>9000</v>
      </c>
      <c r="I40" s="218">
        <f>SUM(C40:H40)</f>
        <v>304419.3</v>
      </c>
      <c r="J40" s="3"/>
      <c r="K40" s="205"/>
      <c r="L40" s="3"/>
    </row>
    <row r="41" spans="1:12" ht="15.75" customHeight="1" x14ac:dyDescent="0.3">
      <c r="A41" s="219"/>
      <c r="B41" s="219"/>
      <c r="C41" s="220"/>
      <c r="D41" s="220"/>
      <c r="E41" s="221"/>
      <c r="F41" s="220"/>
      <c r="G41" s="220"/>
      <c r="H41" s="222"/>
      <c r="I41" s="222"/>
      <c r="J41" s="3"/>
      <c r="K41" s="3"/>
    </row>
    <row r="42" spans="1:12" ht="15.75" customHeight="1" x14ac:dyDescent="0.3">
      <c r="A42" s="362" t="s">
        <v>1018</v>
      </c>
      <c r="B42" s="321"/>
      <c r="C42" s="321"/>
      <c r="D42" s="321"/>
      <c r="E42" s="321"/>
      <c r="F42" s="321"/>
      <c r="G42" s="321"/>
      <c r="H42" s="321"/>
      <c r="I42" s="3"/>
      <c r="J42" s="3"/>
      <c r="K42" s="3"/>
    </row>
    <row r="43" spans="1:12" ht="15.75" customHeight="1" x14ac:dyDescent="0.3">
      <c r="A43" s="215"/>
      <c r="B43" s="3"/>
      <c r="C43" s="3"/>
      <c r="D43" s="3"/>
      <c r="E43" s="3"/>
      <c r="F43" s="3"/>
      <c r="G43" s="3"/>
      <c r="H43" s="3"/>
      <c r="I43" s="3"/>
      <c r="J43" s="3"/>
      <c r="K43" s="3"/>
    </row>
    <row r="44" spans="1:12" ht="15.75" customHeight="1" x14ac:dyDescent="0.3">
      <c r="A44" s="344" t="s">
        <v>82</v>
      </c>
      <c r="B44" s="354"/>
      <c r="C44" s="209" t="s">
        <v>994</v>
      </c>
      <c r="D44" s="209" t="s">
        <v>975</v>
      </c>
      <c r="E44" s="209" t="s">
        <v>978</v>
      </c>
      <c r="F44" s="209" t="s">
        <v>998</v>
      </c>
      <c r="G44" s="209" t="s">
        <v>977</v>
      </c>
      <c r="H44" s="216" t="s">
        <v>1000</v>
      </c>
      <c r="J44" s="3"/>
      <c r="K44" s="3"/>
    </row>
    <row r="45" spans="1:12" ht="15.75" customHeight="1" x14ac:dyDescent="0.3">
      <c r="A45" s="358" t="s">
        <v>1013</v>
      </c>
      <c r="B45" s="310"/>
      <c r="C45" s="183">
        <f>B55</f>
        <v>14000</v>
      </c>
      <c r="D45" s="183">
        <f>D36</f>
        <v>44000</v>
      </c>
      <c r="E45" s="183">
        <f>C55</f>
        <v>2680.08</v>
      </c>
      <c r="F45" s="183">
        <f>F55</f>
        <v>2360</v>
      </c>
      <c r="G45" s="183">
        <f>H36</f>
        <v>3000</v>
      </c>
      <c r="H45" s="217">
        <f>SUM(C45:G45)</f>
        <v>66040.08</v>
      </c>
      <c r="J45" s="3"/>
    </row>
    <row r="46" spans="1:12" ht="15.75" customHeight="1" x14ac:dyDescent="0.3">
      <c r="A46" s="358" t="s">
        <v>1014</v>
      </c>
      <c r="B46" s="310"/>
      <c r="C46" s="183">
        <f>B56</f>
        <v>16850</v>
      </c>
      <c r="D46" s="183">
        <f>D37</f>
        <v>59000</v>
      </c>
      <c r="E46" s="183">
        <f>C56</f>
        <v>3900</v>
      </c>
      <c r="F46" s="183">
        <f>F56</f>
        <v>2360</v>
      </c>
      <c r="G46" s="183">
        <f>H37</f>
        <v>3300</v>
      </c>
      <c r="H46" s="217">
        <f>SUM(C46:G46)</f>
        <v>85410</v>
      </c>
      <c r="J46" s="3"/>
      <c r="K46" s="3"/>
    </row>
    <row r="47" spans="1:12" ht="15.75" customHeight="1" x14ac:dyDescent="0.3">
      <c r="A47" s="358" t="s">
        <v>1015</v>
      </c>
      <c r="B47" s="310"/>
      <c r="C47" s="183">
        <f>B57</f>
        <v>29600</v>
      </c>
      <c r="D47" s="183">
        <f>D38</f>
        <v>71500</v>
      </c>
      <c r="E47" s="183">
        <f>C57</f>
        <v>4569.24</v>
      </c>
      <c r="F47" s="183">
        <f>F57</f>
        <v>3100</v>
      </c>
      <c r="G47" s="183">
        <f>H38</f>
        <v>3300</v>
      </c>
      <c r="H47" s="217">
        <f>SUM(C47:G47)</f>
        <v>112069.24</v>
      </c>
      <c r="J47" s="3"/>
      <c r="K47" s="3"/>
    </row>
    <row r="48" spans="1:12" ht="15.75" customHeight="1" x14ac:dyDescent="0.3">
      <c r="A48" s="358" t="s">
        <v>1016</v>
      </c>
      <c r="B48" s="310"/>
      <c r="C48" s="183">
        <f>B58</f>
        <v>29600</v>
      </c>
      <c r="D48" s="183">
        <f>D39</f>
        <v>161000</v>
      </c>
      <c r="E48" s="183">
        <f>C58</f>
        <v>7800</v>
      </c>
      <c r="F48" s="183">
        <f>F58</f>
        <v>3100</v>
      </c>
      <c r="G48" s="183">
        <f>H39</f>
        <v>3300</v>
      </c>
      <c r="H48" s="217">
        <f>SUM(C48:G48)</f>
        <v>204800</v>
      </c>
      <c r="J48" s="3"/>
      <c r="K48" s="3"/>
    </row>
    <row r="49" spans="1:11" ht="16.5" customHeight="1" x14ac:dyDescent="0.3">
      <c r="A49" s="359" t="s">
        <v>1017</v>
      </c>
      <c r="B49" s="316"/>
      <c r="C49" s="192">
        <f>B59</f>
        <v>80994.3</v>
      </c>
      <c r="D49" s="192">
        <f>D40</f>
        <v>201300</v>
      </c>
      <c r="E49" s="192">
        <f>C59</f>
        <v>7800</v>
      </c>
      <c r="F49" s="192">
        <f>F59</f>
        <v>3800</v>
      </c>
      <c r="G49" s="183">
        <f>H40</f>
        <v>9000</v>
      </c>
      <c r="H49" s="218">
        <f>SUM(C49:G49)</f>
        <v>302894.3</v>
      </c>
      <c r="J49" s="3"/>
      <c r="K49" s="3"/>
    </row>
    <row r="50" spans="1:11" ht="15.75" customHeight="1" x14ac:dyDescent="0.3">
      <c r="A50" s="219"/>
      <c r="B50" s="219"/>
      <c r="C50" s="220"/>
      <c r="D50" s="220"/>
      <c r="E50" s="221"/>
      <c r="F50" s="220"/>
      <c r="G50" s="220"/>
      <c r="H50" s="222"/>
      <c r="I50" s="222"/>
      <c r="J50" s="3"/>
    </row>
    <row r="51" spans="1:11" ht="15.75" customHeight="1" x14ac:dyDescent="0.3">
      <c r="A51" s="360" t="s">
        <v>1019</v>
      </c>
      <c r="B51" s="321"/>
      <c r="C51" s="321"/>
      <c r="D51" s="321"/>
      <c r="E51" s="321"/>
      <c r="F51" s="321"/>
      <c r="G51" s="321"/>
      <c r="H51" s="321"/>
      <c r="I51" s="223"/>
      <c r="J51" s="3"/>
    </row>
    <row r="52" spans="1:11" ht="15.75" customHeight="1" x14ac:dyDescent="0.3">
      <c r="A52" s="207"/>
      <c r="J52" s="3"/>
    </row>
    <row r="53" spans="1:11" ht="15.75" customHeight="1" x14ac:dyDescent="0.3">
      <c r="A53" s="208" t="s">
        <v>82</v>
      </c>
      <c r="B53" s="209" t="s">
        <v>994</v>
      </c>
      <c r="C53" s="209" t="s">
        <v>978</v>
      </c>
      <c r="D53" s="209" t="s">
        <v>996</v>
      </c>
      <c r="E53" s="209" t="s">
        <v>997</v>
      </c>
      <c r="F53" s="209" t="s">
        <v>998</v>
      </c>
      <c r="G53" s="209" t="s">
        <v>977</v>
      </c>
      <c r="H53" s="210" t="s">
        <v>1000</v>
      </c>
    </row>
    <row r="54" spans="1:11" ht="15.75" customHeight="1" x14ac:dyDescent="0.3">
      <c r="A54" s="179" t="s">
        <v>1001</v>
      </c>
      <c r="B54" s="183">
        <f t="shared" ref="B54:B59" si="6">B5</f>
        <v>14500</v>
      </c>
      <c r="C54" s="183">
        <f>2*Rates!K28*78%</f>
        <v>2680.08</v>
      </c>
      <c r="D54" s="183">
        <f t="shared" ref="D54:F59" si="7">D5</f>
        <v>5418</v>
      </c>
      <c r="E54" s="183">
        <f t="shared" si="7"/>
        <v>7200</v>
      </c>
      <c r="F54" s="183">
        <f t="shared" si="7"/>
        <v>2360</v>
      </c>
      <c r="G54" s="183">
        <f t="shared" ref="G54:G59" si="8">H5</f>
        <v>3000</v>
      </c>
      <c r="H54" s="181">
        <f t="shared" ref="H54:H59" si="9">SUM(B54:G54)</f>
        <v>35158.080000000002</v>
      </c>
    </row>
    <row r="55" spans="1:11" ht="15.75" customHeight="1" x14ac:dyDescent="0.3">
      <c r="A55" s="179" t="s">
        <v>1002</v>
      </c>
      <c r="B55" s="183">
        <f t="shared" si="6"/>
        <v>14000</v>
      </c>
      <c r="C55" s="183">
        <f>C54</f>
        <v>2680.08</v>
      </c>
      <c r="D55" s="183">
        <f t="shared" si="7"/>
        <v>6518</v>
      </c>
      <c r="E55" s="183">
        <f t="shared" si="7"/>
        <v>7200</v>
      </c>
      <c r="F55" s="183">
        <f t="shared" si="7"/>
        <v>2360</v>
      </c>
      <c r="G55" s="183">
        <f t="shared" si="8"/>
        <v>3000</v>
      </c>
      <c r="H55" s="181">
        <f t="shared" si="9"/>
        <v>35758.080000000002</v>
      </c>
      <c r="K55" s="3"/>
    </row>
    <row r="56" spans="1:11" ht="15.75" customHeight="1" x14ac:dyDescent="0.3">
      <c r="A56" s="179" t="s">
        <v>1003</v>
      </c>
      <c r="B56" s="183">
        <f t="shared" si="6"/>
        <v>16850</v>
      </c>
      <c r="C56" s="183">
        <f>2*Rates!K26*78%</f>
        <v>3900</v>
      </c>
      <c r="D56" s="183">
        <f t="shared" si="7"/>
        <v>7452</v>
      </c>
      <c r="E56" s="183">
        <f t="shared" si="7"/>
        <v>9300</v>
      </c>
      <c r="F56" s="183">
        <f t="shared" si="7"/>
        <v>2360</v>
      </c>
      <c r="G56" s="183">
        <f t="shared" si="8"/>
        <v>3300</v>
      </c>
      <c r="H56" s="181">
        <f t="shared" si="9"/>
        <v>43162</v>
      </c>
      <c r="K56" s="3"/>
    </row>
    <row r="57" spans="1:11" ht="15.75" customHeight="1" x14ac:dyDescent="0.3">
      <c r="A57" s="179" t="s">
        <v>1004</v>
      </c>
      <c r="B57" s="183">
        <f t="shared" si="6"/>
        <v>29600</v>
      </c>
      <c r="C57" s="183">
        <f>2*Rates!K29*78%</f>
        <v>4569.24</v>
      </c>
      <c r="D57" s="183">
        <f t="shared" si="7"/>
        <v>9000</v>
      </c>
      <c r="E57" s="183">
        <f t="shared" si="7"/>
        <v>17490</v>
      </c>
      <c r="F57" s="183">
        <f t="shared" si="7"/>
        <v>3100</v>
      </c>
      <c r="G57" s="183">
        <f t="shared" si="8"/>
        <v>3300</v>
      </c>
      <c r="H57" s="181">
        <f t="shared" si="9"/>
        <v>67059.239999999991</v>
      </c>
      <c r="K57" s="3"/>
    </row>
    <row r="58" spans="1:11" ht="15.75" customHeight="1" x14ac:dyDescent="0.3">
      <c r="A58" s="179" t="s">
        <v>1005</v>
      </c>
      <c r="B58" s="183">
        <f t="shared" si="6"/>
        <v>29600</v>
      </c>
      <c r="C58" s="183">
        <f>2*Rates!K30*78%</f>
        <v>7800</v>
      </c>
      <c r="D58" s="183">
        <f t="shared" si="7"/>
        <v>9000</v>
      </c>
      <c r="E58" s="183">
        <f t="shared" si="7"/>
        <v>17490</v>
      </c>
      <c r="F58" s="183">
        <f t="shared" si="7"/>
        <v>3100</v>
      </c>
      <c r="G58" s="183">
        <f t="shared" si="8"/>
        <v>3300</v>
      </c>
      <c r="H58" s="181">
        <f t="shared" si="9"/>
        <v>70290</v>
      </c>
      <c r="K58" s="3"/>
    </row>
    <row r="59" spans="1:11" ht="15.75" customHeight="1" x14ac:dyDescent="0.3">
      <c r="A59" s="184" t="s">
        <v>1006</v>
      </c>
      <c r="B59" s="192">
        <f t="shared" si="6"/>
        <v>80994.3</v>
      </c>
      <c r="C59" s="192">
        <f>C58</f>
        <v>7800</v>
      </c>
      <c r="D59" s="192">
        <f t="shared" si="7"/>
        <v>9000</v>
      </c>
      <c r="E59" s="192">
        <f t="shared" si="7"/>
        <v>21600</v>
      </c>
      <c r="F59" s="192">
        <f t="shared" si="7"/>
        <v>3800</v>
      </c>
      <c r="G59" s="192">
        <f t="shared" si="8"/>
        <v>9000</v>
      </c>
      <c r="H59" s="186">
        <f t="shared" si="9"/>
        <v>132194.29999999999</v>
      </c>
      <c r="K59" s="3"/>
    </row>
    <row r="60" spans="1:11" ht="15.75" customHeight="1" x14ac:dyDescent="0.3">
      <c r="A60" s="219"/>
      <c r="B60" s="219"/>
      <c r="C60" s="220"/>
      <c r="D60" s="220"/>
      <c r="E60" s="221"/>
      <c r="F60" s="220"/>
      <c r="G60" s="220"/>
      <c r="H60" s="222"/>
      <c r="I60" s="222"/>
    </row>
    <row r="61" spans="1:11" ht="15.75" customHeight="1" x14ac:dyDescent="0.3"/>
    <row r="62" spans="1:11" ht="15.75" customHeight="1" x14ac:dyDescent="0.3">
      <c r="A62" s="214" t="s">
        <v>1020</v>
      </c>
      <c r="B62" s="214"/>
    </row>
    <row r="63" spans="1:11" ht="15.75" customHeight="1" x14ac:dyDescent="0.3">
      <c r="A63" s="224"/>
      <c r="B63" s="225"/>
      <c r="C63" s="225"/>
    </row>
    <row r="64" spans="1:11" ht="15.75" customHeight="1" x14ac:dyDescent="0.3">
      <c r="A64" s="343" t="s">
        <v>1021</v>
      </c>
      <c r="B64" s="310"/>
      <c r="C64" s="26">
        <v>11000</v>
      </c>
    </row>
    <row r="65" spans="1:26" ht="15.75" customHeight="1" x14ac:dyDescent="0.3">
      <c r="A65" s="343" t="s">
        <v>1022</v>
      </c>
      <c r="B65" s="310"/>
      <c r="C65" s="26">
        <v>21000</v>
      </c>
    </row>
    <row r="66" spans="1:26" ht="15.75" customHeight="1" x14ac:dyDescent="0.3">
      <c r="A66" s="343" t="s">
        <v>1023</v>
      </c>
      <c r="B66" s="310"/>
      <c r="C66" s="26">
        <v>32000</v>
      </c>
    </row>
    <row r="67" spans="1:26" ht="15.75" customHeight="1" x14ac:dyDescent="0.3">
      <c r="A67" s="361" t="s">
        <v>987</v>
      </c>
      <c r="B67" s="310"/>
      <c r="C67" s="26">
        <v>1650</v>
      </c>
    </row>
    <row r="68" spans="1:26" ht="15.75" customHeight="1" x14ac:dyDescent="0.3">
      <c r="A68" s="361" t="s">
        <v>988</v>
      </c>
      <c r="B68" s="310"/>
      <c r="C68" s="26">
        <v>3300</v>
      </c>
    </row>
    <row r="69" spans="1:26" ht="15.75" customHeight="1" x14ac:dyDescent="0.3">
      <c r="A69" s="361" t="s">
        <v>989</v>
      </c>
      <c r="B69" s="310"/>
      <c r="C69" s="26">
        <v>10000</v>
      </c>
    </row>
    <row r="70" spans="1:26" ht="15.75" customHeight="1" x14ac:dyDescent="0.3">
      <c r="A70" s="361" t="s">
        <v>1024</v>
      </c>
      <c r="B70" s="310"/>
      <c r="C70" s="26">
        <v>5500</v>
      </c>
    </row>
    <row r="71" spans="1:26" ht="15.75" customHeight="1" x14ac:dyDescent="0.3">
      <c r="A71" s="361" t="s">
        <v>1025</v>
      </c>
      <c r="B71" s="310"/>
      <c r="C71" s="26">
        <v>13000</v>
      </c>
    </row>
    <row r="72" spans="1:26" ht="15.75" customHeight="1" x14ac:dyDescent="0.3"/>
    <row r="73" spans="1:26" ht="15.75" customHeight="1" x14ac:dyDescent="0.3"/>
    <row r="74" spans="1:26" ht="15.75" customHeight="1" x14ac:dyDescent="0.3">
      <c r="A74" s="226" t="s">
        <v>1026</v>
      </c>
      <c r="B74" s="52"/>
      <c r="C74" s="52"/>
      <c r="D74" s="52"/>
      <c r="E74" s="52"/>
      <c r="F74" s="52"/>
      <c r="G74" s="52"/>
      <c r="H74" s="53"/>
    </row>
    <row r="75" spans="1:26" ht="15.75" customHeight="1" x14ac:dyDescent="0.3">
      <c r="A75" s="68"/>
      <c r="B75" s="3"/>
      <c r="C75" s="3"/>
      <c r="D75" s="3"/>
      <c r="E75" s="3"/>
      <c r="F75" s="3"/>
      <c r="G75" s="3"/>
      <c r="H75" s="67"/>
    </row>
    <row r="76" spans="1:26" ht="15.75" customHeight="1" x14ac:dyDescent="0.3">
      <c r="A76" s="227" t="s">
        <v>1027</v>
      </c>
      <c r="B76" s="178" t="s">
        <v>1028</v>
      </c>
      <c r="C76" s="178" t="s">
        <v>996</v>
      </c>
      <c r="D76" s="178" t="s">
        <v>1029</v>
      </c>
      <c r="E76" s="178" t="s">
        <v>976</v>
      </c>
      <c r="F76" s="178" t="s">
        <v>977</v>
      </c>
      <c r="G76" s="178" t="s">
        <v>978</v>
      </c>
      <c r="H76" s="228" t="s">
        <v>1030</v>
      </c>
      <c r="I76" s="6"/>
      <c r="J76" s="6"/>
      <c r="K76" s="6"/>
      <c r="L76" s="6"/>
      <c r="M76" s="6"/>
      <c r="N76" s="6"/>
      <c r="O76" s="6"/>
      <c r="P76" s="6"/>
      <c r="Q76" s="6"/>
      <c r="R76" s="6"/>
      <c r="S76" s="6"/>
      <c r="T76" s="6"/>
      <c r="U76" s="6"/>
      <c r="V76" s="6"/>
      <c r="W76" s="6"/>
      <c r="X76" s="6"/>
      <c r="Y76" s="6"/>
      <c r="Z76" s="6"/>
    </row>
    <row r="77" spans="1:26" ht="15.75" customHeight="1" x14ac:dyDescent="0.3">
      <c r="A77" s="29" t="s">
        <v>1031</v>
      </c>
      <c r="B77" s="183">
        <v>26000</v>
      </c>
      <c r="C77" s="183">
        <f>D7</f>
        <v>7452</v>
      </c>
      <c r="D77" s="183">
        <f>E7</f>
        <v>9300</v>
      </c>
      <c r="E77" s="229">
        <f>F7</f>
        <v>2360</v>
      </c>
      <c r="F77" s="229">
        <f>H7</f>
        <v>3300</v>
      </c>
      <c r="G77" s="229">
        <f>C56</f>
        <v>3900</v>
      </c>
      <c r="H77" s="230">
        <f>SUM(B77:G77)</f>
        <v>52312</v>
      </c>
    </row>
    <row r="78" spans="1:26" ht="15.75" customHeight="1" x14ac:dyDescent="0.3">
      <c r="A78" s="29" t="s">
        <v>1032</v>
      </c>
      <c r="B78" s="183">
        <v>37500</v>
      </c>
      <c r="C78" s="183">
        <f>D9</f>
        <v>9000</v>
      </c>
      <c r="D78" s="183">
        <f>E9</f>
        <v>17490</v>
      </c>
      <c r="E78" s="229">
        <f>F8</f>
        <v>3100</v>
      </c>
      <c r="F78" s="229">
        <f>I30</f>
        <v>3300</v>
      </c>
      <c r="G78" s="229">
        <f>C58</f>
        <v>7800</v>
      </c>
      <c r="H78" s="230">
        <f>SUM(B78:G78)</f>
        <v>78190</v>
      </c>
      <c r="K78" s="3"/>
    </row>
    <row r="79" spans="1:26" ht="15.75" customHeight="1" x14ac:dyDescent="0.3">
      <c r="A79" s="29" t="s">
        <v>1033</v>
      </c>
      <c r="B79" s="183">
        <v>48500</v>
      </c>
      <c r="C79" s="183">
        <f>D59</f>
        <v>9000</v>
      </c>
      <c r="D79" s="183">
        <f>E10</f>
        <v>21600</v>
      </c>
      <c r="E79" s="229">
        <f>F9</f>
        <v>3100</v>
      </c>
      <c r="F79" s="229">
        <v>9500</v>
      </c>
      <c r="G79" s="229">
        <f>C59</f>
        <v>7800</v>
      </c>
      <c r="H79" s="230">
        <f>SUM(B79:G79)</f>
        <v>99500</v>
      </c>
      <c r="K79" s="3"/>
    </row>
    <row r="80" spans="1:26" ht="15.75" customHeight="1" x14ac:dyDescent="0.3">
      <c r="A80" s="68"/>
      <c r="B80" s="194"/>
      <c r="C80" s="194"/>
      <c r="D80" s="194"/>
      <c r="E80" s="194"/>
      <c r="F80" s="3"/>
      <c r="G80" s="3"/>
      <c r="H80" s="67"/>
      <c r="I80" s="205"/>
    </row>
    <row r="81" spans="1:26" ht="15.75" customHeight="1" x14ac:dyDescent="0.3">
      <c r="A81" s="227" t="s">
        <v>1034</v>
      </c>
      <c r="B81" s="178" t="s">
        <v>1035</v>
      </c>
      <c r="C81" s="178" t="s">
        <v>996</v>
      </c>
      <c r="D81" s="178" t="s">
        <v>1029</v>
      </c>
      <c r="E81" s="178" t="s">
        <v>976</v>
      </c>
      <c r="F81" s="178" t="s">
        <v>977</v>
      </c>
      <c r="G81" s="178" t="s">
        <v>978</v>
      </c>
      <c r="H81" s="228" t="s">
        <v>1030</v>
      </c>
      <c r="I81" s="231"/>
      <c r="J81" s="6"/>
      <c r="K81" s="6"/>
      <c r="L81" s="6"/>
      <c r="M81" s="6"/>
      <c r="N81" s="6"/>
      <c r="O81" s="6"/>
      <c r="P81" s="6"/>
      <c r="Q81" s="6"/>
      <c r="R81" s="6"/>
      <c r="S81" s="6"/>
      <c r="T81" s="6"/>
      <c r="U81" s="6"/>
      <c r="V81" s="6"/>
      <c r="W81" s="6"/>
      <c r="X81" s="6"/>
      <c r="Y81" s="6"/>
      <c r="Z81" s="6"/>
    </row>
    <row r="82" spans="1:26" ht="15.75" customHeight="1" x14ac:dyDescent="0.3">
      <c r="A82" s="36" t="s">
        <v>1032</v>
      </c>
      <c r="B82" s="192">
        <v>13540</v>
      </c>
      <c r="C82" s="192">
        <f>D9</f>
        <v>9000</v>
      </c>
      <c r="D82" s="192">
        <f>E8</f>
        <v>17490</v>
      </c>
      <c r="E82" s="232">
        <f>F8</f>
        <v>3100</v>
      </c>
      <c r="F82" s="37">
        <v>3000</v>
      </c>
      <c r="G82" s="37">
        <f>3728*0.55*2</f>
        <v>4100.8</v>
      </c>
      <c r="H82" s="233">
        <f>SUM(B82:G82)</f>
        <v>50230.8</v>
      </c>
      <c r="J82" s="3"/>
    </row>
    <row r="83" spans="1:26" ht="15.75" customHeight="1" x14ac:dyDescent="0.3"/>
    <row r="84" spans="1:26" ht="15.75" customHeight="1" x14ac:dyDescent="0.3"/>
    <row r="85" spans="1:26" ht="15.75" customHeight="1" x14ac:dyDescent="0.3"/>
    <row r="86" spans="1:26" ht="15.75" customHeight="1" x14ac:dyDescent="0.3"/>
    <row r="87" spans="1:26" ht="15.75" customHeight="1" x14ac:dyDescent="0.3"/>
    <row r="88" spans="1:26" ht="15.75" customHeight="1" x14ac:dyDescent="0.3"/>
    <row r="89" spans="1:26" ht="15.75" customHeight="1" x14ac:dyDescent="0.3"/>
    <row r="90" spans="1:26" ht="15.75" customHeight="1" x14ac:dyDescent="0.3"/>
    <row r="91" spans="1:26" ht="15.75" customHeight="1" x14ac:dyDescent="0.3"/>
    <row r="92" spans="1:26" ht="15.75" customHeight="1" x14ac:dyDescent="0.3"/>
    <row r="93" spans="1:26" ht="15.75" customHeight="1" x14ac:dyDescent="0.3"/>
    <row r="94" spans="1:26" ht="15.75" customHeight="1" x14ac:dyDescent="0.3"/>
    <row r="95" spans="1:26" ht="15.75" customHeight="1" x14ac:dyDescent="0.3"/>
    <row r="96" spans="1:2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6">
    <mergeCell ref="A71:B71"/>
    <mergeCell ref="A47:B47"/>
    <mergeCell ref="A42:H42"/>
    <mergeCell ref="A35:B35"/>
    <mergeCell ref="A38:B38"/>
    <mergeCell ref="A68:B68"/>
    <mergeCell ref="A44:B44"/>
    <mergeCell ref="A40:B40"/>
    <mergeCell ref="A67:B67"/>
    <mergeCell ref="A39:B39"/>
    <mergeCell ref="A36:B36"/>
    <mergeCell ref="A70:B70"/>
    <mergeCell ref="A69:B69"/>
    <mergeCell ref="A2:I2"/>
    <mergeCell ref="A33:I33"/>
    <mergeCell ref="A65:B65"/>
    <mergeCell ref="A46:B46"/>
    <mergeCell ref="A37:B37"/>
    <mergeCell ref="A66:B66"/>
    <mergeCell ref="A22:I22"/>
    <mergeCell ref="A12:K12"/>
    <mergeCell ref="A48:B48"/>
    <mergeCell ref="A64:B64"/>
    <mergeCell ref="A49:B49"/>
    <mergeCell ref="A51:H51"/>
    <mergeCell ref="A45:B45"/>
  </mergeCells>
  <pageMargins left="0.70866141732283472" right="0.70866141732283472" top="0.74803149606299213" bottom="0.74803149606299213" header="0" footer="0"/>
  <pageSetup paperSize="8" scale="6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O1000"/>
  <sheetViews>
    <sheetView workbookViewId="0"/>
  </sheetViews>
  <sheetFormatPr defaultColWidth="14.44140625" defaultRowHeight="15" customHeight="1" x14ac:dyDescent="0.3"/>
  <cols>
    <col min="1" max="1" width="7" customWidth="1"/>
    <col min="2" max="2" width="48.109375" customWidth="1"/>
    <col min="3" max="3" width="10.33203125" customWidth="1"/>
    <col min="4" max="4" width="17.88671875" customWidth="1"/>
    <col min="5" max="5" width="8.6640625" customWidth="1"/>
    <col min="6" max="6" width="6.88671875" customWidth="1"/>
    <col min="7" max="7" width="51.33203125" customWidth="1"/>
    <col min="8" max="8" width="10.33203125" customWidth="1"/>
    <col min="9" max="9" width="17.88671875" customWidth="1"/>
    <col min="10" max="10" width="8.6640625" customWidth="1"/>
    <col min="11" max="11" width="6.88671875" customWidth="1"/>
    <col min="12" max="12" width="48.109375" customWidth="1"/>
    <col min="13" max="13" width="10.33203125" customWidth="1"/>
    <col min="14" max="14" width="17.6640625" customWidth="1"/>
    <col min="15" max="26" width="8.6640625" customWidth="1"/>
  </cols>
  <sheetData>
    <row r="1" spans="1:15" ht="15.6" customHeight="1" x14ac:dyDescent="0.3">
      <c r="A1" s="234" t="s">
        <v>4</v>
      </c>
      <c r="B1" s="235" t="s">
        <v>1036</v>
      </c>
      <c r="C1" s="236" t="s">
        <v>6</v>
      </c>
      <c r="D1" s="237" t="s">
        <v>1037</v>
      </c>
      <c r="E1" s="3"/>
      <c r="F1" s="238" t="s">
        <v>4</v>
      </c>
      <c r="G1" s="235" t="s">
        <v>1038</v>
      </c>
      <c r="H1" s="236" t="s">
        <v>6</v>
      </c>
      <c r="I1" s="237" t="s">
        <v>1037</v>
      </c>
      <c r="J1" s="3"/>
      <c r="K1" s="239" t="s">
        <v>4</v>
      </c>
      <c r="L1" s="240" t="s">
        <v>1039</v>
      </c>
      <c r="M1" s="241" t="s">
        <v>6</v>
      </c>
      <c r="N1" s="242" t="s">
        <v>1037</v>
      </c>
      <c r="O1" s="3"/>
    </row>
    <row r="2" spans="1:15" ht="15.6" customHeight="1" x14ac:dyDescent="0.3">
      <c r="A2" s="243">
        <v>1</v>
      </c>
      <c r="B2" s="244" t="s">
        <v>1040</v>
      </c>
      <c r="C2" s="244" t="s">
        <v>1041</v>
      </c>
      <c r="D2" s="245">
        <f>ROUND(1096*Rates!C12*2.1,-2)</f>
        <v>117400</v>
      </c>
      <c r="E2" s="3"/>
      <c r="F2" s="243">
        <v>1</v>
      </c>
      <c r="G2" s="244" t="s">
        <v>1040</v>
      </c>
      <c r="H2" s="244" t="s">
        <v>1042</v>
      </c>
      <c r="I2" s="246">
        <f>ROUND(2.1*1236*Rates!C12,-2)</f>
        <v>132400</v>
      </c>
      <c r="J2" s="3"/>
      <c r="K2" s="243">
        <v>1</v>
      </c>
      <c r="L2" s="244" t="s">
        <v>1040</v>
      </c>
      <c r="M2" s="244" t="s">
        <v>1043</v>
      </c>
      <c r="N2" s="246">
        <f>ROUND(1416*2.1*Rates!C12,-2)</f>
        <v>151700</v>
      </c>
      <c r="O2" s="3"/>
    </row>
    <row r="3" spans="1:15" ht="15.6" customHeight="1" x14ac:dyDescent="0.3">
      <c r="A3" s="368">
        <v>2</v>
      </c>
      <c r="B3" s="117" t="s">
        <v>1044</v>
      </c>
      <c r="C3" s="117"/>
      <c r="D3" s="245"/>
      <c r="E3" s="3"/>
      <c r="F3" s="368">
        <v>2</v>
      </c>
      <c r="G3" s="248" t="s">
        <v>1044</v>
      </c>
      <c r="H3" s="247"/>
      <c r="I3" s="249"/>
      <c r="J3" s="3"/>
      <c r="K3" s="368">
        <v>2</v>
      </c>
      <c r="L3" s="248" t="s">
        <v>1044</v>
      </c>
      <c r="M3" s="247"/>
      <c r="N3" s="249"/>
      <c r="O3" s="3"/>
    </row>
    <row r="4" spans="1:15" ht="15.6" customHeight="1" x14ac:dyDescent="0.3">
      <c r="A4" s="369"/>
      <c r="B4" s="250" t="s">
        <v>1045</v>
      </c>
      <c r="C4" s="117" t="s">
        <v>1046</v>
      </c>
      <c r="D4" s="245">
        <f>BURNER!I6</f>
        <v>38803</v>
      </c>
      <c r="E4" s="3"/>
      <c r="F4" s="369"/>
      <c r="G4" s="251" t="s">
        <v>1047</v>
      </c>
      <c r="H4" s="252">
        <v>1</v>
      </c>
      <c r="I4" s="253">
        <f>BURNER!I7</f>
        <v>44987</v>
      </c>
      <c r="J4" s="3"/>
      <c r="K4" s="369"/>
      <c r="L4" s="251" t="s">
        <v>1047</v>
      </c>
      <c r="M4" s="117">
        <v>1</v>
      </c>
      <c r="N4" s="253">
        <f>BURNER!I7</f>
        <v>44987</v>
      </c>
      <c r="O4" s="3"/>
    </row>
    <row r="5" spans="1:15" ht="15.6" customHeight="1" x14ac:dyDescent="0.3">
      <c r="A5" s="369"/>
      <c r="B5" s="250" t="s">
        <v>1048</v>
      </c>
      <c r="C5" s="254" t="s">
        <v>1049</v>
      </c>
      <c r="D5" s="245">
        <f>Blower!G17</f>
        <v>81000</v>
      </c>
      <c r="E5" s="3"/>
      <c r="F5" s="369"/>
      <c r="G5" s="251" t="s">
        <v>1050</v>
      </c>
      <c r="H5" s="252">
        <v>1</v>
      </c>
      <c r="I5" s="253">
        <f>(Blower!J19*1.8)+(Blower!K18*1.5)</f>
        <v>109260</v>
      </c>
      <c r="J5" s="3"/>
      <c r="K5" s="369"/>
      <c r="L5" s="251" t="s">
        <v>1051</v>
      </c>
      <c r="M5" s="117">
        <v>1</v>
      </c>
      <c r="N5" s="253">
        <f>(Blower!J20*1.8)+(Blower!K19*1.5)</f>
        <v>121140</v>
      </c>
      <c r="O5" s="3"/>
    </row>
    <row r="6" spans="1:15" ht="15.6" customHeight="1" x14ac:dyDescent="0.3">
      <c r="A6" s="370"/>
      <c r="B6" s="250" t="s">
        <v>1052</v>
      </c>
      <c r="C6" s="117" t="s">
        <v>1053</v>
      </c>
      <c r="D6" s="245">
        <f>ROUND(HPU!F49*1.8,-2)</f>
        <v>112200</v>
      </c>
      <c r="E6" s="3"/>
      <c r="F6" s="370"/>
      <c r="G6" s="255" t="s">
        <v>1054</v>
      </c>
      <c r="H6" s="256">
        <v>1</v>
      </c>
      <c r="I6" s="257">
        <f>ROUND(HPU!V48*1.8,-2)</f>
        <v>116200</v>
      </c>
      <c r="J6" s="3"/>
      <c r="K6" s="370"/>
      <c r="L6" s="255" t="s">
        <v>1054</v>
      </c>
      <c r="M6" s="117">
        <v>1</v>
      </c>
      <c r="N6" s="257">
        <f>ROUND(HPU!V48*1.8,-2)</f>
        <v>116200</v>
      </c>
      <c r="O6" s="3"/>
    </row>
    <row r="7" spans="1:15" ht="15.6" customHeight="1" x14ac:dyDescent="0.3">
      <c r="A7" s="243">
        <v>3</v>
      </c>
      <c r="B7" s="244" t="s">
        <v>1055</v>
      </c>
      <c r="C7" s="117" t="s">
        <v>1056</v>
      </c>
      <c r="D7" s="245">
        <f>ROUND(2.1*Rates!C29*9,-2)</f>
        <v>32700</v>
      </c>
      <c r="E7" s="3"/>
      <c r="F7" s="243">
        <v>3</v>
      </c>
      <c r="G7" s="244" t="s">
        <v>1055</v>
      </c>
      <c r="H7" s="244" t="s">
        <v>1057</v>
      </c>
      <c r="I7" s="246">
        <f>ROUND(2.1*11*Rates!C29,-2)</f>
        <v>39900</v>
      </c>
      <c r="J7" s="3"/>
      <c r="K7" s="243">
        <v>3</v>
      </c>
      <c r="L7" s="244" t="s">
        <v>1055</v>
      </c>
      <c r="M7" s="244" t="s">
        <v>1058</v>
      </c>
      <c r="N7" s="246">
        <f>2.1*13*Rates!C29</f>
        <v>47198.697000000007</v>
      </c>
      <c r="O7" s="3"/>
    </row>
    <row r="8" spans="1:15" ht="15.6" customHeight="1" x14ac:dyDescent="0.3">
      <c r="A8" s="243">
        <v>4</v>
      </c>
      <c r="B8" s="244" t="s">
        <v>1059</v>
      </c>
      <c r="C8" s="117" t="s">
        <v>1060</v>
      </c>
      <c r="D8" s="258">
        <f>2.1*60000</f>
        <v>126000</v>
      </c>
      <c r="E8" s="3"/>
      <c r="F8" s="243">
        <v>4</v>
      </c>
      <c r="G8" s="244" t="s">
        <v>1059</v>
      </c>
      <c r="H8" s="244" t="s">
        <v>1060</v>
      </c>
      <c r="I8" s="258">
        <f>2.1*60000</f>
        <v>126000</v>
      </c>
      <c r="J8" s="3"/>
      <c r="K8" s="243">
        <v>4</v>
      </c>
      <c r="L8" s="244" t="s">
        <v>1059</v>
      </c>
      <c r="M8" s="244" t="s">
        <v>1060</v>
      </c>
      <c r="N8" s="258">
        <f>2.1*60000</f>
        <v>126000</v>
      </c>
      <c r="O8" s="3"/>
    </row>
    <row r="9" spans="1:15" ht="15.6" customHeight="1" x14ac:dyDescent="0.3">
      <c r="A9" s="243">
        <v>5</v>
      </c>
      <c r="B9" s="244" t="s">
        <v>1061</v>
      </c>
      <c r="C9" s="117"/>
      <c r="D9" s="245">
        <f>2.1*22000</f>
        <v>46200</v>
      </c>
      <c r="E9" s="3"/>
      <c r="F9" s="243">
        <v>5</v>
      </c>
      <c r="G9" s="244" t="s">
        <v>1061</v>
      </c>
      <c r="H9" s="244"/>
      <c r="I9" s="246">
        <f>2.1*24000</f>
        <v>50400</v>
      </c>
      <c r="J9" s="3"/>
      <c r="K9" s="243">
        <v>5</v>
      </c>
      <c r="L9" s="244" t="s">
        <v>1061</v>
      </c>
      <c r="M9" s="244"/>
      <c r="N9" s="246">
        <f>2.1*55000</f>
        <v>115500</v>
      </c>
      <c r="O9" s="3"/>
    </row>
    <row r="10" spans="1:15" ht="15.6" customHeight="1" x14ac:dyDescent="0.3">
      <c r="A10" s="243">
        <v>6</v>
      </c>
      <c r="B10" s="244" t="s">
        <v>1062</v>
      </c>
      <c r="C10" s="259"/>
      <c r="D10" s="260">
        <f>1.8*69000</f>
        <v>124200</v>
      </c>
      <c r="E10" s="3"/>
      <c r="F10" s="243">
        <v>6</v>
      </c>
      <c r="G10" s="244" t="s">
        <v>1062</v>
      </c>
      <c r="H10" s="244"/>
      <c r="I10" s="261">
        <f>1.8*70500</f>
        <v>126900</v>
      </c>
      <c r="J10" s="3"/>
      <c r="K10" s="243">
        <v>6</v>
      </c>
      <c r="L10" s="244" t="s">
        <v>1062</v>
      </c>
      <c r="M10" s="244"/>
      <c r="N10" s="260">
        <f>1.8*72000</f>
        <v>129600</v>
      </c>
      <c r="O10" s="3"/>
    </row>
    <row r="11" spans="1:15" ht="15.6" customHeight="1" x14ac:dyDescent="0.3">
      <c r="A11" s="36"/>
      <c r="B11" s="37"/>
      <c r="C11" s="262" t="s">
        <v>75</v>
      </c>
      <c r="D11" s="263">
        <f>SUM(D2:D10)</f>
        <v>678503</v>
      </c>
      <c r="E11" s="3"/>
      <c r="F11" s="264"/>
      <c r="G11" s="265"/>
      <c r="H11" s="266" t="s">
        <v>75</v>
      </c>
      <c r="I11" s="267">
        <f>SUM(I2:I10)</f>
        <v>746047</v>
      </c>
      <c r="J11" s="3"/>
      <c r="K11" s="264"/>
      <c r="L11" s="265"/>
      <c r="M11" s="266" t="s">
        <v>75</v>
      </c>
      <c r="N11" s="267">
        <f>SUM(N2:N10)</f>
        <v>852325.69699999993</v>
      </c>
      <c r="O11" s="3"/>
    </row>
    <row r="12" spans="1:15" ht="15.6" customHeight="1" x14ac:dyDescent="0.3">
      <c r="A12" s="3"/>
      <c r="B12" s="3"/>
      <c r="C12" s="268"/>
      <c r="D12" s="269"/>
      <c r="E12" s="3"/>
      <c r="F12" s="3"/>
      <c r="G12" s="3"/>
      <c r="H12" s="3"/>
      <c r="I12" s="3"/>
      <c r="J12" s="3"/>
      <c r="K12" s="3"/>
      <c r="L12" s="3"/>
      <c r="M12" s="3"/>
      <c r="N12" s="3"/>
      <c r="O12" s="3"/>
    </row>
    <row r="13" spans="1:15" ht="15.6" customHeight="1" x14ac:dyDescent="0.3">
      <c r="A13" s="270" t="s">
        <v>4</v>
      </c>
      <c r="B13" s="271" t="s">
        <v>1063</v>
      </c>
      <c r="C13" s="272" t="s">
        <v>6</v>
      </c>
      <c r="D13" s="273" t="s">
        <v>1037</v>
      </c>
      <c r="E13" s="3"/>
      <c r="F13" s="239" t="s">
        <v>4</v>
      </c>
      <c r="G13" s="240" t="s">
        <v>1064</v>
      </c>
      <c r="H13" s="241" t="s">
        <v>6</v>
      </c>
      <c r="I13" s="242" t="s">
        <v>1037</v>
      </c>
      <c r="J13" s="3"/>
      <c r="K13" s="239" t="s">
        <v>4</v>
      </c>
      <c r="L13" s="240" t="s">
        <v>1065</v>
      </c>
      <c r="M13" s="241" t="s">
        <v>6</v>
      </c>
      <c r="N13" s="242" t="s">
        <v>1037</v>
      </c>
      <c r="O13" s="3"/>
    </row>
    <row r="14" spans="1:15" ht="15.6" customHeight="1" x14ac:dyDescent="0.3">
      <c r="A14" s="108">
        <v>1</v>
      </c>
      <c r="B14" s="109" t="s">
        <v>1040</v>
      </c>
      <c r="C14" s="109" t="s">
        <v>1066</v>
      </c>
      <c r="D14" s="274">
        <f>2.1*1450*Rates!C12</f>
        <v>155355.90000000002</v>
      </c>
      <c r="E14" s="3"/>
      <c r="F14" s="243">
        <v>1</v>
      </c>
      <c r="G14" s="244" t="s">
        <v>1040</v>
      </c>
      <c r="H14" s="244" t="s">
        <v>1067</v>
      </c>
      <c r="I14" s="246">
        <f>2.1*1500*Rates!C12</f>
        <v>160713</v>
      </c>
      <c r="J14" s="3"/>
      <c r="K14" s="243">
        <v>1</v>
      </c>
      <c r="L14" s="244" t="s">
        <v>1040</v>
      </c>
      <c r="M14" s="244" t="s">
        <v>1068</v>
      </c>
      <c r="N14" s="246">
        <f>ROUND(2.1*1683*Rates!C12,-2)</f>
        <v>180300</v>
      </c>
      <c r="O14" s="3"/>
    </row>
    <row r="15" spans="1:15" ht="15.6" customHeight="1" x14ac:dyDescent="0.3">
      <c r="A15" s="375">
        <v>2</v>
      </c>
      <c r="B15" s="117" t="s">
        <v>1044</v>
      </c>
      <c r="C15" s="117"/>
      <c r="D15" s="245"/>
      <c r="E15" s="3"/>
      <c r="F15" s="368">
        <v>2</v>
      </c>
      <c r="G15" s="248" t="s">
        <v>1044</v>
      </c>
      <c r="H15" s="247"/>
      <c r="I15" s="249"/>
      <c r="J15" s="3"/>
      <c r="K15" s="247">
        <v>2</v>
      </c>
      <c r="L15" s="248" t="s">
        <v>1044</v>
      </c>
      <c r="M15" s="247"/>
      <c r="N15" s="249"/>
      <c r="O15" s="3"/>
    </row>
    <row r="16" spans="1:15" ht="15.6" customHeight="1" x14ac:dyDescent="0.3">
      <c r="A16" s="376"/>
      <c r="B16" s="250" t="s">
        <v>1069</v>
      </c>
      <c r="C16" s="117">
        <v>1</v>
      </c>
      <c r="D16" s="245">
        <f>BURNER!I8</f>
        <v>68215</v>
      </c>
      <c r="E16" s="3"/>
      <c r="F16" s="369"/>
      <c r="G16" s="251" t="s">
        <v>1069</v>
      </c>
      <c r="H16" s="117">
        <v>1</v>
      </c>
      <c r="I16" s="253">
        <f>BURNER!I8</f>
        <v>68215</v>
      </c>
      <c r="J16" s="3"/>
      <c r="K16" s="276"/>
      <c r="L16" s="251" t="s">
        <v>1069</v>
      </c>
      <c r="M16" s="117">
        <v>1</v>
      </c>
      <c r="N16" s="253">
        <f>BURNER!I8</f>
        <v>68215</v>
      </c>
      <c r="O16" s="3"/>
    </row>
    <row r="17" spans="1:15" ht="15.6" customHeight="1" x14ac:dyDescent="0.3">
      <c r="A17" s="376"/>
      <c r="B17" s="250" t="s">
        <v>1070</v>
      </c>
      <c r="C17" s="117">
        <v>1</v>
      </c>
      <c r="D17" s="245">
        <f>(Blower!J21*1.8)+(Blower!K20*1.5)</f>
        <v>167970</v>
      </c>
      <c r="E17" s="3"/>
      <c r="F17" s="369"/>
      <c r="G17" s="251" t="s">
        <v>1071</v>
      </c>
      <c r="H17" s="117">
        <v>1</v>
      </c>
      <c r="I17" s="253">
        <f>Blower!J21*1.8+Blower!K20*1.5</f>
        <v>167970</v>
      </c>
      <c r="J17" s="3"/>
      <c r="K17" s="276"/>
      <c r="L17" s="251" t="s">
        <v>1072</v>
      </c>
      <c r="M17" s="117">
        <v>1</v>
      </c>
      <c r="N17" s="253">
        <f>Blower!J23*1.5+Blower!K22*1.5</f>
        <v>213450</v>
      </c>
      <c r="O17" s="3"/>
    </row>
    <row r="18" spans="1:15" ht="15.6" customHeight="1" x14ac:dyDescent="0.3">
      <c r="A18" s="345"/>
      <c r="B18" s="250" t="s">
        <v>1073</v>
      </c>
      <c r="C18" s="117">
        <v>1</v>
      </c>
      <c r="D18" s="245">
        <f>ROUND(HPU!BB49*1.8,-2)</f>
        <v>121300</v>
      </c>
      <c r="E18" s="3"/>
      <c r="F18" s="370"/>
      <c r="G18" s="255" t="s">
        <v>1073</v>
      </c>
      <c r="H18" s="117">
        <v>1</v>
      </c>
      <c r="I18" s="257">
        <f>ROUND(HPU!BB49*1.8,-2)</f>
        <v>121300</v>
      </c>
      <c r="J18" s="3"/>
      <c r="K18" s="243"/>
      <c r="L18" s="255" t="s">
        <v>1074</v>
      </c>
      <c r="M18" s="117">
        <v>1</v>
      </c>
      <c r="N18" s="257">
        <f>ROUND(HPU!CH49*1.8,-2)</f>
        <v>133000</v>
      </c>
      <c r="O18" s="3"/>
    </row>
    <row r="19" spans="1:15" ht="15.6" customHeight="1" x14ac:dyDescent="0.3">
      <c r="A19" s="116">
        <v>3</v>
      </c>
      <c r="B19" s="117" t="s">
        <v>1055</v>
      </c>
      <c r="C19" s="117" t="s">
        <v>1075</v>
      </c>
      <c r="D19" s="245">
        <f>2.1*14*Rates!C29</f>
        <v>50829.366000000009</v>
      </c>
      <c r="E19" s="3"/>
      <c r="F19" s="243">
        <v>3</v>
      </c>
      <c r="G19" s="244" t="s">
        <v>1055</v>
      </c>
      <c r="H19" s="244" t="s">
        <v>1076</v>
      </c>
      <c r="I19" s="246">
        <f>ROUND(2.1*15*Rates!C29,-2)</f>
        <v>54500</v>
      </c>
      <c r="J19" s="3"/>
      <c r="K19" s="243">
        <v>3</v>
      </c>
      <c r="L19" s="244" t="s">
        <v>1055</v>
      </c>
      <c r="M19" s="244" t="s">
        <v>1077</v>
      </c>
      <c r="N19" s="246">
        <f>1.8*19*Rates!C29</f>
        <v>59128.038000000008</v>
      </c>
      <c r="O19" s="3"/>
    </row>
    <row r="20" spans="1:15" ht="15.6" customHeight="1" x14ac:dyDescent="0.3">
      <c r="A20" s="116">
        <v>4</v>
      </c>
      <c r="B20" s="117" t="s">
        <v>1059</v>
      </c>
      <c r="C20" s="117" t="s">
        <v>1060</v>
      </c>
      <c r="D20" s="258">
        <f>2.1*75000</f>
        <v>157500</v>
      </c>
      <c r="E20" s="3"/>
      <c r="F20" s="243">
        <v>4</v>
      </c>
      <c r="G20" s="244" t="s">
        <v>1059</v>
      </c>
      <c r="H20" s="244" t="s">
        <v>1060</v>
      </c>
      <c r="I20" s="258">
        <f>2.1*75000</f>
        <v>157500</v>
      </c>
      <c r="J20" s="3"/>
      <c r="K20" s="243">
        <v>4</v>
      </c>
      <c r="L20" s="244" t="s">
        <v>1078</v>
      </c>
      <c r="M20" s="244"/>
      <c r="N20" s="261">
        <f>2.1*106000</f>
        <v>222600</v>
      </c>
      <c r="O20" s="3"/>
    </row>
    <row r="21" spans="1:15" ht="15.75" customHeight="1" x14ac:dyDescent="0.3">
      <c r="A21" s="116">
        <v>5</v>
      </c>
      <c r="B21" s="117" t="s">
        <v>1061</v>
      </c>
      <c r="C21" s="117"/>
      <c r="D21" s="245">
        <f>2.1*65000</f>
        <v>136500</v>
      </c>
      <c r="E21" s="3"/>
      <c r="F21" s="243">
        <v>5</v>
      </c>
      <c r="G21" s="244" t="s">
        <v>1061</v>
      </c>
      <c r="H21" s="244"/>
      <c r="I21" s="246">
        <f>2.1*78000</f>
        <v>163800</v>
      </c>
      <c r="J21" s="3"/>
      <c r="K21" s="243">
        <v>5</v>
      </c>
      <c r="L21" s="244" t="s">
        <v>1059</v>
      </c>
      <c r="M21" s="244" t="s">
        <v>1060</v>
      </c>
      <c r="N21" s="261">
        <f>1.8*75000</f>
        <v>135000</v>
      </c>
      <c r="O21" s="3"/>
    </row>
    <row r="22" spans="1:15" ht="15.75" customHeight="1" x14ac:dyDescent="0.3">
      <c r="A22" s="116">
        <v>6</v>
      </c>
      <c r="B22" s="117" t="s">
        <v>1062</v>
      </c>
      <c r="C22" s="117"/>
      <c r="D22" s="258">
        <f>1.8*77500</f>
        <v>139500</v>
      </c>
      <c r="E22" s="3"/>
      <c r="F22" s="243">
        <v>6</v>
      </c>
      <c r="G22" s="244" t="s">
        <v>1062</v>
      </c>
      <c r="H22" s="244"/>
      <c r="I22" s="260">
        <f>1.8*80000</f>
        <v>144000</v>
      </c>
      <c r="J22" s="3"/>
      <c r="K22" s="243">
        <v>6</v>
      </c>
      <c r="L22" s="244" t="s">
        <v>1061</v>
      </c>
      <c r="M22" s="244"/>
      <c r="N22" s="246">
        <f>2.1*80000</f>
        <v>168000</v>
      </c>
      <c r="O22" s="3"/>
    </row>
    <row r="23" spans="1:15" ht="15.75" customHeight="1" x14ac:dyDescent="0.3">
      <c r="A23" s="36"/>
      <c r="B23" s="37"/>
      <c r="C23" s="277" t="s">
        <v>75</v>
      </c>
      <c r="D23" s="263">
        <f>SUM(D14:D22)</f>
        <v>997170.26600000006</v>
      </c>
      <c r="E23" s="3"/>
      <c r="F23" s="264"/>
      <c r="G23" s="265"/>
      <c r="H23" s="278" t="s">
        <v>75</v>
      </c>
      <c r="I23" s="267">
        <f>SUM(I14:I22)</f>
        <v>1037998</v>
      </c>
      <c r="J23" s="3"/>
      <c r="K23" s="374" t="s">
        <v>634</v>
      </c>
      <c r="L23" s="312"/>
      <c r="M23" s="312"/>
      <c r="N23" s="279">
        <f>SUM(N14:N22)</f>
        <v>1179693.0380000002</v>
      </c>
      <c r="O23" s="3"/>
    </row>
    <row r="24" spans="1:15" ht="15.75" customHeight="1" x14ac:dyDescent="0.3">
      <c r="A24" s="3"/>
      <c r="B24" s="3"/>
      <c r="C24" s="268"/>
      <c r="D24" s="28"/>
      <c r="E24" s="3"/>
      <c r="F24" s="3"/>
      <c r="G24" s="3"/>
      <c r="H24" s="3"/>
      <c r="I24" s="3"/>
      <c r="J24" s="3"/>
      <c r="K24" s="3"/>
      <c r="L24" s="3"/>
      <c r="M24" s="3"/>
      <c r="N24" s="3"/>
      <c r="O24" s="3"/>
    </row>
    <row r="25" spans="1:15" ht="15.75" customHeight="1" x14ac:dyDescent="0.35">
      <c r="A25" s="136" t="s">
        <v>734</v>
      </c>
      <c r="B25" s="3"/>
      <c r="C25" s="3"/>
      <c r="D25" s="3"/>
      <c r="E25" s="3"/>
      <c r="F25" s="3"/>
      <c r="G25" s="3"/>
      <c r="H25" s="3"/>
      <c r="I25" s="28"/>
      <c r="J25" s="28"/>
      <c r="K25" s="3"/>
      <c r="L25" s="3"/>
      <c r="M25" s="3"/>
      <c r="N25" s="3"/>
      <c r="O25" s="3"/>
    </row>
    <row r="26" spans="1:15" ht="15.75" customHeight="1" x14ac:dyDescent="0.3">
      <c r="A26" s="327" t="s">
        <v>1079</v>
      </c>
      <c r="B26" s="321"/>
      <c r="C26" s="321"/>
      <c r="D26" s="321"/>
      <c r="E26" s="321"/>
      <c r="F26" s="3"/>
      <c r="G26" s="3"/>
      <c r="H26" s="3"/>
      <c r="I26" s="258"/>
      <c r="J26" s="2" t="s">
        <v>1080</v>
      </c>
      <c r="K26" s="3"/>
      <c r="L26" s="3"/>
      <c r="M26" s="3"/>
      <c r="N26" s="3"/>
      <c r="O26" s="3"/>
    </row>
    <row r="27" spans="1:15" ht="15.75" customHeight="1" x14ac:dyDescent="0.3">
      <c r="A27" s="137"/>
      <c r="B27" s="137"/>
      <c r="C27" s="137"/>
      <c r="D27" s="137"/>
      <c r="E27" s="137"/>
      <c r="F27" s="3"/>
      <c r="G27" s="3"/>
      <c r="H27" s="3"/>
      <c r="I27" s="3"/>
      <c r="J27" s="28"/>
      <c r="K27" s="3"/>
      <c r="L27" s="3"/>
      <c r="M27" s="3"/>
      <c r="N27" s="3"/>
      <c r="O27" s="3"/>
    </row>
    <row r="28" spans="1:15" ht="15.75" customHeight="1" x14ac:dyDescent="0.3">
      <c r="A28" s="177" t="s">
        <v>1008</v>
      </c>
      <c r="B28" s="3"/>
      <c r="C28" s="3"/>
      <c r="D28" s="3"/>
      <c r="E28" s="3"/>
      <c r="F28" s="3"/>
      <c r="G28" s="3"/>
      <c r="H28" s="3"/>
      <c r="I28" s="3"/>
      <c r="J28" s="28"/>
      <c r="K28" s="3"/>
      <c r="L28" s="3"/>
      <c r="M28" s="3"/>
      <c r="N28" s="3"/>
      <c r="O28" s="3"/>
    </row>
    <row r="29" spans="1:15" ht="15.75" customHeight="1" x14ac:dyDescent="0.3">
      <c r="A29" s="367" t="s">
        <v>1081</v>
      </c>
      <c r="B29" s="354"/>
      <c r="C29" s="363" t="s">
        <v>1082</v>
      </c>
      <c r="D29" s="306"/>
      <c r="E29" s="306"/>
      <c r="F29" s="306"/>
      <c r="G29" s="307"/>
      <c r="H29" s="3"/>
      <c r="I29" s="3"/>
      <c r="J29" s="3"/>
      <c r="K29" s="3"/>
      <c r="L29" s="3"/>
      <c r="M29" s="3"/>
      <c r="N29" s="3"/>
      <c r="O29" s="3"/>
    </row>
    <row r="30" spans="1:15" ht="15.75" customHeight="1" x14ac:dyDescent="0.3">
      <c r="A30" s="364" t="s">
        <v>1083</v>
      </c>
      <c r="B30" s="310"/>
      <c r="C30" s="365" t="s">
        <v>1084</v>
      </c>
      <c r="D30" s="309"/>
      <c r="E30" s="309"/>
      <c r="F30" s="309"/>
      <c r="G30" s="366"/>
      <c r="H30" s="3"/>
      <c r="I30" s="3"/>
      <c r="J30" s="3"/>
      <c r="K30" s="3"/>
      <c r="L30" s="3"/>
      <c r="M30" s="3"/>
      <c r="N30" s="3"/>
      <c r="O30" s="3"/>
    </row>
    <row r="31" spans="1:15" ht="15.75" customHeight="1" x14ac:dyDescent="0.3">
      <c r="A31" s="364" t="s">
        <v>1085</v>
      </c>
      <c r="B31" s="310"/>
      <c r="C31" s="365" t="s">
        <v>1086</v>
      </c>
      <c r="D31" s="309"/>
      <c r="E31" s="309"/>
      <c r="F31" s="309"/>
      <c r="G31" s="366"/>
      <c r="H31" s="3"/>
      <c r="I31" s="3"/>
      <c r="J31" s="3"/>
      <c r="K31" s="3"/>
      <c r="L31" s="3"/>
      <c r="M31" s="3"/>
      <c r="N31" s="3"/>
      <c r="O31" s="3"/>
    </row>
    <row r="32" spans="1:15" ht="15.75" customHeight="1" x14ac:dyDescent="0.3">
      <c r="A32" s="364" t="s">
        <v>1087</v>
      </c>
      <c r="B32" s="310"/>
      <c r="C32" s="365" t="s">
        <v>1088</v>
      </c>
      <c r="D32" s="309"/>
      <c r="E32" s="309"/>
      <c r="F32" s="309"/>
      <c r="G32" s="366"/>
      <c r="H32" s="3"/>
      <c r="I32" s="3"/>
      <c r="J32" s="3"/>
      <c r="K32" s="3"/>
      <c r="L32" s="3"/>
      <c r="M32" s="3"/>
      <c r="N32" s="3"/>
      <c r="O32" s="3"/>
    </row>
    <row r="33" spans="1:15" ht="15.75" customHeight="1" x14ac:dyDescent="0.3">
      <c r="A33" s="371" t="s">
        <v>1089</v>
      </c>
      <c r="B33" s="316"/>
      <c r="C33" s="372" t="s">
        <v>1090</v>
      </c>
      <c r="D33" s="315"/>
      <c r="E33" s="315"/>
      <c r="F33" s="315"/>
      <c r="G33" s="373"/>
      <c r="H33" s="3"/>
      <c r="I33" s="3"/>
      <c r="J33" s="3"/>
      <c r="K33" s="3"/>
      <c r="L33" s="3"/>
      <c r="M33" s="3"/>
      <c r="N33" s="3"/>
      <c r="O33" s="3"/>
    </row>
    <row r="34" spans="1:15" ht="15.75" customHeight="1" x14ac:dyDescent="0.3"/>
    <row r="35" spans="1:15" ht="15.75" customHeight="1" x14ac:dyDescent="0.3"/>
    <row r="36" spans="1:15" ht="15.75" customHeight="1" x14ac:dyDescent="0.3"/>
    <row r="37" spans="1:15" ht="15.75" customHeight="1" x14ac:dyDescent="0.3"/>
    <row r="38" spans="1:15" ht="15.75" customHeight="1" x14ac:dyDescent="0.3"/>
    <row r="39" spans="1:15" ht="15.75" customHeight="1" x14ac:dyDescent="0.3"/>
    <row r="40" spans="1:15" ht="15.75" customHeight="1" x14ac:dyDescent="0.3"/>
    <row r="41" spans="1:15" ht="15.75" customHeight="1" x14ac:dyDescent="0.3"/>
    <row r="42" spans="1:15" ht="15.75" customHeight="1" x14ac:dyDescent="0.3"/>
    <row r="43" spans="1:15" ht="15.75" customHeight="1" x14ac:dyDescent="0.3"/>
    <row r="44" spans="1:15" ht="15.75" customHeight="1" x14ac:dyDescent="0.3"/>
    <row r="45" spans="1:15" ht="15.75" customHeight="1" x14ac:dyDescent="0.3"/>
    <row r="46" spans="1:15" ht="15.75" customHeight="1" x14ac:dyDescent="0.3"/>
    <row r="47" spans="1:15" ht="15.75" customHeight="1" x14ac:dyDescent="0.3"/>
    <row r="48" spans="1:1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7">
    <mergeCell ref="F3:F6"/>
    <mergeCell ref="C32:G32"/>
    <mergeCell ref="A33:B33"/>
    <mergeCell ref="K3:K6"/>
    <mergeCell ref="C33:G33"/>
    <mergeCell ref="K23:M23"/>
    <mergeCell ref="A32:B32"/>
    <mergeCell ref="A3:A6"/>
    <mergeCell ref="A15:A18"/>
    <mergeCell ref="C31:G31"/>
    <mergeCell ref="F15:F18"/>
    <mergeCell ref="A31:B31"/>
    <mergeCell ref="C29:G29"/>
    <mergeCell ref="A30:B30"/>
    <mergeCell ref="C30:G30"/>
    <mergeCell ref="A29:B29"/>
    <mergeCell ref="A26:E26"/>
  </mergeCells>
  <pageMargins left="0.25" right="0.25" top="0.75" bottom="0.75" header="0" footer="0"/>
  <pageSetup paperSize="8" scale="75"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R1000"/>
  <sheetViews>
    <sheetView workbookViewId="0"/>
  </sheetViews>
  <sheetFormatPr defaultColWidth="14.44140625" defaultRowHeight="15" customHeight="1" x14ac:dyDescent="0.3"/>
  <cols>
    <col min="1" max="1" width="6.88671875" customWidth="1"/>
    <col min="2" max="2" width="48.44140625" customWidth="1"/>
    <col min="3" max="3" width="10.33203125" customWidth="1"/>
    <col min="4" max="4" width="17.44140625" customWidth="1"/>
    <col min="5" max="5" width="4" customWidth="1"/>
    <col min="6" max="6" width="6.88671875" customWidth="1"/>
    <col min="7" max="7" width="48.44140625" customWidth="1"/>
    <col min="8" max="8" width="10.33203125" customWidth="1"/>
    <col min="9" max="9" width="17.44140625" customWidth="1"/>
    <col min="10" max="10" width="8.6640625" customWidth="1"/>
    <col min="11" max="11" width="6.88671875" customWidth="1"/>
    <col min="12" max="12" width="48.44140625" customWidth="1"/>
    <col min="13" max="13" width="10.33203125" customWidth="1"/>
    <col min="14" max="14" width="17.44140625" customWidth="1"/>
    <col min="15" max="26" width="8.6640625" customWidth="1"/>
  </cols>
  <sheetData>
    <row r="1" spans="1:18" ht="14.4" customHeight="1" x14ac:dyDescent="0.3">
      <c r="A1" s="3"/>
      <c r="B1" s="3"/>
      <c r="C1" s="3"/>
      <c r="D1" s="28"/>
      <c r="E1" s="3"/>
      <c r="F1" s="3"/>
      <c r="G1" s="3"/>
      <c r="H1" s="3"/>
      <c r="I1" s="3"/>
      <c r="J1" s="3"/>
      <c r="K1" s="3"/>
      <c r="L1" s="3"/>
      <c r="M1" s="3"/>
      <c r="N1" s="3"/>
      <c r="O1" s="3"/>
      <c r="P1" s="3"/>
      <c r="Q1" s="3"/>
      <c r="R1" s="3"/>
    </row>
    <row r="2" spans="1:18" ht="15.6" customHeight="1" x14ac:dyDescent="0.3">
      <c r="A2" s="234" t="s">
        <v>4</v>
      </c>
      <c r="B2" s="235" t="s">
        <v>1091</v>
      </c>
      <c r="C2" s="236" t="s">
        <v>6</v>
      </c>
      <c r="D2" s="237" t="s">
        <v>1037</v>
      </c>
      <c r="E2" s="3"/>
      <c r="F2" s="238" t="s">
        <v>4</v>
      </c>
      <c r="G2" s="236" t="s">
        <v>1092</v>
      </c>
      <c r="H2" s="236" t="s">
        <v>6</v>
      </c>
      <c r="I2" s="237" t="s">
        <v>1037</v>
      </c>
      <c r="J2" s="3"/>
      <c r="K2" s="238" t="s">
        <v>4</v>
      </c>
      <c r="L2" s="236" t="s">
        <v>1093</v>
      </c>
      <c r="M2" s="236" t="s">
        <v>6</v>
      </c>
      <c r="N2" s="237" t="s">
        <v>1037</v>
      </c>
      <c r="O2" s="3"/>
      <c r="P2" s="3"/>
      <c r="Q2" s="3"/>
      <c r="R2" s="3"/>
    </row>
    <row r="3" spans="1:18" ht="15.6" customHeight="1" x14ac:dyDescent="0.3">
      <c r="A3" s="116">
        <v>1</v>
      </c>
      <c r="B3" s="117" t="s">
        <v>1040</v>
      </c>
      <c r="C3" s="117" t="s">
        <v>1041</v>
      </c>
      <c r="D3" s="245">
        <f>1096*Rates!C13*2.1</f>
        <v>117427.63200000001</v>
      </c>
      <c r="E3" s="3"/>
      <c r="F3" s="243">
        <v>1</v>
      </c>
      <c r="G3" s="244" t="s">
        <v>1040</v>
      </c>
      <c r="H3" s="244" t="s">
        <v>1094</v>
      </c>
      <c r="I3" s="246">
        <f>2.1*1130*Rates!C12</f>
        <v>121070.46</v>
      </c>
      <c r="J3" s="3"/>
      <c r="K3" s="243">
        <v>1</v>
      </c>
      <c r="L3" s="244" t="s">
        <v>1040</v>
      </c>
      <c r="M3" s="244" t="s">
        <v>1095</v>
      </c>
      <c r="N3" s="246">
        <f>2.1*1215*Rates!C12</f>
        <v>130177.53000000001</v>
      </c>
      <c r="O3" s="3"/>
      <c r="P3" s="3"/>
      <c r="Q3" s="3"/>
      <c r="R3" s="3"/>
    </row>
    <row r="4" spans="1:18" ht="15.6" customHeight="1" x14ac:dyDescent="0.3">
      <c r="A4" s="275">
        <v>2</v>
      </c>
      <c r="B4" s="117" t="s">
        <v>1044</v>
      </c>
      <c r="C4" s="117"/>
      <c r="D4" s="245"/>
      <c r="E4" s="3"/>
      <c r="F4" s="247">
        <v>2</v>
      </c>
      <c r="G4" s="248" t="s">
        <v>1044</v>
      </c>
      <c r="H4" s="247"/>
      <c r="I4" s="249"/>
      <c r="J4" s="3"/>
      <c r="K4" s="247">
        <v>2</v>
      </c>
      <c r="L4" s="248" t="s">
        <v>1044</v>
      </c>
      <c r="M4" s="247"/>
      <c r="N4" s="249"/>
      <c r="O4" s="3"/>
      <c r="P4" s="3"/>
      <c r="Q4" s="3"/>
      <c r="R4" s="3"/>
    </row>
    <row r="5" spans="1:18" ht="15.6" customHeight="1" x14ac:dyDescent="0.3">
      <c r="A5" s="280"/>
      <c r="B5" s="250" t="s">
        <v>1045</v>
      </c>
      <c r="C5" s="117" t="s">
        <v>1046</v>
      </c>
      <c r="D5" s="245">
        <f>BURNER!I6</f>
        <v>38803</v>
      </c>
      <c r="E5" s="3"/>
      <c r="F5" s="276"/>
      <c r="G5" s="251" t="s">
        <v>1047</v>
      </c>
      <c r="H5" s="252">
        <v>1</v>
      </c>
      <c r="I5" s="281">
        <f>BURNER!I7</f>
        <v>44987</v>
      </c>
      <c r="J5" s="3"/>
      <c r="K5" s="276"/>
      <c r="L5" s="251" t="s">
        <v>1047</v>
      </c>
      <c r="M5" s="252">
        <v>1</v>
      </c>
      <c r="N5" s="253">
        <f>BURNER!I7</f>
        <v>44987</v>
      </c>
      <c r="O5" s="3"/>
      <c r="P5" s="3"/>
      <c r="Q5" s="3"/>
      <c r="R5" s="3"/>
    </row>
    <row r="6" spans="1:18" ht="15.6" customHeight="1" x14ac:dyDescent="0.3">
      <c r="A6" s="280"/>
      <c r="B6" s="250" t="s">
        <v>1048</v>
      </c>
      <c r="C6" s="254" t="s">
        <v>1049</v>
      </c>
      <c r="D6" s="245">
        <f>Blower!G17</f>
        <v>81000</v>
      </c>
      <c r="E6" s="3"/>
      <c r="F6" s="276"/>
      <c r="G6" s="251" t="s">
        <v>1096</v>
      </c>
      <c r="H6" s="252">
        <v>1</v>
      </c>
      <c r="I6" s="253">
        <f>Blower!J18*1.8+Blower!K17*1.5</f>
        <v>84780</v>
      </c>
      <c r="J6" s="3"/>
      <c r="K6" s="276"/>
      <c r="L6" s="251" t="s">
        <v>1050</v>
      </c>
      <c r="M6" s="252">
        <v>1</v>
      </c>
      <c r="N6" s="253">
        <f>Blower!J19*1.8+Blower!K18*1.8</f>
        <v>117000</v>
      </c>
      <c r="O6" s="3"/>
      <c r="P6" s="3"/>
      <c r="Q6" s="3"/>
      <c r="R6" s="3"/>
    </row>
    <row r="7" spans="1:18" ht="15.6" customHeight="1" x14ac:dyDescent="0.3">
      <c r="A7" s="108"/>
      <c r="B7" s="250" t="s">
        <v>1052</v>
      </c>
      <c r="C7" s="117" t="s">
        <v>1053</v>
      </c>
      <c r="D7" s="245">
        <f>HPU!F49*1.8</f>
        <v>112191.912</v>
      </c>
      <c r="E7" s="3"/>
      <c r="F7" s="243"/>
      <c r="G7" s="255" t="s">
        <v>1054</v>
      </c>
      <c r="H7" s="256">
        <v>1</v>
      </c>
      <c r="I7" s="257">
        <f>HPU!V48*1.8</f>
        <v>116210.7072</v>
      </c>
      <c r="J7" s="3"/>
      <c r="K7" s="243"/>
      <c r="L7" s="255" t="s">
        <v>1054</v>
      </c>
      <c r="M7" s="256">
        <v>1</v>
      </c>
      <c r="N7" s="257">
        <f>HPU!V48*1.8</f>
        <v>116210.7072</v>
      </c>
      <c r="O7" s="3"/>
      <c r="P7" s="3"/>
      <c r="Q7" s="3"/>
      <c r="R7" s="3"/>
    </row>
    <row r="8" spans="1:18" ht="15.6" customHeight="1" x14ac:dyDescent="0.3">
      <c r="A8" s="116">
        <v>3</v>
      </c>
      <c r="B8" s="117" t="s">
        <v>1055</v>
      </c>
      <c r="C8" s="117" t="s">
        <v>1056</v>
      </c>
      <c r="D8" s="245">
        <f>2.1*9*Rates!C29</f>
        <v>32676.021000000004</v>
      </c>
      <c r="E8" s="3"/>
      <c r="F8" s="243">
        <v>3</v>
      </c>
      <c r="G8" s="244" t="s">
        <v>1055</v>
      </c>
      <c r="H8" s="244" t="s">
        <v>1097</v>
      </c>
      <c r="I8" s="246">
        <f>2.1*8*Rates!C29</f>
        <v>29045.352000000003</v>
      </c>
      <c r="J8" s="3"/>
      <c r="K8" s="243">
        <v>3</v>
      </c>
      <c r="L8" s="244" t="s">
        <v>1055</v>
      </c>
      <c r="M8" s="244" t="s">
        <v>1056</v>
      </c>
      <c r="N8" s="246">
        <f>2.1*9*Rates!C29</f>
        <v>32676.021000000004</v>
      </c>
      <c r="O8" s="3"/>
      <c r="P8" s="3"/>
      <c r="Q8" s="3"/>
      <c r="R8" s="3"/>
    </row>
    <row r="9" spans="1:18" ht="15.6" customHeight="1" x14ac:dyDescent="0.3">
      <c r="A9" s="116">
        <v>4</v>
      </c>
      <c r="B9" s="117" t="s">
        <v>1059</v>
      </c>
      <c r="C9" s="117" t="s">
        <v>1060</v>
      </c>
      <c r="D9" s="258">
        <f>2.1*50000</f>
        <v>105000</v>
      </c>
      <c r="E9" s="3"/>
      <c r="F9" s="243">
        <v>4</v>
      </c>
      <c r="G9" s="244" t="s">
        <v>1059</v>
      </c>
      <c r="H9" s="244" t="s">
        <v>1060</v>
      </c>
      <c r="I9" s="258">
        <f>2.1*50000</f>
        <v>105000</v>
      </c>
      <c r="J9" s="3"/>
      <c r="K9" s="243">
        <v>4</v>
      </c>
      <c r="L9" s="244" t="s">
        <v>1059</v>
      </c>
      <c r="M9" s="244" t="s">
        <v>1060</v>
      </c>
      <c r="N9" s="258">
        <f>2.1*55000</f>
        <v>115500</v>
      </c>
      <c r="O9" s="3"/>
      <c r="P9" s="3"/>
      <c r="Q9" s="3"/>
      <c r="R9" s="3"/>
    </row>
    <row r="10" spans="1:18" ht="15.6" customHeight="1" x14ac:dyDescent="0.3">
      <c r="A10" s="116">
        <v>5</v>
      </c>
      <c r="B10" s="117" t="s">
        <v>1098</v>
      </c>
      <c r="C10" s="117"/>
      <c r="D10" s="245">
        <f>2.1*59490</f>
        <v>124929</v>
      </c>
      <c r="E10" s="3"/>
      <c r="F10" s="243">
        <v>5</v>
      </c>
      <c r="G10" s="244" t="s">
        <v>1098</v>
      </c>
      <c r="H10" s="244"/>
      <c r="I10" s="246">
        <f>2.1*66213</f>
        <v>139047.30000000002</v>
      </c>
      <c r="J10" s="3"/>
      <c r="K10" s="243">
        <v>5</v>
      </c>
      <c r="L10" s="244" t="s">
        <v>1098</v>
      </c>
      <c r="M10" s="244"/>
      <c r="N10" s="246">
        <f>2.1*70000</f>
        <v>147000</v>
      </c>
      <c r="O10" s="3"/>
      <c r="P10" s="3"/>
      <c r="Q10" s="3"/>
      <c r="R10" s="3"/>
    </row>
    <row r="11" spans="1:18" ht="15.6" customHeight="1" x14ac:dyDescent="0.3">
      <c r="A11" s="36"/>
      <c r="B11" s="37"/>
      <c r="C11" s="262" t="s">
        <v>75</v>
      </c>
      <c r="D11" s="263">
        <f>SUM(D3:D10)</f>
        <v>612027.56499999994</v>
      </c>
      <c r="E11" s="3"/>
      <c r="F11" s="264"/>
      <c r="G11" s="265"/>
      <c r="H11" s="266" t="s">
        <v>75</v>
      </c>
      <c r="I11" s="279">
        <f>SUM(I3:I10)</f>
        <v>640140.81920000003</v>
      </c>
      <c r="J11" s="3"/>
      <c r="K11" s="264"/>
      <c r="L11" s="265"/>
      <c r="M11" s="266" t="s">
        <v>75</v>
      </c>
      <c r="N11" s="267">
        <f>SUM(N3:N10)</f>
        <v>703551.25820000004</v>
      </c>
      <c r="O11" s="3"/>
      <c r="P11" s="3"/>
      <c r="Q11" s="3"/>
      <c r="R11" s="3"/>
    </row>
    <row r="12" spans="1:18" ht="15.6" customHeight="1" x14ac:dyDescent="0.3">
      <c r="A12" s="3"/>
      <c r="B12" s="3"/>
      <c r="C12" s="268"/>
      <c r="D12" s="269"/>
      <c r="E12" s="3"/>
      <c r="F12" s="3"/>
      <c r="G12" s="3"/>
      <c r="H12" s="3"/>
      <c r="I12" s="3"/>
      <c r="J12" s="3"/>
      <c r="K12" s="3"/>
      <c r="L12" s="3"/>
      <c r="M12" s="3"/>
      <c r="N12" s="3"/>
      <c r="O12" s="3"/>
      <c r="P12" s="3"/>
      <c r="Q12" s="3"/>
      <c r="R12" s="3"/>
    </row>
    <row r="13" spans="1:18" ht="15.6" customHeight="1" x14ac:dyDescent="0.3">
      <c r="A13" s="239" t="s">
        <v>4</v>
      </c>
      <c r="B13" s="236" t="s">
        <v>1099</v>
      </c>
      <c r="C13" s="241" t="s">
        <v>6</v>
      </c>
      <c r="D13" s="242" t="s">
        <v>1037</v>
      </c>
      <c r="E13" s="3"/>
      <c r="F13" s="239" t="s">
        <v>4</v>
      </c>
      <c r="G13" s="236" t="s">
        <v>1100</v>
      </c>
      <c r="H13" s="241" t="s">
        <v>6</v>
      </c>
      <c r="I13" s="242" t="s">
        <v>1037</v>
      </c>
      <c r="J13" s="3"/>
      <c r="K13" s="239" t="s">
        <v>4</v>
      </c>
      <c r="L13" s="236" t="s">
        <v>1101</v>
      </c>
      <c r="M13" s="241" t="s">
        <v>6</v>
      </c>
      <c r="N13" s="242" t="s">
        <v>1037</v>
      </c>
      <c r="O13" s="3"/>
      <c r="P13" s="3"/>
      <c r="Q13" s="3"/>
      <c r="R13" s="3"/>
    </row>
    <row r="14" spans="1:18" ht="15.6" customHeight="1" x14ac:dyDescent="0.3">
      <c r="A14" s="243">
        <v>1</v>
      </c>
      <c r="B14" s="244" t="s">
        <v>1040</v>
      </c>
      <c r="C14" s="244" t="s">
        <v>1102</v>
      </c>
      <c r="D14" s="246">
        <f>2.1*1300*Rates!C12</f>
        <v>139284.6</v>
      </c>
      <c r="E14" s="3"/>
      <c r="F14" s="243">
        <v>1</v>
      </c>
      <c r="G14" s="244" t="s">
        <v>1040</v>
      </c>
      <c r="H14" s="244" t="s">
        <v>1103</v>
      </c>
      <c r="I14" s="246">
        <f>2.1*1354*Rates!C12</f>
        <v>145070.26800000001</v>
      </c>
      <c r="J14" s="3"/>
      <c r="K14" s="243">
        <v>1</v>
      </c>
      <c r="L14" s="244" t="s">
        <v>1040</v>
      </c>
      <c r="M14" s="282" t="s">
        <v>1104</v>
      </c>
      <c r="N14" s="246">
        <f>2.1*1773*Rates!C12</f>
        <v>189962.76600000003</v>
      </c>
      <c r="O14" s="3"/>
      <c r="P14" s="3"/>
      <c r="Q14" s="3"/>
      <c r="R14" s="3"/>
    </row>
    <row r="15" spans="1:18" ht="15.6" customHeight="1" x14ac:dyDescent="0.3">
      <c r="A15" s="247">
        <v>2</v>
      </c>
      <c r="B15" s="248" t="s">
        <v>1044</v>
      </c>
      <c r="C15" s="247"/>
      <c r="D15" s="249"/>
      <c r="E15" s="3"/>
      <c r="F15" s="247">
        <v>2</v>
      </c>
      <c r="G15" s="248" t="s">
        <v>1044</v>
      </c>
      <c r="H15" s="247"/>
      <c r="I15" s="249"/>
      <c r="J15" s="3"/>
      <c r="K15" s="247">
        <v>2</v>
      </c>
      <c r="L15" s="248" t="s">
        <v>1044</v>
      </c>
      <c r="M15" s="283"/>
      <c r="N15" s="249"/>
      <c r="O15" s="3"/>
      <c r="P15" s="3"/>
      <c r="Q15" s="3"/>
      <c r="R15" s="3"/>
    </row>
    <row r="16" spans="1:18" ht="15.6" customHeight="1" x14ac:dyDescent="0.3">
      <c r="A16" s="276"/>
      <c r="B16" s="251" t="s">
        <v>1047</v>
      </c>
      <c r="C16" s="117">
        <v>1</v>
      </c>
      <c r="D16" s="253">
        <f>BURNER!I7</f>
        <v>44987</v>
      </c>
      <c r="E16" s="3"/>
      <c r="F16" s="276"/>
      <c r="G16" s="251" t="s">
        <v>1069</v>
      </c>
      <c r="H16" s="117">
        <v>1</v>
      </c>
      <c r="I16" s="253">
        <f>BURNER!I8</f>
        <v>68215</v>
      </c>
      <c r="J16" s="3"/>
      <c r="K16" s="276"/>
      <c r="L16" s="251" t="s">
        <v>1069</v>
      </c>
      <c r="M16" s="118">
        <v>1</v>
      </c>
      <c r="N16" s="253">
        <f>BURNER!I8</f>
        <v>68215</v>
      </c>
      <c r="O16" s="3"/>
      <c r="P16" s="3"/>
      <c r="Q16" s="3"/>
      <c r="R16" s="3"/>
    </row>
    <row r="17" spans="1:18" ht="15.6" customHeight="1" x14ac:dyDescent="0.3">
      <c r="A17" s="276"/>
      <c r="B17" s="251" t="s">
        <v>1051</v>
      </c>
      <c r="C17" s="117">
        <v>1</v>
      </c>
      <c r="D17" s="253">
        <f>Blower!J20*1.8+Blower!K19*1.5</f>
        <v>121140</v>
      </c>
      <c r="E17" s="3"/>
      <c r="F17" s="276"/>
      <c r="G17" s="251" t="s">
        <v>1070</v>
      </c>
      <c r="H17" s="117">
        <v>1</v>
      </c>
      <c r="I17" s="253">
        <f>Blower!J21*1.8+Blower!K20*1.5</f>
        <v>167970</v>
      </c>
      <c r="J17" s="3"/>
      <c r="K17" s="276"/>
      <c r="L17" s="251" t="s">
        <v>1071</v>
      </c>
      <c r="M17" s="118">
        <v>1</v>
      </c>
      <c r="N17" s="253">
        <f>Blower!J21*1.8+Blower!K20*1.5</f>
        <v>167970</v>
      </c>
      <c r="O17" s="3"/>
      <c r="P17" s="3"/>
      <c r="Q17" s="3"/>
      <c r="R17" s="3"/>
    </row>
    <row r="18" spans="1:18" ht="15.6" customHeight="1" x14ac:dyDescent="0.3">
      <c r="A18" s="243"/>
      <c r="B18" s="255" t="s">
        <v>1054</v>
      </c>
      <c r="C18" s="117">
        <v>1</v>
      </c>
      <c r="D18" s="257">
        <f>HPU!V48*1.8</f>
        <v>116210.7072</v>
      </c>
      <c r="E18" s="3"/>
      <c r="F18" s="243"/>
      <c r="G18" s="255" t="s">
        <v>1073</v>
      </c>
      <c r="H18" s="117">
        <v>1</v>
      </c>
      <c r="I18" s="257">
        <f>HPU!BB49*1.8</f>
        <v>121312.152</v>
      </c>
      <c r="J18" s="3"/>
      <c r="K18" s="243"/>
      <c r="L18" s="255" t="s">
        <v>1073</v>
      </c>
      <c r="M18" s="118">
        <v>1</v>
      </c>
      <c r="N18" s="257">
        <f>HPU!BB49*1.8</f>
        <v>121312.152</v>
      </c>
      <c r="O18" s="3"/>
      <c r="P18" s="3"/>
      <c r="Q18" s="3"/>
      <c r="R18" s="3"/>
    </row>
    <row r="19" spans="1:18" ht="15.6" customHeight="1" x14ac:dyDescent="0.3">
      <c r="A19" s="243">
        <v>3</v>
      </c>
      <c r="B19" s="244" t="s">
        <v>1055</v>
      </c>
      <c r="C19" s="244" t="s">
        <v>1105</v>
      </c>
      <c r="D19" s="246">
        <f>2.1*10*Rates!C29</f>
        <v>36306.69</v>
      </c>
      <c r="E19" s="3"/>
      <c r="F19" s="243">
        <v>3</v>
      </c>
      <c r="G19" s="244" t="s">
        <v>1055</v>
      </c>
      <c r="H19" s="244" t="s">
        <v>1106</v>
      </c>
      <c r="I19" s="246">
        <f>2.1*11*Rates!C29</f>
        <v>39937.359000000004</v>
      </c>
      <c r="J19" s="3"/>
      <c r="K19" s="243">
        <v>3</v>
      </c>
      <c r="L19" s="244" t="s">
        <v>1055</v>
      </c>
      <c r="M19" s="282" t="s">
        <v>1107</v>
      </c>
      <c r="N19" s="246">
        <f>2.1*13*Rates!C29</f>
        <v>47198.697000000007</v>
      </c>
      <c r="O19" s="3"/>
      <c r="P19" s="3"/>
      <c r="Q19" s="3"/>
      <c r="R19" s="3"/>
    </row>
    <row r="20" spans="1:18" ht="15.6" customHeight="1" x14ac:dyDescent="0.3">
      <c r="A20" s="243">
        <v>4</v>
      </c>
      <c r="B20" s="244" t="s">
        <v>1059</v>
      </c>
      <c r="C20" s="244" t="s">
        <v>1060</v>
      </c>
      <c r="D20" s="258">
        <f>2.1*55000</f>
        <v>115500</v>
      </c>
      <c r="E20" s="3"/>
      <c r="F20" s="243">
        <v>4</v>
      </c>
      <c r="G20" s="244" t="s">
        <v>1059</v>
      </c>
      <c r="H20" s="244" t="s">
        <v>1060</v>
      </c>
      <c r="I20" s="258">
        <f>2.1*70000</f>
        <v>147000</v>
      </c>
      <c r="J20" s="3"/>
      <c r="K20" s="243">
        <v>4</v>
      </c>
      <c r="L20" s="244" t="s">
        <v>1059</v>
      </c>
      <c r="M20" s="282" t="s">
        <v>1060</v>
      </c>
      <c r="N20" s="258">
        <f>2.1*70000</f>
        <v>147000</v>
      </c>
      <c r="O20" s="3"/>
      <c r="P20" s="3"/>
      <c r="Q20" s="3"/>
      <c r="R20" s="3"/>
    </row>
    <row r="21" spans="1:18" ht="15.75" customHeight="1" x14ac:dyDescent="0.3">
      <c r="A21" s="243">
        <v>5</v>
      </c>
      <c r="B21" s="244" t="s">
        <v>1098</v>
      </c>
      <c r="C21" s="244"/>
      <c r="D21" s="246">
        <f>2.1*75415</f>
        <v>158371.5</v>
      </c>
      <c r="E21" s="3"/>
      <c r="F21" s="243">
        <v>5</v>
      </c>
      <c r="G21" s="244" t="s">
        <v>1098</v>
      </c>
      <c r="H21" s="244"/>
      <c r="I21" s="246">
        <f>2.1*80000</f>
        <v>168000</v>
      </c>
      <c r="J21" s="3"/>
      <c r="K21" s="243">
        <v>5</v>
      </c>
      <c r="L21" s="244" t="s">
        <v>1098</v>
      </c>
      <c r="M21" s="282"/>
      <c r="N21" s="246">
        <f>2.1*85000</f>
        <v>178500</v>
      </c>
      <c r="O21" s="3"/>
      <c r="P21" s="3"/>
      <c r="Q21" s="3"/>
      <c r="R21" s="3"/>
    </row>
    <row r="22" spans="1:18" ht="15.75" customHeight="1" x14ac:dyDescent="0.3">
      <c r="A22" s="264"/>
      <c r="B22" s="265"/>
      <c r="C22" s="266" t="s">
        <v>75</v>
      </c>
      <c r="D22" s="267">
        <f>SUM(D14:D21)</f>
        <v>731800.49719999998</v>
      </c>
      <c r="E22" s="3"/>
      <c r="F22" s="264"/>
      <c r="G22" s="265"/>
      <c r="H22" s="278" t="s">
        <v>75</v>
      </c>
      <c r="I22" s="267">
        <f>SUM(I14:I21)</f>
        <v>857504.7790000001</v>
      </c>
      <c r="J22" s="3"/>
      <c r="K22" s="264"/>
      <c r="L22" s="265"/>
      <c r="M22" s="278" t="s">
        <v>75</v>
      </c>
      <c r="N22" s="267">
        <f>SUM(N14:N21)</f>
        <v>920158.61500000011</v>
      </c>
      <c r="O22" s="3"/>
      <c r="P22" s="3"/>
      <c r="Q22" s="3"/>
      <c r="R22" s="3"/>
    </row>
    <row r="23" spans="1:18" ht="15.75" customHeight="1" x14ac:dyDescent="0.3">
      <c r="A23" s="3"/>
      <c r="B23" s="3"/>
      <c r="C23" s="268"/>
      <c r="D23" s="28"/>
      <c r="E23" s="3"/>
      <c r="F23" s="3"/>
      <c r="G23" s="3"/>
      <c r="H23" s="3"/>
      <c r="I23" s="3"/>
      <c r="J23" s="3"/>
      <c r="K23" s="3"/>
      <c r="L23" s="3"/>
      <c r="M23" s="3"/>
      <c r="N23" s="3"/>
      <c r="O23" s="3"/>
      <c r="P23" s="3"/>
      <c r="Q23" s="3"/>
      <c r="R23" s="3"/>
    </row>
    <row r="24" spans="1:18" ht="15.75" customHeight="1" x14ac:dyDescent="0.3">
      <c r="A24" s="239" t="s">
        <v>4</v>
      </c>
      <c r="B24" s="236" t="s">
        <v>1108</v>
      </c>
      <c r="C24" s="241" t="s">
        <v>6</v>
      </c>
      <c r="D24" s="242" t="s">
        <v>1037</v>
      </c>
      <c r="E24" s="3"/>
      <c r="F24" s="3"/>
      <c r="G24" s="3"/>
      <c r="H24" s="3"/>
      <c r="I24" s="3"/>
      <c r="J24" s="3"/>
      <c r="K24" s="3"/>
      <c r="L24" s="3"/>
      <c r="M24" s="3"/>
      <c r="N24" s="3"/>
      <c r="O24" s="3"/>
      <c r="P24" s="3"/>
      <c r="Q24" s="3"/>
      <c r="R24" s="3"/>
    </row>
    <row r="25" spans="1:18" ht="15.75" customHeight="1" x14ac:dyDescent="0.3">
      <c r="A25" s="243">
        <v>1</v>
      </c>
      <c r="B25" s="244" t="s">
        <v>1040</v>
      </c>
      <c r="C25" s="244" t="s">
        <v>1109</v>
      </c>
      <c r="D25" s="246">
        <f>2.1*1800*45</f>
        <v>170100</v>
      </c>
      <c r="E25" s="3"/>
      <c r="F25" s="3"/>
      <c r="G25" s="3"/>
      <c r="H25" s="3"/>
      <c r="I25" s="3"/>
      <c r="J25" s="3"/>
      <c r="K25" s="3"/>
      <c r="L25" s="3"/>
      <c r="M25" s="3"/>
      <c r="N25" s="3"/>
      <c r="O25" s="3"/>
      <c r="P25" s="3"/>
      <c r="Q25" s="3"/>
      <c r="R25" s="3"/>
    </row>
    <row r="26" spans="1:18" ht="15.75" customHeight="1" x14ac:dyDescent="0.3">
      <c r="A26" s="247">
        <v>2</v>
      </c>
      <c r="B26" s="248" t="s">
        <v>1044</v>
      </c>
      <c r="C26" s="247"/>
      <c r="D26" s="249"/>
      <c r="E26" s="3"/>
      <c r="F26" s="3"/>
      <c r="G26" s="258"/>
      <c r="H26" s="2" t="s">
        <v>1080</v>
      </c>
      <c r="I26" s="3"/>
      <c r="J26" s="3"/>
      <c r="K26" s="3"/>
      <c r="L26" s="3"/>
      <c r="M26" s="3"/>
      <c r="N26" s="3"/>
      <c r="O26" s="3"/>
      <c r="P26" s="3"/>
      <c r="Q26" s="3"/>
      <c r="R26" s="3"/>
    </row>
    <row r="27" spans="1:18" ht="15.75" customHeight="1" x14ac:dyDescent="0.3">
      <c r="A27" s="276"/>
      <c r="B27" s="251" t="s">
        <v>1069</v>
      </c>
      <c r="C27" s="117">
        <v>1</v>
      </c>
      <c r="D27" s="253">
        <f>BURNER!I8</f>
        <v>68215</v>
      </c>
      <c r="E27" s="3"/>
      <c r="F27" s="3"/>
      <c r="G27" s="3"/>
      <c r="H27" s="3"/>
      <c r="I27" s="3"/>
      <c r="J27" s="3"/>
      <c r="K27" s="3"/>
      <c r="L27" s="3"/>
      <c r="M27" s="3"/>
      <c r="N27" s="3"/>
      <c r="O27" s="3"/>
      <c r="P27" s="3"/>
      <c r="Q27" s="3"/>
      <c r="R27" s="3"/>
    </row>
    <row r="28" spans="1:18" ht="15.75" customHeight="1" x14ac:dyDescent="0.3">
      <c r="A28" s="276"/>
      <c r="B28" s="251" t="s">
        <v>1072</v>
      </c>
      <c r="C28" s="117">
        <v>1</v>
      </c>
      <c r="D28" s="253">
        <f>Blower!J23*1.8+Blower!K22*1.5</f>
        <v>235290</v>
      </c>
      <c r="E28" s="3"/>
      <c r="F28" s="3"/>
      <c r="G28" s="3"/>
      <c r="H28" s="3"/>
      <c r="I28" s="3"/>
      <c r="J28" s="3"/>
      <c r="K28" s="3"/>
      <c r="L28" s="3"/>
      <c r="M28" s="3"/>
      <c r="N28" s="3"/>
      <c r="O28" s="3"/>
      <c r="P28" s="3"/>
      <c r="Q28" s="3"/>
      <c r="R28" s="3"/>
    </row>
    <row r="29" spans="1:18" ht="15.75" customHeight="1" x14ac:dyDescent="0.3">
      <c r="A29" s="243"/>
      <c r="B29" s="255" t="s">
        <v>1074</v>
      </c>
      <c r="C29" s="117">
        <v>1</v>
      </c>
      <c r="D29" s="257">
        <f>HPU!CH49*1.8</f>
        <v>133036.092</v>
      </c>
      <c r="E29" s="3"/>
      <c r="F29" s="3"/>
      <c r="G29" s="3"/>
      <c r="H29" s="3"/>
      <c r="I29" s="3"/>
      <c r="J29" s="3"/>
      <c r="K29" s="3"/>
      <c r="L29" s="3"/>
      <c r="M29" s="3"/>
      <c r="N29" s="3"/>
      <c r="O29" s="3"/>
      <c r="P29" s="3"/>
      <c r="Q29" s="3"/>
      <c r="R29" s="3"/>
    </row>
    <row r="30" spans="1:18" ht="15.75" customHeight="1" x14ac:dyDescent="0.3">
      <c r="A30" s="243">
        <v>3</v>
      </c>
      <c r="B30" s="244" t="s">
        <v>1055</v>
      </c>
      <c r="C30" s="244" t="s">
        <v>1077</v>
      </c>
      <c r="D30" s="246">
        <f>2.1*19*Rates!C29</f>
        <v>68982.710999999996</v>
      </c>
      <c r="E30" s="3"/>
      <c r="F30" s="3"/>
      <c r="G30" s="3"/>
      <c r="H30" s="3"/>
      <c r="I30" s="3"/>
      <c r="J30" s="3"/>
      <c r="K30" s="3"/>
      <c r="L30" s="3"/>
      <c r="M30" s="3"/>
      <c r="N30" s="3"/>
      <c r="O30" s="3"/>
      <c r="P30" s="3"/>
      <c r="Q30" s="3"/>
      <c r="R30" s="3"/>
    </row>
    <row r="31" spans="1:18" ht="15.75" customHeight="1" x14ac:dyDescent="0.3">
      <c r="A31" s="243">
        <v>4</v>
      </c>
      <c r="B31" s="244" t="s">
        <v>1059</v>
      </c>
      <c r="C31" s="244" t="s">
        <v>1060</v>
      </c>
      <c r="D31" s="258">
        <f>2.1*70000</f>
        <v>147000</v>
      </c>
      <c r="E31" s="3"/>
      <c r="F31" s="3"/>
      <c r="G31" s="3"/>
      <c r="H31" s="3"/>
      <c r="I31" s="3"/>
      <c r="J31" s="3"/>
      <c r="K31" s="3"/>
      <c r="L31" s="3"/>
      <c r="M31" s="3"/>
      <c r="N31" s="3"/>
      <c r="O31" s="3"/>
      <c r="P31" s="3"/>
      <c r="Q31" s="3"/>
      <c r="R31" s="3"/>
    </row>
    <row r="32" spans="1:18" ht="15.75" customHeight="1" x14ac:dyDescent="0.3">
      <c r="A32" s="243">
        <v>5</v>
      </c>
      <c r="B32" s="244" t="s">
        <v>1098</v>
      </c>
      <c r="C32" s="244"/>
      <c r="D32" s="246">
        <f>2.1*90000</f>
        <v>189000</v>
      </c>
      <c r="E32" s="3"/>
      <c r="F32" s="3"/>
      <c r="G32" s="3"/>
      <c r="H32" s="3"/>
      <c r="I32" s="3"/>
      <c r="J32" s="3"/>
      <c r="K32" s="3"/>
      <c r="L32" s="3"/>
      <c r="M32" s="3"/>
      <c r="N32" s="3"/>
      <c r="O32" s="3"/>
      <c r="P32" s="3"/>
      <c r="Q32" s="3"/>
      <c r="R32" s="3"/>
    </row>
    <row r="33" spans="1:18" ht="15.75" customHeight="1" x14ac:dyDescent="0.3">
      <c r="A33" s="264"/>
      <c r="B33" s="265"/>
      <c r="C33" s="278" t="s">
        <v>75</v>
      </c>
      <c r="D33" s="267">
        <f>SUM(D25:D32)</f>
        <v>1011623.803</v>
      </c>
      <c r="E33" s="3"/>
      <c r="F33" s="3"/>
      <c r="G33" s="3"/>
      <c r="H33" s="3"/>
      <c r="I33" s="3"/>
      <c r="J33" s="3"/>
      <c r="K33" s="3"/>
      <c r="L33" s="3"/>
      <c r="M33" s="3"/>
      <c r="N33" s="3"/>
      <c r="O33" s="3"/>
      <c r="P33" s="3"/>
      <c r="Q33" s="3"/>
      <c r="R33" s="3"/>
    </row>
    <row r="34" spans="1:18" ht="15.75" customHeight="1" x14ac:dyDescent="0.3">
      <c r="A34" s="3"/>
      <c r="B34" s="3"/>
      <c r="C34" s="268"/>
      <c r="D34" s="269"/>
      <c r="E34" s="3"/>
      <c r="F34" s="3"/>
      <c r="G34" s="3"/>
      <c r="H34" s="3"/>
      <c r="I34" s="3"/>
      <c r="J34" s="3"/>
      <c r="K34" s="3"/>
      <c r="L34" s="3"/>
      <c r="M34" s="3"/>
      <c r="N34" s="3"/>
      <c r="O34" s="3"/>
      <c r="P34" s="3"/>
      <c r="Q34" s="3"/>
      <c r="R34" s="3"/>
    </row>
    <row r="35" spans="1:18" ht="15.75" customHeight="1" x14ac:dyDescent="0.3">
      <c r="A35" s="284"/>
      <c r="B35" s="284"/>
      <c r="C35" s="284"/>
      <c r="D35" s="284"/>
      <c r="E35" s="284"/>
      <c r="F35" s="285"/>
      <c r="G35" s="285"/>
      <c r="H35" s="3"/>
      <c r="I35" s="3"/>
      <c r="J35" s="3"/>
      <c r="K35" s="3"/>
      <c r="L35" s="3"/>
      <c r="M35" s="3"/>
      <c r="N35" s="3"/>
      <c r="O35" s="3"/>
      <c r="P35" s="3"/>
      <c r="Q35" s="3"/>
      <c r="R35" s="3"/>
    </row>
    <row r="36" spans="1:18" ht="15.75" customHeight="1" x14ac:dyDescent="0.35">
      <c r="A36" s="136" t="s">
        <v>734</v>
      </c>
      <c r="B36" s="3"/>
      <c r="C36" s="3"/>
      <c r="D36" s="3"/>
      <c r="E36" s="3"/>
      <c r="F36" s="3"/>
      <c r="G36" s="3"/>
      <c r="H36" s="3"/>
      <c r="I36" s="3"/>
      <c r="J36" s="3"/>
      <c r="K36" s="3"/>
      <c r="L36" s="3"/>
      <c r="M36" s="3"/>
      <c r="N36" s="3"/>
      <c r="O36" s="3"/>
      <c r="P36" s="3"/>
      <c r="Q36" s="3"/>
      <c r="R36" s="3"/>
    </row>
    <row r="37" spans="1:18" ht="15.75" customHeight="1" x14ac:dyDescent="0.3">
      <c r="A37" s="177" t="s">
        <v>1079</v>
      </c>
      <c r="B37" s="177"/>
      <c r="C37" s="177"/>
      <c r="D37" s="177"/>
      <c r="E37" s="177"/>
      <c r="F37" s="177"/>
      <c r="G37" s="177"/>
      <c r="H37" s="3"/>
      <c r="I37" s="3"/>
      <c r="J37" s="3"/>
      <c r="K37" s="3"/>
      <c r="L37" s="3"/>
      <c r="M37" s="3"/>
      <c r="N37" s="3"/>
      <c r="O37" s="3"/>
      <c r="P37" s="3"/>
      <c r="Q37" s="3"/>
      <c r="R37" s="3"/>
    </row>
    <row r="38" spans="1:18" ht="15.75" customHeight="1" x14ac:dyDescent="0.3">
      <c r="A38" s="177" t="s">
        <v>1110</v>
      </c>
      <c r="B38" s="177"/>
      <c r="C38" s="177"/>
      <c r="D38" s="177"/>
      <c r="E38" s="177"/>
      <c r="F38" s="177"/>
      <c r="G38" s="177"/>
      <c r="H38" s="3"/>
      <c r="I38" s="3"/>
      <c r="J38" s="3"/>
      <c r="K38" s="3"/>
      <c r="L38" s="3"/>
      <c r="M38" s="3"/>
      <c r="N38" s="3"/>
      <c r="O38" s="3"/>
      <c r="P38" s="3"/>
      <c r="Q38" s="3"/>
      <c r="R38" s="3"/>
    </row>
    <row r="39" spans="1:18" ht="15.75" customHeight="1" x14ac:dyDescent="0.3">
      <c r="A39" s="177" t="s">
        <v>1008</v>
      </c>
      <c r="B39" s="3"/>
      <c r="C39" s="3"/>
      <c r="D39" s="3"/>
      <c r="E39" s="3"/>
      <c r="F39" s="3"/>
      <c r="G39" s="3"/>
      <c r="H39" s="3"/>
      <c r="I39" s="3"/>
      <c r="J39" s="3"/>
      <c r="K39" s="3"/>
      <c r="L39" s="3"/>
      <c r="M39" s="3"/>
      <c r="N39" s="3"/>
      <c r="O39" s="3"/>
      <c r="P39" s="3"/>
      <c r="Q39" s="3"/>
      <c r="R39" s="3"/>
    </row>
    <row r="40" spans="1:18" ht="15.75" customHeight="1" x14ac:dyDescent="0.3">
      <c r="A40" s="286" t="s">
        <v>1081</v>
      </c>
      <c r="B40" s="287"/>
      <c r="C40" s="288" t="s">
        <v>1082</v>
      </c>
      <c r="D40" s="289"/>
      <c r="E40" s="289"/>
      <c r="F40" s="289"/>
      <c r="G40" s="290"/>
      <c r="H40" s="3"/>
      <c r="I40" s="3"/>
      <c r="J40" s="3"/>
      <c r="K40" s="3"/>
      <c r="L40" s="3"/>
      <c r="M40" s="3"/>
      <c r="N40" s="3"/>
      <c r="O40" s="3"/>
      <c r="P40" s="3"/>
      <c r="Q40" s="3"/>
      <c r="R40" s="3"/>
    </row>
    <row r="41" spans="1:18" ht="15.75" customHeight="1" x14ac:dyDescent="0.3">
      <c r="A41" s="291" t="s">
        <v>1083</v>
      </c>
      <c r="B41" s="292"/>
      <c r="C41" s="293" t="s">
        <v>1084</v>
      </c>
      <c r="D41" s="294"/>
      <c r="E41" s="294"/>
      <c r="F41" s="294"/>
      <c r="G41" s="295"/>
      <c r="H41" s="3"/>
      <c r="I41" s="3"/>
      <c r="J41" s="3"/>
      <c r="K41" s="3"/>
      <c r="L41" s="3"/>
      <c r="M41" s="3"/>
      <c r="N41" s="3"/>
      <c r="O41" s="3"/>
      <c r="P41" s="3"/>
      <c r="Q41" s="3"/>
      <c r="R41" s="3"/>
    </row>
    <row r="42" spans="1:18" ht="15.75" customHeight="1" x14ac:dyDescent="0.3">
      <c r="A42" s="291" t="s">
        <v>1085</v>
      </c>
      <c r="B42" s="292"/>
      <c r="C42" s="293" t="s">
        <v>1086</v>
      </c>
      <c r="D42" s="294"/>
      <c r="E42" s="294"/>
      <c r="F42" s="294"/>
      <c r="G42" s="295"/>
      <c r="H42" s="3"/>
      <c r="I42" s="3"/>
      <c r="J42" s="3"/>
      <c r="K42" s="3"/>
      <c r="L42" s="3"/>
      <c r="M42" s="3"/>
      <c r="N42" s="3"/>
      <c r="O42" s="3"/>
      <c r="P42" s="3"/>
      <c r="Q42" s="3"/>
      <c r="R42" s="3"/>
    </row>
    <row r="43" spans="1:18" ht="15.75" customHeight="1" x14ac:dyDescent="0.3">
      <c r="A43" s="291" t="s">
        <v>1087</v>
      </c>
      <c r="B43" s="292"/>
      <c r="C43" s="293" t="s">
        <v>1088</v>
      </c>
      <c r="D43" s="294"/>
      <c r="E43" s="294"/>
      <c r="F43" s="294"/>
      <c r="G43" s="295"/>
      <c r="H43" s="3"/>
      <c r="I43" s="3"/>
      <c r="J43" s="3"/>
      <c r="K43" s="3"/>
      <c r="L43" s="3"/>
      <c r="M43" s="3"/>
      <c r="N43" s="3"/>
      <c r="O43" s="3"/>
      <c r="P43" s="3"/>
      <c r="Q43" s="3"/>
      <c r="R43" s="3"/>
    </row>
    <row r="44" spans="1:18" ht="15.75" customHeight="1" x14ac:dyDescent="0.3">
      <c r="A44" s="296" t="s">
        <v>1089</v>
      </c>
      <c r="B44" s="297"/>
      <c r="C44" s="298" t="s">
        <v>1090</v>
      </c>
      <c r="D44" s="299"/>
      <c r="E44" s="299"/>
      <c r="F44" s="299"/>
      <c r="G44" s="300"/>
      <c r="H44" s="3"/>
      <c r="I44" s="3"/>
      <c r="J44" s="3"/>
      <c r="K44" s="3"/>
      <c r="L44" s="3"/>
      <c r="M44" s="3"/>
      <c r="N44" s="3"/>
      <c r="O44" s="3"/>
      <c r="P44" s="3"/>
      <c r="Q44" s="3"/>
      <c r="R44" s="3"/>
    </row>
    <row r="45" spans="1:18" ht="15.75" customHeight="1" x14ac:dyDescent="0.3">
      <c r="A45" s="137"/>
      <c r="B45" s="137"/>
      <c r="C45" s="137"/>
      <c r="D45" s="137"/>
      <c r="E45" s="137"/>
      <c r="F45" s="137"/>
      <c r="G45" s="137"/>
      <c r="H45" s="3"/>
      <c r="I45" s="3"/>
      <c r="J45" s="3"/>
      <c r="K45" s="3"/>
      <c r="L45" s="3"/>
      <c r="M45" s="3"/>
      <c r="N45" s="3"/>
      <c r="O45" s="3"/>
      <c r="P45" s="3"/>
      <c r="Q45" s="3"/>
      <c r="R45" s="3"/>
    </row>
    <row r="46" spans="1:18" ht="15.75" customHeight="1" x14ac:dyDescent="0.3"/>
    <row r="47" spans="1:18" ht="15.75" customHeight="1" x14ac:dyDescent="0.3"/>
    <row r="48" spans="1:1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23622047244094491" right="0.23622047244094491" top="0.74803149606299213" bottom="0.74803149606299213" header="0" footer="0"/>
  <pageSetup paperSize="8" scale="7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Rates</vt:lpstr>
      <vt:lpstr> Oil Burner</vt:lpstr>
      <vt:lpstr>HV  Oil Burner</vt:lpstr>
      <vt:lpstr>Recuperator</vt:lpstr>
      <vt:lpstr>Gas Burner</vt:lpstr>
      <vt:lpstr>Blower</vt:lpstr>
      <vt:lpstr>HPU</vt:lpstr>
      <vt:lpstr>Rad Heat (TATA)</vt:lpstr>
      <vt:lpstr>GAIL GAS Burner</vt:lpstr>
      <vt:lpstr>Rad Heat</vt:lpstr>
      <vt:lpstr>BURNER</vt:lpstr>
      <vt:lpstr>Horizontal</vt:lpstr>
      <vt:lpstr>Vertical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encon-pr07</dc:creator>
  <cp:lastModifiedBy>Rupanjana Mitra</cp:lastModifiedBy>
  <cp:lastPrinted>2026-03-26T09:30:14Z</cp:lastPrinted>
  <dcterms:created xsi:type="dcterms:W3CDTF">2021-07-09T12:32:42Z</dcterms:created>
  <dcterms:modified xsi:type="dcterms:W3CDTF">2026-04-27T09:18:26Z</dcterms:modified>
</cp:coreProperties>
</file>