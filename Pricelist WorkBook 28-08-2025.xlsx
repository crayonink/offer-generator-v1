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ates" sheetId="1" state="visible" r:id="rId1"/>
    <sheet xmlns:r="http://schemas.openxmlformats.org/officeDocument/2006/relationships" name=" Oil Burner" sheetId="2" state="visible" r:id="rId2"/>
    <sheet xmlns:r="http://schemas.openxmlformats.org/officeDocument/2006/relationships" name="HV  Oil Burner" sheetId="3" state="visible" r:id="rId3"/>
    <sheet xmlns:r="http://schemas.openxmlformats.org/officeDocument/2006/relationships" name="Recuperator" sheetId="4" state="visible" r:id="rId4"/>
    <sheet xmlns:r="http://schemas.openxmlformats.org/officeDocument/2006/relationships" name="Gas Burner" sheetId="5" state="visible" r:id="rId5"/>
    <sheet xmlns:r="http://schemas.openxmlformats.org/officeDocument/2006/relationships" name="Blower" sheetId="6" state="visible" r:id="rId6"/>
    <sheet xmlns:r="http://schemas.openxmlformats.org/officeDocument/2006/relationships" name="HPU" sheetId="7" state="visible" r:id="rId7"/>
    <sheet xmlns:r="http://schemas.openxmlformats.org/officeDocument/2006/relationships" name="Rad Heat (TATA)" sheetId="8" state="visible" r:id="rId8"/>
    <sheet xmlns:r="http://schemas.openxmlformats.org/officeDocument/2006/relationships" name="GAIL GAS Burner" sheetId="9" state="visible" r:id="rId9"/>
    <sheet xmlns:r="http://schemas.openxmlformats.org/officeDocument/2006/relationships" name="Rad Heat" sheetId="10" state="visible" r:id="rId10"/>
    <sheet xmlns:r="http://schemas.openxmlformats.org/officeDocument/2006/relationships" name="BURNER" sheetId="11" state="visible" r:id="rId11"/>
    <sheet xmlns:r="http://schemas.openxmlformats.org/officeDocument/2006/relationships" name="Horizontal" sheetId="12" state="visible" r:id="rId12"/>
    <sheet xmlns:r="http://schemas.openxmlformats.org/officeDocument/2006/relationships" name="Vertical" sheetId="13" state="visible" r:id="rId13"/>
  </sheets>
  <definedNames/>
  <calcPr calcId="191029" fullCalcOnLoad="1"/>
</workbook>
</file>

<file path=xl/styles.xml><?xml version="1.0" encoding="utf-8"?>
<styleSheet xmlns="http://schemas.openxmlformats.org/spreadsheetml/2006/main">
  <numFmts count="7">
    <numFmt numFmtId="164" formatCode="_ * #,##0.00_ ;_ * \-#,##0.00_ ;_ * &quot;-&quot;??_ ;_ @_ "/>
    <numFmt numFmtId="165" formatCode="[$INR]\ #,##0.00"/>
    <numFmt numFmtId="166" formatCode="_ * #,##0_ ;_ * \-#,##0_ ;_ * &quot;-&quot;??_ ;_ @_ "/>
    <numFmt numFmtId="167" formatCode="#,##0\ &quot;Nos&quot;"/>
    <numFmt numFmtId="168" formatCode="_-* #,##0.00_-;\-* #,##0.00_-;_-* &quot;-&quot;??_-;_-@"/>
    <numFmt numFmtId="169" formatCode="0.0000"/>
    <numFmt numFmtId="170" formatCode="d\.m\.yy"/>
  </numFmts>
  <fonts count="28">
    <font>
      <name val="Calibri"/>
      <color theme="1"/>
      <sz val="11"/>
      <scheme val="minor"/>
    </font>
    <font>
      <name val="Calibri"/>
      <color theme="1"/>
      <sz val="11"/>
      <scheme val="minor"/>
    </font>
    <font>
      <name val="Calibri"/>
      <b val="1"/>
      <color theme="1"/>
      <sz val="11"/>
    </font>
    <font>
      <name val="Calibri"/>
      <color theme="1"/>
      <sz val="11"/>
    </font>
    <font>
      <name val="Arial"/>
      <color theme="1"/>
      <sz val="10"/>
    </font>
    <font>
      <name val="Calibri"/>
      <sz val="11"/>
    </font>
    <font>
      <name val="Times New Roman"/>
      <color theme="1"/>
      <sz val="12"/>
    </font>
    <font>
      <name val="Times New Roman"/>
      <b val="1"/>
      <color theme="1"/>
      <sz val="12"/>
    </font>
    <font>
      <name val="Arial"/>
      <color rgb="FFFF0000"/>
      <sz val="10"/>
    </font>
    <font>
      <name val="Arial"/>
      <color theme="1"/>
      <sz val="18"/>
    </font>
    <font>
      <name val="Arial"/>
      <b val="1"/>
      <color theme="1"/>
      <sz val="10"/>
    </font>
    <font>
      <name val="Times New Roman"/>
      <b val="1"/>
      <color theme="1"/>
      <sz val="14"/>
      <u val="single"/>
    </font>
    <font>
      <name val="Times New Roman"/>
      <b val="1"/>
      <color theme="1"/>
      <sz val="14"/>
      <u val="single"/>
    </font>
    <font>
      <name val="Times New Roman"/>
      <color rgb="FFFF0000"/>
      <sz val="12"/>
    </font>
    <font>
      <name val="Times New Roman"/>
      <b val="1"/>
      <color theme="1"/>
      <sz val="14"/>
    </font>
    <font>
      <name val="Times New Roman"/>
      <color theme="1"/>
      <sz val="14"/>
    </font>
    <font>
      <name val="Calibri"/>
      <b val="1"/>
      <color rgb="FFFF0000"/>
      <sz val="11"/>
    </font>
    <font>
      <name val="Times New Roman"/>
      <b val="1"/>
      <color theme="1"/>
      <sz val="16"/>
      <u val="single"/>
    </font>
    <font>
      <name val="Times New Roman"/>
      <color rgb="FF000000"/>
      <sz val="12"/>
    </font>
    <font>
      <name val="Times New Roman"/>
      <b val="1"/>
      <color theme="1"/>
      <sz val="14"/>
      <u val="single"/>
    </font>
    <font>
      <name val="Times New Roman"/>
      <b val="1"/>
      <color theme="1"/>
      <sz val="12"/>
      <u val="single"/>
    </font>
    <font>
      <name val="Times New Roman"/>
      <color theme="1"/>
      <sz val="10"/>
    </font>
    <font>
      <name val="Times New Roman"/>
      <color theme="1"/>
      <sz val="11"/>
    </font>
    <font>
      <name val="Times New Roman"/>
      <b val="1"/>
      <color theme="1"/>
      <sz val="12"/>
      <u val="single"/>
    </font>
    <font>
      <name val="Times New Roman"/>
      <b val="1"/>
      <color rgb="FF000000"/>
      <sz val="12"/>
    </font>
    <font>
      <name val="Calibri"/>
      <color theme="1"/>
      <sz val="18"/>
    </font>
    <font>
      <name val="Times New Roman"/>
      <color theme="1"/>
      <sz val="12"/>
      <vertAlign val="superscript"/>
    </font>
    <font>
      <name val="Times New Roman"/>
      <b val="1"/>
      <color theme="1"/>
      <sz val="7"/>
    </font>
  </fonts>
  <fills count="7">
    <fill>
      <patternFill/>
    </fill>
    <fill>
      <patternFill patternType="gray125"/>
    </fill>
    <fill>
      <patternFill patternType="solid">
        <fgColor theme="9"/>
        <bgColor theme="9"/>
      </patternFill>
    </fill>
    <fill>
      <patternFill patternType="solid">
        <fgColor rgb="FFFFFF00"/>
        <bgColor rgb="FFFFFF00"/>
      </patternFill>
    </fill>
    <fill>
      <patternFill patternType="solid">
        <fgColor theme="0"/>
        <bgColor theme="0"/>
      </patternFill>
    </fill>
    <fill>
      <patternFill patternType="solid">
        <fgColor rgb="FFCCFFFF"/>
        <bgColor rgb="FFCCFFFF"/>
      </patternFill>
    </fill>
    <fill>
      <patternFill patternType="solid">
        <fgColor rgb="FFC6D9F0"/>
        <bgColor rgb="FFC6D9F0"/>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medium">
        <color rgb="FF000000"/>
      </top>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bottom/>
      <diagonal/>
    </border>
    <border>
      <left/>
      <right style="medium">
        <color rgb="FF000000"/>
      </right>
      <top style="thin">
        <color rgb="FF000000"/>
      </top>
      <bottom/>
      <diagonal/>
    </border>
  </borders>
  <cellStyleXfs count="1">
    <xf numFmtId="0" fontId="1" fillId="0" borderId="23"/>
  </cellStyleXfs>
  <cellXfs count="48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4" fillId="2" borderId="1" pivotButton="0" quotePrefix="0" xfId="0"/>
    <xf numFmtId="0" fontId="3" fillId="0" borderId="0" applyAlignment="1" pivotButton="0" quotePrefix="0" xfId="0">
      <alignment horizontal="center"/>
    </xf>
    <xf numFmtId="0" fontId="3" fillId="0" borderId="1" applyAlignment="1" pivotButton="0" quotePrefix="0" xfId="0">
      <alignment horizontal="center"/>
    </xf>
    <xf numFmtId="0" fontId="7" fillId="4" borderId="1" applyAlignment="1" pivotButton="0" quotePrefix="0" xfId="0">
      <alignment horizontal="center" vertical="top" wrapText="1"/>
    </xf>
    <xf numFmtId="4" fontId="6" fillId="3" borderId="10" applyAlignment="1" pivotButton="0" quotePrefix="0" xfId="0">
      <alignment vertical="top" wrapText="1"/>
    </xf>
    <xf numFmtId="4" fontId="6" fillId="3" borderId="11" applyAlignment="1" pivotButton="0" quotePrefix="0" xfId="0">
      <alignment vertical="top" wrapText="1"/>
    </xf>
    <xf numFmtId="4" fontId="6" fillId="0" borderId="12" applyAlignment="1" pivotButton="0" quotePrefix="0" xfId="0">
      <alignment vertical="top" wrapText="1"/>
    </xf>
    <xf numFmtId="0" fontId="4" fillId="4" borderId="1" pivotButton="0" quotePrefix="0" xfId="0"/>
    <xf numFmtId="0" fontId="4" fillId="3" borderId="1" pivotButton="0" quotePrefix="0" xfId="0"/>
    <xf numFmtId="4" fontId="6" fillId="3" borderId="16" applyAlignment="1" pivotButton="0" quotePrefix="0" xfId="0">
      <alignment vertical="top" wrapText="1"/>
    </xf>
    <xf numFmtId="4" fontId="6" fillId="3" borderId="17" applyAlignment="1" pivotButton="0" quotePrefix="0" xfId="0">
      <alignment vertical="top" wrapText="1"/>
    </xf>
    <xf numFmtId="4" fontId="6" fillId="0" borderId="14" applyAlignment="1" pivotButton="0" quotePrefix="0" xfId="0">
      <alignment vertical="top" wrapText="1"/>
    </xf>
    <xf numFmtId="0" fontId="3" fillId="0" borderId="1" applyAlignment="1" pivotButton="0" quotePrefix="0" xfId="0">
      <alignment horizontal="right"/>
    </xf>
    <xf numFmtId="4" fontId="6" fillId="3" borderId="21" applyAlignment="1" pivotButton="0" quotePrefix="0" xfId="0">
      <alignment vertical="top" wrapText="1"/>
    </xf>
    <xf numFmtId="4" fontId="6" fillId="3" borderId="22" applyAlignment="1" pivotButton="0" quotePrefix="0" xfId="0">
      <alignment vertical="top" wrapText="1"/>
    </xf>
    <xf numFmtId="4" fontId="6" fillId="0" borderId="19" applyAlignment="1" pivotButton="0" quotePrefix="0" xfId="0">
      <alignment vertical="top" wrapText="1"/>
    </xf>
    <xf numFmtId="0" fontId="3" fillId="0" borderId="0" applyAlignment="1" pivotButton="0" quotePrefix="0" xfId="0">
      <alignment horizontal="right"/>
    </xf>
    <xf numFmtId="0" fontId="4" fillId="0" borderId="1" applyAlignment="1" pivotButton="0" quotePrefix="0" xfId="0">
      <alignment wrapText="1"/>
    </xf>
    <xf numFmtId="0" fontId="8" fillId="4" borderId="1" pivotButton="0" quotePrefix="0" xfId="0"/>
    <xf numFmtId="0" fontId="8" fillId="0" borderId="1" pivotButton="0" quotePrefix="0" xfId="0"/>
    <xf numFmtId="0" fontId="3" fillId="4" borderId="23" pivotButton="0" quotePrefix="0" xfId="0"/>
    <xf numFmtId="0" fontId="3" fillId="0" borderId="1" pivotButton="0" quotePrefix="0" xfId="0"/>
    <xf numFmtId="1" fontId="3" fillId="0" borderId="0" pivotButton="0" quotePrefix="0" xfId="0"/>
    <xf numFmtId="164" fontId="3" fillId="0" borderId="0" pivotButton="0" quotePrefix="0" xfId="0"/>
    <xf numFmtId="0" fontId="3" fillId="0" borderId="29" pivotButton="0" quotePrefix="0" xfId="0"/>
    <xf numFmtId="0" fontId="3" fillId="0" borderId="1" applyAlignment="1" pivotButton="0" quotePrefix="0" xfId="0">
      <alignment horizontal="left"/>
    </xf>
    <xf numFmtId="0" fontId="3" fillId="0" borderId="30" applyAlignment="1" pivotButton="0" quotePrefix="0" xfId="0">
      <alignment horizontal="left"/>
    </xf>
    <xf numFmtId="0" fontId="2" fillId="0" borderId="1" applyAlignment="1" pivotButton="0" quotePrefix="0" xfId="0">
      <alignment horizontal="center"/>
    </xf>
    <xf numFmtId="0" fontId="2" fillId="0" borderId="1" pivotButton="0" quotePrefix="0" xfId="0"/>
    <xf numFmtId="0" fontId="2" fillId="0" borderId="1" applyAlignment="1" pivotButton="0" quotePrefix="0" xfId="0">
      <alignment horizontal="left"/>
    </xf>
    <xf numFmtId="0" fontId="3" fillId="3" borderId="1" applyAlignment="1" pivotButton="0" quotePrefix="0" xfId="0">
      <alignment horizontal="left"/>
    </xf>
    <xf numFmtId="0" fontId="3" fillId="0" borderId="31" pivotButton="0" quotePrefix="0" xfId="0"/>
    <xf numFmtId="0" fontId="3" fillId="0" borderId="32" pivotButton="0" quotePrefix="0" xfId="0"/>
    <xf numFmtId="0" fontId="3" fillId="0" borderId="32" applyAlignment="1" pivotButton="0" quotePrefix="0" xfId="0">
      <alignment horizontal="left"/>
    </xf>
    <xf numFmtId="0" fontId="3" fillId="0" borderId="33" applyAlignment="1" pivotButton="0" quotePrefix="0" xfId="0">
      <alignment horizontal="left"/>
    </xf>
    <xf numFmtId="0" fontId="3" fillId="3" borderId="34" applyAlignment="1" pivotButton="0" quotePrefix="0" xfId="0">
      <alignment vertical="top" wrapText="1"/>
    </xf>
    <xf numFmtId="0" fontId="3" fillId="3" borderId="35" applyAlignment="1" pivotButton="0" quotePrefix="0" xfId="0">
      <alignment horizontal="center" vertical="top" wrapText="1"/>
    </xf>
    <xf numFmtId="0" fontId="3" fillId="3" borderId="35" applyAlignment="1" pivotButton="0" quotePrefix="0" xfId="0">
      <alignment vertical="top" wrapText="1"/>
    </xf>
    <xf numFmtId="0" fontId="3" fillId="3" borderId="36" applyAlignment="1" pivotButton="0" quotePrefix="0" xfId="0">
      <alignment vertical="top" wrapText="1"/>
    </xf>
    <xf numFmtId="0" fontId="3" fillId="0" borderId="0" applyAlignment="1" pivotButton="0" quotePrefix="0" xfId="0">
      <alignment horizontal="left"/>
    </xf>
    <xf numFmtId="0" fontId="3" fillId="3" borderId="1" applyAlignment="1" pivotButton="0" quotePrefix="0" xfId="0">
      <alignment vertical="top" wrapText="1"/>
    </xf>
    <xf numFmtId="4" fontId="3" fillId="3" borderId="1" applyAlignment="1" pivotButton="0" quotePrefix="0" xfId="0">
      <alignment vertical="top" wrapText="1"/>
    </xf>
    <xf numFmtId="0" fontId="10" fillId="0" borderId="1" applyAlignment="1" pivotButton="0" quotePrefix="0" xfId="0">
      <alignment horizontal="center"/>
    </xf>
    <xf numFmtId="0" fontId="10" fillId="0" borderId="1" pivotButton="0" quotePrefix="0" xfId="0"/>
    <xf numFmtId="0" fontId="10" fillId="0" borderId="1" applyAlignment="1" pivotButton="0" quotePrefix="0" xfId="0">
      <alignment horizontal="left"/>
    </xf>
    <xf numFmtId="0" fontId="3" fillId="0" borderId="1" applyAlignment="1" pivotButton="0" quotePrefix="0" xfId="0">
      <alignment horizontal="center" vertical="center"/>
    </xf>
    <xf numFmtId="0" fontId="2" fillId="0" borderId="37" pivotButton="0" quotePrefix="0" xfId="0"/>
    <xf numFmtId="0" fontId="3" fillId="0" borderId="38" pivotButton="0" quotePrefix="0" xfId="0"/>
    <xf numFmtId="0" fontId="3" fillId="0" borderId="39" pivotButton="0" quotePrefix="0" xfId="0"/>
    <xf numFmtId="0" fontId="4" fillId="0" borderId="29" applyAlignment="1" pivotButton="0" quotePrefix="0" xfId="0">
      <alignment wrapText="1"/>
    </xf>
    <xf numFmtId="165" fontId="4" fillId="0" borderId="1" applyAlignment="1" pivotButton="0" quotePrefix="0" xfId="0">
      <alignment wrapText="1"/>
    </xf>
    <xf numFmtId="0" fontId="4" fillId="0" borderId="0" applyAlignment="1" pivotButton="0" quotePrefix="0" xfId="0">
      <alignment wrapText="1"/>
    </xf>
    <xf numFmtId="0" fontId="4" fillId="0" borderId="40" applyAlignment="1" pivotButton="0" quotePrefix="0" xfId="0">
      <alignment wrapText="1"/>
    </xf>
    <xf numFmtId="2" fontId="3" fillId="0" borderId="29" applyAlignment="1" pivotButton="0" quotePrefix="0" xfId="0">
      <alignment wrapText="1"/>
    </xf>
    <xf numFmtId="2" fontId="3" fillId="0" borderId="1" applyAlignment="1" pivotButton="0" quotePrefix="0" xfId="0">
      <alignment wrapText="1"/>
    </xf>
    <xf numFmtId="2" fontId="3" fillId="0" borderId="0" applyAlignment="1" pivotButton="0" quotePrefix="0" xfId="0">
      <alignment wrapText="1"/>
    </xf>
    <xf numFmtId="2" fontId="3" fillId="0" borderId="40" applyAlignment="1" pivotButton="0" quotePrefix="0" xfId="0">
      <alignment wrapText="1"/>
    </xf>
    <xf numFmtId="0" fontId="4" fillId="0" borderId="29" applyAlignment="1" pivotButton="0" quotePrefix="0" xfId="0">
      <alignment horizontal="right"/>
    </xf>
    <xf numFmtId="165" fontId="10" fillId="0" borderId="1" pivotButton="0" quotePrefix="0" xfId="0"/>
    <xf numFmtId="0" fontId="4" fillId="0" borderId="0" pivotButton="0" quotePrefix="0" xfId="0"/>
    <xf numFmtId="0" fontId="4" fillId="0" borderId="40" pivotButton="0" quotePrefix="0" xfId="0"/>
    <xf numFmtId="165" fontId="3" fillId="0" borderId="1" pivotButton="0" quotePrefix="0" xfId="0"/>
    <xf numFmtId="0" fontId="3" fillId="0" borderId="40" pivotButton="0" quotePrefix="0" xfId="0"/>
    <xf numFmtId="0" fontId="3" fillId="0" borderId="41" pivotButton="0" quotePrefix="0" xfId="0"/>
    <xf numFmtId="0" fontId="4" fillId="0" borderId="41" applyAlignment="1" pivotButton="0" quotePrefix="0" xfId="0">
      <alignment horizontal="right"/>
    </xf>
    <xf numFmtId="165" fontId="10" fillId="0" borderId="0" pivotButton="0" quotePrefix="0" xfId="0"/>
    <xf numFmtId="0" fontId="4" fillId="0" borderId="29" applyAlignment="1" pivotButton="0" quotePrefix="0" xfId="0">
      <alignment vertical="center" wrapText="1"/>
    </xf>
    <xf numFmtId="0" fontId="4" fillId="0" borderId="1" applyAlignment="1" pivotButton="0" quotePrefix="0" xfId="0">
      <alignment vertical="center" wrapText="1"/>
    </xf>
    <xf numFmtId="165" fontId="4" fillId="0" borderId="1" applyAlignment="1" pivotButton="0" quotePrefix="0" xfId="0">
      <alignment vertical="center" wrapText="1"/>
    </xf>
    <xf numFmtId="9" fontId="4" fillId="0" borderId="1" applyAlignment="1" pivotButton="0" quotePrefix="0" xfId="0">
      <alignment vertical="center"/>
    </xf>
    <xf numFmtId="9" fontId="4" fillId="0" borderId="30" applyAlignment="1" pivotButton="0" quotePrefix="0" xfId="0">
      <alignment vertical="center"/>
    </xf>
    <xf numFmtId="9" fontId="3" fillId="0" borderId="1" pivotButton="0" quotePrefix="0" xfId="0"/>
    <xf numFmtId="9" fontId="3" fillId="0" borderId="30" pivotButton="0" quotePrefix="0" xfId="0"/>
    <xf numFmtId="164" fontId="3" fillId="0" borderId="1" pivotButton="0" quotePrefix="0" xfId="0"/>
    <xf numFmtId="165" fontId="3" fillId="0" borderId="30" pivotButton="0" quotePrefix="0" xfId="0"/>
    <xf numFmtId="165" fontId="3" fillId="0" borderId="32" pivotButton="0" quotePrefix="0" xfId="0"/>
    <xf numFmtId="165" fontId="3" fillId="0" borderId="33" pivotButton="0" quotePrefix="0" xfId="0"/>
    <xf numFmtId="0" fontId="4" fillId="0" borderId="31" applyAlignment="1" pivotButton="0" quotePrefix="0" xfId="0">
      <alignment horizontal="right"/>
    </xf>
    <xf numFmtId="164" fontId="3" fillId="0" borderId="32" pivotButton="0" quotePrefix="0" xfId="0"/>
    <xf numFmtId="0" fontId="4" fillId="0" borderId="32" pivotButton="0" quotePrefix="0" xfId="0"/>
    <xf numFmtId="0" fontId="10" fillId="0" borderId="37" applyAlignment="1" pivotButton="0" quotePrefix="0" xfId="0">
      <alignment horizontal="left"/>
    </xf>
    <xf numFmtId="0" fontId="3" fillId="0" borderId="38" applyAlignment="1" pivotButton="0" quotePrefix="0" xfId="0">
      <alignment horizontal="left"/>
    </xf>
    <xf numFmtId="0" fontId="3" fillId="0" borderId="29" applyAlignment="1" pivotButton="0" quotePrefix="0" xfId="0">
      <alignment wrapText="1"/>
    </xf>
    <xf numFmtId="0" fontId="3" fillId="0" borderId="1" applyAlignment="1" pivotButton="0" quotePrefix="0" xfId="0">
      <alignment wrapText="1"/>
    </xf>
    <xf numFmtId="165" fontId="3" fillId="0" borderId="0" pivotButton="0" quotePrefix="0" xfId="0"/>
    <xf numFmtId="0" fontId="3" fillId="0" borderId="42" applyAlignment="1" pivotButton="0" quotePrefix="0" xfId="0">
      <alignment wrapText="1"/>
    </xf>
    <xf numFmtId="0" fontId="3" fillId="0" borderId="43" applyAlignment="1" pivotButton="0" quotePrefix="0" xfId="0">
      <alignment wrapText="1"/>
    </xf>
    <xf numFmtId="165" fontId="3" fillId="0" borderId="43" pivotButton="0" quotePrefix="0" xfId="0"/>
    <xf numFmtId="9" fontId="3" fillId="0" borderId="43" pivotButton="0" quotePrefix="0" xfId="0"/>
    <xf numFmtId="9" fontId="3" fillId="0" borderId="44" pivotButton="0" quotePrefix="0" xfId="0"/>
    <xf numFmtId="0" fontId="3" fillId="0" borderId="30" pivotButton="0" quotePrefix="0" xfId="0"/>
    <xf numFmtId="0" fontId="3" fillId="0" borderId="33" pivotButton="0" quotePrefix="0" xfId="0"/>
    <xf numFmtId="0" fontId="3" fillId="0" borderId="0" applyAlignment="1" pivotButton="0" quotePrefix="0" xfId="0">
      <alignment vertical="center"/>
    </xf>
    <xf numFmtId="0" fontId="12" fillId="0" borderId="0" pivotButton="0" quotePrefix="0" xfId="0"/>
    <xf numFmtId="0" fontId="10" fillId="5" borderId="23" pivotButton="0" quotePrefix="0" xfId="0"/>
    <xf numFmtId="0" fontId="4" fillId="5" borderId="23" pivotButton="0" quotePrefix="0" xfId="0"/>
    <xf numFmtId="0" fontId="6" fillId="0" borderId="46" applyAlignment="1" pivotButton="0" quotePrefix="0" xfId="0">
      <alignment horizontal="center" vertical="top"/>
    </xf>
    <xf numFmtId="0" fontId="6" fillId="0" borderId="47" applyAlignment="1" pivotButton="0" quotePrefix="0" xfId="0">
      <alignment horizontal="center" vertical="top"/>
    </xf>
    <xf numFmtId="0" fontId="6" fillId="0" borderId="48" applyAlignment="1" pivotButton="0" quotePrefix="0" xfId="0">
      <alignment horizontal="center" vertical="top"/>
    </xf>
    <xf numFmtId="0" fontId="6" fillId="5" borderId="49" applyAlignment="1" pivotButton="0" quotePrefix="0" xfId="0">
      <alignment horizontal="center" vertical="top" wrapText="1"/>
    </xf>
    <xf numFmtId="0" fontId="6" fillId="5" borderId="1" applyAlignment="1" pivotButton="0" quotePrefix="0" xfId="0">
      <alignment horizontal="center" vertical="top"/>
    </xf>
    <xf numFmtId="0" fontId="6" fillId="5" borderId="1" applyAlignment="1" pivotButton="0" quotePrefix="0" xfId="0">
      <alignment horizontal="center" vertical="top" wrapText="1"/>
    </xf>
    <xf numFmtId="0" fontId="6" fillId="5" borderId="50" applyAlignment="1" pivotButton="0" quotePrefix="0" xfId="0">
      <alignment horizontal="center" vertical="top"/>
    </xf>
    <xf numFmtId="0" fontId="6" fillId="0" borderId="51" applyAlignment="1" pivotButton="0" quotePrefix="0" xfId="0">
      <alignment vertical="top"/>
    </xf>
    <xf numFmtId="0" fontId="6" fillId="0" borderId="52" applyAlignment="1" pivotButton="0" quotePrefix="0" xfId="0">
      <alignment vertical="top"/>
    </xf>
    <xf numFmtId="0" fontId="6" fillId="0" borderId="52" applyAlignment="1" pivotButton="0" quotePrefix="0" xfId="0">
      <alignment horizontal="center" vertical="top"/>
    </xf>
    <xf numFmtId="4" fontId="6" fillId="0" borderId="52" applyAlignment="1" pivotButton="0" quotePrefix="0" xfId="0">
      <alignment vertical="top"/>
    </xf>
    <xf numFmtId="4" fontId="6" fillId="0" borderId="53" applyAlignment="1" pivotButton="0" quotePrefix="0" xfId="0">
      <alignment vertical="top"/>
    </xf>
    <xf numFmtId="0" fontId="4" fillId="3" borderId="49" pivotButton="0" quotePrefix="0" xfId="0"/>
    <xf numFmtId="0" fontId="4" fillId="5" borderId="1" pivotButton="0" quotePrefix="0" xfId="0"/>
    <xf numFmtId="9" fontId="3" fillId="0" borderId="0" pivotButton="0" quotePrefix="0" xfId="0"/>
    <xf numFmtId="0" fontId="6" fillId="0" borderId="29"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horizontal="center" vertical="top"/>
    </xf>
    <xf numFmtId="4" fontId="6" fillId="0" borderId="1" applyAlignment="1" pivotButton="0" quotePrefix="0" xfId="0">
      <alignment vertical="top"/>
    </xf>
    <xf numFmtId="4" fontId="6" fillId="0" borderId="30" applyAlignment="1" pivotButton="0" quotePrefix="0" xfId="0">
      <alignment vertical="top"/>
    </xf>
    <xf numFmtId="4" fontId="13" fillId="0" borderId="1" applyAlignment="1" pivotButton="0" quotePrefix="0" xfId="0">
      <alignment horizontal="right"/>
    </xf>
    <xf numFmtId="4" fontId="6" fillId="0" borderId="30" pivotButton="0" quotePrefix="0" xfId="0"/>
    <xf numFmtId="0" fontId="6" fillId="0" borderId="31" applyAlignment="1" pivotButton="0" quotePrefix="0" xfId="0">
      <alignment vertical="top"/>
    </xf>
    <xf numFmtId="0" fontId="6" fillId="0" borderId="32" applyAlignment="1" pivotButton="0" quotePrefix="0" xfId="0">
      <alignment vertical="top"/>
    </xf>
    <xf numFmtId="0" fontId="6" fillId="0" borderId="32" applyAlignment="1" pivotButton="0" quotePrefix="0" xfId="0">
      <alignment horizontal="center" vertical="top"/>
    </xf>
    <xf numFmtId="4" fontId="13" fillId="0" borderId="32" applyAlignment="1" pivotButton="0" quotePrefix="0" xfId="0">
      <alignment horizontal="right"/>
    </xf>
    <xf numFmtId="4" fontId="6" fillId="0" borderId="33" pivotButton="0" quotePrefix="0" xfId="0"/>
    <xf numFmtId="0" fontId="14" fillId="0" borderId="0" pivotButton="0" quotePrefix="0" xfId="0"/>
    <xf numFmtId="0" fontId="6" fillId="0" borderId="42" applyAlignment="1" pivotButton="0" quotePrefix="0" xfId="0">
      <alignment horizontal="center" vertical="top"/>
    </xf>
    <xf numFmtId="0" fontId="6" fillId="0" borderId="43" applyAlignment="1" pivotButton="0" quotePrefix="0" xfId="0">
      <alignment horizontal="center" vertical="top"/>
    </xf>
    <xf numFmtId="0" fontId="6" fillId="0" borderId="44" applyAlignment="1" pivotButton="0" quotePrefix="0" xfId="0">
      <alignment horizontal="center" vertical="top"/>
    </xf>
    <xf numFmtId="0" fontId="4" fillId="5" borderId="1" applyAlignment="1" pivotButton="0" quotePrefix="0" xfId="0">
      <alignment vertical="center" wrapText="1"/>
    </xf>
    <xf numFmtId="0" fontId="4" fillId="5" borderId="1" applyAlignment="1" pivotButton="0" quotePrefix="0" xfId="0">
      <alignment vertical="center"/>
    </xf>
    <xf numFmtId="166" fontId="4" fillId="5" borderId="1" pivotButton="0" quotePrefix="0" xfId="0"/>
    <xf numFmtId="4" fontId="13" fillId="0" borderId="1" pivotButton="0" quotePrefix="0" xfId="0"/>
    <xf numFmtId="0" fontId="15" fillId="0" borderId="0" pivotButton="0" quotePrefix="0" xfId="0"/>
    <xf numFmtId="0" fontId="6" fillId="0" borderId="0" applyAlignment="1" pivotButton="0" quotePrefix="0" xfId="0">
      <alignment horizontal="left"/>
    </xf>
    <xf numFmtId="12" fontId="3" fillId="0" borderId="29" pivotButton="0" quotePrefix="0" xfId="0"/>
    <xf numFmtId="12" fontId="3" fillId="0" borderId="1" pivotButton="0" quotePrefix="0" xfId="0"/>
    <xf numFmtId="167" fontId="3" fillId="0" borderId="1" pivotButton="0" quotePrefix="0" xfId="0"/>
    <xf numFmtId="12" fontId="3" fillId="0" borderId="29" pivotButton="0" quotePrefix="1" xfId="0"/>
    <xf numFmtId="12" fontId="3" fillId="0" borderId="1" pivotButton="0" quotePrefix="1" xfId="0"/>
    <xf numFmtId="12" fontId="3" fillId="0" borderId="41" pivotButton="0" quotePrefix="0" xfId="0"/>
    <xf numFmtId="12" fontId="3" fillId="0" borderId="0" pivotButton="0" quotePrefix="0" xfId="0"/>
    <xf numFmtId="167" fontId="3" fillId="0" borderId="0" pivotButton="0" quotePrefix="0" xfId="0"/>
    <xf numFmtId="12" fontId="3" fillId="0" borderId="31" pivotButton="0" quotePrefix="1" xfId="0"/>
    <xf numFmtId="12" fontId="3" fillId="0" borderId="37" pivotButton="0" quotePrefix="0" xfId="0"/>
    <xf numFmtId="0" fontId="2" fillId="0" borderId="15" applyAlignment="1" pivotButton="0" quotePrefix="0" xfId="0">
      <alignment vertical="center"/>
    </xf>
    <xf numFmtId="0" fontId="2" fillId="0" borderId="1" applyAlignment="1" pivotButton="0" quotePrefix="0" xfId="0">
      <alignment horizontal="center" wrapText="1"/>
    </xf>
    <xf numFmtId="0" fontId="2" fillId="0" borderId="52" applyAlignment="1" pivotButton="0" quotePrefix="0" xfId="0">
      <alignment horizontal="center" wrapText="1"/>
    </xf>
    <xf numFmtId="0" fontId="2" fillId="0" borderId="52" applyAlignment="1" pivotButton="0" quotePrefix="0" xfId="0">
      <alignment horizontal="left" wrapText="1"/>
    </xf>
    <xf numFmtId="0" fontId="3" fillId="0" borderId="52" applyAlignment="1" pivotButton="0" quotePrefix="0" xfId="0">
      <alignment horizontal="left"/>
    </xf>
    <xf numFmtId="0" fontId="2" fillId="0" borderId="52" applyAlignment="1" pivotButton="0" quotePrefix="0" xfId="0">
      <alignment horizontal="left"/>
    </xf>
    <xf numFmtId="0" fontId="3" fillId="0" borderId="52" pivotButton="0" quotePrefix="0" xfId="0"/>
    <xf numFmtId="0" fontId="2" fillId="0" borderId="52" applyAlignment="1" pivotButton="0" quotePrefix="0" xfId="0">
      <alignment horizontal="center"/>
    </xf>
    <xf numFmtId="0" fontId="6" fillId="0" borderId="59" applyAlignment="1" pivotButton="0" quotePrefix="0" xfId="0">
      <alignment vertical="center" wrapText="1"/>
    </xf>
    <xf numFmtId="0" fontId="6" fillId="0" borderId="60" applyAlignment="1" pivotButton="0" quotePrefix="0" xfId="0">
      <alignment vertical="center" wrapText="1"/>
    </xf>
    <xf numFmtId="0" fontId="6" fillId="0" borderId="60" applyAlignment="1" pivotButton="0" quotePrefix="0" xfId="0">
      <alignment horizontal="center" vertical="center" wrapText="1"/>
    </xf>
    <xf numFmtId="0" fontId="2" fillId="0" borderId="1" applyAlignment="1" pivotButton="0" quotePrefix="0" xfId="0">
      <alignment horizontal="left" wrapText="1"/>
    </xf>
    <xf numFmtId="0" fontId="6" fillId="0" borderId="61" applyAlignment="1" pivotButton="0" quotePrefix="0" xfId="0">
      <alignment vertical="center" wrapText="1"/>
    </xf>
    <xf numFmtId="0" fontId="6" fillId="0" borderId="62" applyAlignment="1" pivotButton="0" quotePrefix="0" xfId="0">
      <alignment horizontal="right" vertical="center" wrapText="1"/>
    </xf>
    <xf numFmtId="0" fontId="6" fillId="0" borderId="62" applyAlignment="1" pivotButton="0" quotePrefix="0" xfId="0">
      <alignment vertical="center" wrapText="1"/>
    </xf>
    <xf numFmtId="4" fontId="6" fillId="0" borderId="62" applyAlignment="1" pivotButton="0" quotePrefix="0" xfId="0">
      <alignment horizontal="right" vertical="center" wrapText="1"/>
    </xf>
    <xf numFmtId="0" fontId="3" fillId="6" borderId="1" applyAlignment="1" pivotButton="0" quotePrefix="0" xfId="0">
      <alignment horizontal="left"/>
    </xf>
    <xf numFmtId="0" fontId="3" fillId="6" borderId="1" pivotButton="0" quotePrefix="0" xfId="0"/>
    <xf numFmtId="0" fontId="2" fillId="0" borderId="1" applyAlignment="1" pivotButton="0" quotePrefix="0" xfId="0">
      <alignment wrapText="1"/>
    </xf>
    <xf numFmtId="0" fontId="3" fillId="0" borderId="54" pivotButton="0" quotePrefix="0" xfId="0"/>
    <xf numFmtId="0" fontId="3" fillId="4" borderId="1" pivotButton="0" quotePrefix="0" xfId="0"/>
    <xf numFmtId="0" fontId="3" fillId="3" borderId="1" pivotButton="0" quotePrefix="0" xfId="0"/>
    <xf numFmtId="0" fontId="2" fillId="3" borderId="1" pivotButton="0" quotePrefix="0" xfId="0"/>
    <xf numFmtId="0" fontId="2" fillId="0" borderId="58" applyAlignment="1" pivotButton="0" quotePrefix="0" xfId="0">
      <alignment horizontal="left" wrapText="1"/>
    </xf>
    <xf numFmtId="0" fontId="16" fillId="0" borderId="1" pivotButton="0" quotePrefix="0" xfId="0"/>
    <xf numFmtId="0" fontId="3" fillId="0" borderId="58" pivotButton="0" quotePrefix="0" xfId="0"/>
    <xf numFmtId="0" fontId="16" fillId="0" borderId="1" applyAlignment="1" pivotButton="0" quotePrefix="0" xfId="0">
      <alignment horizontal="left"/>
    </xf>
    <xf numFmtId="0" fontId="16" fillId="0" borderId="58" applyAlignment="1" pivotButton="0" quotePrefix="0" xfId="0">
      <alignment horizontal="left"/>
    </xf>
    <xf numFmtId="0" fontId="16" fillId="0" borderId="58" pivotButton="0" quotePrefix="0" xfId="0"/>
    <xf numFmtId="0" fontId="6" fillId="0" borderId="0" pivotButton="0" quotePrefix="0" xfId="0"/>
    <xf numFmtId="0" fontId="6" fillId="0" borderId="1" applyAlignment="1" pivotButton="0" quotePrefix="0" xfId="0">
      <alignment horizontal="center" vertical="top" wrapText="1"/>
    </xf>
    <xf numFmtId="0" fontId="6" fillId="0" borderId="29" applyAlignment="1" pivotButton="0" quotePrefix="0" xfId="0">
      <alignment vertical="top" wrapText="1"/>
    </xf>
    <xf numFmtId="0" fontId="6" fillId="0" borderId="1" applyAlignment="1" pivotButton="0" quotePrefix="0" xfId="0">
      <alignment vertical="top" wrapText="1"/>
    </xf>
    <xf numFmtId="4" fontId="6" fillId="0" borderId="30" applyAlignment="1" pivotButton="0" quotePrefix="0" xfId="0">
      <alignment vertical="top" wrapText="1"/>
    </xf>
    <xf numFmtId="168" fontId="3" fillId="0" borderId="0" pivotButton="0" quotePrefix="0" xfId="0"/>
    <xf numFmtId="4" fontId="6" fillId="0" borderId="1" applyAlignment="1" pivotButton="0" quotePrefix="0" xfId="0">
      <alignment vertical="top" wrapText="1"/>
    </xf>
    <xf numFmtId="0" fontId="6" fillId="0" borderId="31" applyAlignment="1" pivotButton="0" quotePrefix="0" xfId="0">
      <alignment vertical="top" wrapText="1"/>
    </xf>
    <xf numFmtId="0" fontId="6" fillId="0" borderId="32" applyAlignment="1" pivotButton="0" quotePrefix="0" xfId="0">
      <alignment vertical="top" wrapText="1"/>
    </xf>
    <xf numFmtId="4" fontId="6" fillId="0" borderId="33" applyAlignment="1" pivotButton="0" quotePrefix="0" xfId="0">
      <alignment vertical="top" wrapText="1"/>
    </xf>
    <xf numFmtId="4" fontId="6" fillId="0" borderId="52" applyAlignment="1" pivotButton="0" quotePrefix="0" xfId="0">
      <alignment vertical="top" wrapText="1"/>
    </xf>
    <xf numFmtId="4" fontId="6" fillId="0" borderId="53" applyAlignment="1" pivotButton="0" quotePrefix="0" xfId="0">
      <alignment vertical="top" wrapText="1"/>
    </xf>
    <xf numFmtId="164" fontId="4" fillId="0" borderId="1" pivotButton="0" quotePrefix="0" xfId="0"/>
    <xf numFmtId="4" fontId="6" fillId="0" borderId="69" applyAlignment="1" pivotButton="0" quotePrefix="0" xfId="0">
      <alignment vertical="top" wrapText="1"/>
    </xf>
    <xf numFmtId="0" fontId="6" fillId="0" borderId="69" applyAlignment="1" pivotButton="0" quotePrefix="0" xfId="0">
      <alignment vertical="top" wrapText="1"/>
    </xf>
    <xf numFmtId="4" fontId="6" fillId="0" borderId="32" applyAlignment="1" pivotButton="0" quotePrefix="0" xfId="0">
      <alignment vertical="top" wrapText="1"/>
    </xf>
    <xf numFmtId="0" fontId="6" fillId="0" borderId="0" applyAlignment="1" pivotButton="0" quotePrefix="0" xfId="0">
      <alignment vertical="top" wrapText="1"/>
    </xf>
    <xf numFmtId="4" fontId="6" fillId="0" borderId="0" applyAlignment="1" pivotButton="0" quotePrefix="0" xfId="0">
      <alignment vertical="top" wrapText="1"/>
    </xf>
    <xf numFmtId="0" fontId="14" fillId="0" borderId="0" applyAlignment="1" pivotButton="0" quotePrefix="0" xfId="0">
      <alignment horizontal="left" vertical="center"/>
    </xf>
    <xf numFmtId="0" fontId="6" fillId="0" borderId="59" applyAlignment="1" pivotButton="0" quotePrefix="0" xfId="0">
      <alignment horizontal="center" vertical="center" wrapText="1"/>
    </xf>
    <xf numFmtId="0" fontId="18" fillId="0" borderId="60" applyAlignment="1" pivotButton="0" quotePrefix="0" xfId="0">
      <alignment horizontal="center" vertical="center" wrapText="1"/>
    </xf>
    <xf numFmtId="0" fontId="18" fillId="0" borderId="61" applyAlignment="1" pivotButton="0" quotePrefix="0" xfId="0">
      <alignment vertical="center"/>
    </xf>
    <xf numFmtId="4" fontId="18" fillId="0" borderId="62" applyAlignment="1" pivotButton="0" quotePrefix="0" xfId="0">
      <alignment horizontal="right" vertical="center"/>
    </xf>
    <xf numFmtId="0" fontId="14" fillId="0" borderId="0" applyAlignment="1" pivotButton="0" quotePrefix="0" xfId="0">
      <alignment vertical="center"/>
    </xf>
    <xf numFmtId="0" fontId="18" fillId="0" borderId="59" applyAlignment="1" pivotButton="0" quotePrefix="0" xfId="0">
      <alignment vertical="center"/>
    </xf>
    <xf numFmtId="4" fontId="6" fillId="0" borderId="60" applyAlignment="1" pivotButton="0" quotePrefix="0" xfId="0">
      <alignment horizontal="right" vertical="center"/>
    </xf>
    <xf numFmtId="0" fontId="19" fillId="0" borderId="0" applyAlignment="1" pivotButton="0" quotePrefix="0" xfId="0">
      <alignment horizontal="left" vertical="center"/>
    </xf>
    <xf numFmtId="169" fontId="3" fillId="0" borderId="0" pivotButton="0" quotePrefix="0" xfId="0"/>
    <xf numFmtId="4" fontId="3" fillId="0" borderId="0" pivotButton="0" quotePrefix="0" xfId="0"/>
    <xf numFmtId="164" fontId="6" fillId="0" borderId="30" applyAlignment="1" pivotButton="0" quotePrefix="0" xfId="0">
      <alignment vertical="top" wrapText="1"/>
    </xf>
    <xf numFmtId="0" fontId="21" fillId="0" borderId="0" pivotButton="0" quotePrefix="0" xfId="0"/>
    <xf numFmtId="0" fontId="6" fillId="0" borderId="42" applyAlignment="1" pivotButton="0" quotePrefix="0" xfId="0">
      <alignment vertical="top" wrapText="1"/>
    </xf>
    <xf numFmtId="0" fontId="6" fillId="0" borderId="43" applyAlignment="1" pivotButton="0" quotePrefix="0" xfId="0">
      <alignment vertical="top" wrapText="1"/>
    </xf>
    <xf numFmtId="0" fontId="6" fillId="0" borderId="44" applyAlignment="1" pivotButton="0" quotePrefix="0" xfId="0">
      <alignment vertical="top" wrapText="1"/>
    </xf>
    <xf numFmtId="0" fontId="22" fillId="0" borderId="63" applyAlignment="1" pivotButton="0" quotePrefix="0" xfId="0">
      <alignment vertical="top" wrapText="1"/>
    </xf>
    <xf numFmtId="0" fontId="22" fillId="0" borderId="64" applyAlignment="1" pivotButton="0" quotePrefix="0" xfId="0">
      <alignment horizontal="center" vertical="top" wrapText="1"/>
    </xf>
    <xf numFmtId="0" fontId="22" fillId="0" borderId="64" applyAlignment="1" pivotButton="0" quotePrefix="0" xfId="0">
      <alignment vertical="top" wrapText="1"/>
    </xf>
    <xf numFmtId="0" fontId="7" fillId="0" borderId="0" pivotButton="0" quotePrefix="0" xfId="0"/>
    <xf numFmtId="0" fontId="7" fillId="0" borderId="0" applyAlignment="1" pivotButton="0" quotePrefix="0" xfId="0">
      <alignment horizontal="center"/>
    </xf>
    <xf numFmtId="0" fontId="6" fillId="0" borderId="44" applyAlignment="1" pivotButton="0" quotePrefix="0" xfId="0">
      <alignment horizontal="center" vertical="top" wrapText="1"/>
    </xf>
    <xf numFmtId="4" fontId="6" fillId="0" borderId="30" applyAlignment="1" pivotButton="0" quotePrefix="0" xfId="0">
      <alignment horizontal="center" vertical="top" wrapText="1"/>
    </xf>
    <xf numFmtId="4" fontId="6" fillId="0" borderId="33" applyAlignment="1" pivotButton="0" quotePrefix="0" xfId="0">
      <alignment horizontal="center" vertical="top" wrapText="1"/>
    </xf>
    <xf numFmtId="0" fontId="22" fillId="0" borderId="0" applyAlignment="1" pivotButton="0" quotePrefix="0" xfId="0">
      <alignment vertical="top" wrapText="1"/>
    </xf>
    <xf numFmtId="4" fontId="22" fillId="0" borderId="0" applyAlignment="1" pivotButton="0" quotePrefix="0" xfId="0">
      <alignment vertical="top" wrapText="1"/>
    </xf>
    <xf numFmtId="170" fontId="22" fillId="0" borderId="0" applyAlignment="1" pivotButton="0" quotePrefix="0" xfId="0">
      <alignment vertical="top" wrapText="1"/>
    </xf>
    <xf numFmtId="4" fontId="22" fillId="0" borderId="0" applyAlignment="1" pivotButton="0" quotePrefix="0" xfId="0">
      <alignment horizontal="center" vertical="top" wrapText="1"/>
    </xf>
    <xf numFmtId="0" fontId="23" fillId="0" borderId="0" pivotButton="0" quotePrefix="0" xfId="0"/>
    <xf numFmtId="0" fontId="7" fillId="0" borderId="1" pivotButton="0" quotePrefix="0" xfId="0"/>
    <xf numFmtId="0" fontId="6" fillId="0" borderId="1" pivotButton="0" quotePrefix="0" xfId="0"/>
    <xf numFmtId="0" fontId="7" fillId="0" borderId="37" pivotButton="0" quotePrefix="0" xfId="0"/>
    <xf numFmtId="0" fontId="6" fillId="0" borderId="29" applyAlignment="1" pivotButton="0" quotePrefix="0" xfId="0">
      <alignment horizontal="center" vertical="top" wrapText="1"/>
    </xf>
    <xf numFmtId="0" fontId="6" fillId="0" borderId="30" applyAlignment="1" pivotButton="0" quotePrefix="0" xfId="0">
      <alignment horizontal="center" vertical="top" wrapText="1"/>
    </xf>
    <xf numFmtId="4" fontId="3" fillId="0" borderId="1" pivotButton="0" quotePrefix="0" xfId="0"/>
    <xf numFmtId="4" fontId="3" fillId="0" borderId="30" pivotButton="0" quotePrefix="0" xfId="0"/>
    <xf numFmtId="4" fontId="3" fillId="0" borderId="0" applyAlignment="1" pivotButton="0" quotePrefix="0" xfId="0">
      <alignment horizontal="center"/>
    </xf>
    <xf numFmtId="4" fontId="3" fillId="0" borderId="32" pivotButton="0" quotePrefix="0" xfId="0"/>
    <xf numFmtId="4" fontId="3" fillId="0" borderId="33" pivotButton="0" quotePrefix="0" xfId="0"/>
    <xf numFmtId="0" fontId="7" fillId="3" borderId="42" applyAlignment="1" pivotButton="0" quotePrefix="0" xfId="0">
      <alignment horizontal="center" vertical="top"/>
    </xf>
    <xf numFmtId="0" fontId="7" fillId="3" borderId="43" applyAlignment="1" pivotButton="0" quotePrefix="0" xfId="0">
      <alignment horizontal="center" vertical="top"/>
    </xf>
    <xf numFmtId="0" fontId="7" fillId="3" borderId="70" applyAlignment="1" pivotButton="0" quotePrefix="0" xfId="0">
      <alignment horizontal="center" vertical="top"/>
    </xf>
    <xf numFmtId="164" fontId="7" fillId="3" borderId="70" applyAlignment="1" pivotButton="0" quotePrefix="0" xfId="0">
      <alignment horizontal="center" vertical="top"/>
    </xf>
    <xf numFmtId="0" fontId="7" fillId="3" borderId="59" applyAlignment="1" pivotButton="0" quotePrefix="0" xfId="0">
      <alignment horizontal="center" vertical="top"/>
    </xf>
    <xf numFmtId="0" fontId="7" fillId="0" borderId="59" applyAlignment="1" pivotButton="0" quotePrefix="0" xfId="0">
      <alignment horizontal="center" vertical="top"/>
    </xf>
    <xf numFmtId="0" fontId="24" fillId="3" borderId="43" applyAlignment="1" pivotButton="0" quotePrefix="0" xfId="0">
      <alignment horizontal="center" vertical="top"/>
    </xf>
    <xf numFmtId="0" fontId="7" fillId="0" borderId="60" applyAlignment="1" pivotButton="0" quotePrefix="0" xfId="0">
      <alignment horizontal="center" vertical="top"/>
    </xf>
    <xf numFmtId="164" fontId="7" fillId="0" borderId="60" applyAlignment="1" pivotButton="0" quotePrefix="0" xfId="0">
      <alignment horizontal="center" vertical="top"/>
    </xf>
    <xf numFmtId="0" fontId="6" fillId="0" borderId="61" applyAlignment="1" pivotButton="0" quotePrefix="0" xfId="0">
      <alignment vertical="top"/>
    </xf>
    <xf numFmtId="0" fontId="6" fillId="0" borderId="62" applyAlignment="1" pivotButton="0" quotePrefix="0" xfId="0">
      <alignment vertical="top"/>
    </xf>
    <xf numFmtId="164" fontId="6" fillId="0" borderId="30" applyAlignment="1" pivotButton="0" quotePrefix="0" xfId="0">
      <alignment vertical="top"/>
    </xf>
    <xf numFmtId="164" fontId="6" fillId="0" borderId="62" applyAlignment="1" pivotButton="0" quotePrefix="0" xfId="0">
      <alignment vertical="top"/>
    </xf>
    <xf numFmtId="0" fontId="6" fillId="0" borderId="71" applyAlignment="1" pivotButton="0" quotePrefix="0" xfId="0">
      <alignment vertical="top"/>
    </xf>
    <xf numFmtId="0" fontId="6" fillId="0" borderId="40" applyAlignment="1" pivotButton="0" quotePrefix="0" xfId="0">
      <alignment vertical="top"/>
    </xf>
    <xf numFmtId="164" fontId="6" fillId="0" borderId="71" applyAlignment="1" pivotButton="0" quotePrefix="0" xfId="0">
      <alignment vertical="top"/>
    </xf>
    <xf numFmtId="0" fontId="6" fillId="0" borderId="1" applyAlignment="1" pivotButton="0" quotePrefix="0" xfId="0">
      <alignment horizontal="left" vertical="top"/>
    </xf>
    <xf numFmtId="0" fontId="6" fillId="0" borderId="40" applyAlignment="1" pivotButton="0" quotePrefix="0" xfId="0">
      <alignment horizontal="left" vertical="top"/>
    </xf>
    <xf numFmtId="0" fontId="6" fillId="0" borderId="73" applyAlignment="1" pivotButton="0" quotePrefix="0" xfId="0">
      <alignment vertical="top"/>
    </xf>
    <xf numFmtId="164" fontId="6" fillId="0" borderId="72" applyAlignment="1" pivotButton="0" quotePrefix="0" xfId="0">
      <alignment vertical="top"/>
    </xf>
    <xf numFmtId="0" fontId="6" fillId="0" borderId="1" applyAlignment="1" pivotButton="0" quotePrefix="1" xfId="0">
      <alignment vertical="top"/>
    </xf>
    <xf numFmtId="0" fontId="6" fillId="0" borderId="62" applyAlignment="1" pivotButton="0" quotePrefix="0" xfId="0">
      <alignment horizontal="left" vertical="top"/>
    </xf>
    <xf numFmtId="0" fontId="6" fillId="0" borderId="74" applyAlignment="1" pivotButton="0" quotePrefix="0" xfId="0">
      <alignment vertical="top"/>
    </xf>
    <xf numFmtId="164" fontId="6" fillId="0" borderId="61" applyAlignment="1" pivotButton="0" quotePrefix="0" xfId="0">
      <alignment vertical="top"/>
    </xf>
    <xf numFmtId="164" fontId="6" fillId="6" borderId="30" applyAlignment="1" pivotButton="0" quotePrefix="0" xfId="0">
      <alignment vertical="top"/>
    </xf>
    <xf numFmtId="0" fontId="6" fillId="0" borderId="56" applyAlignment="1" pivotButton="0" quotePrefix="0" xfId="0">
      <alignment vertical="top"/>
    </xf>
    <xf numFmtId="164" fontId="6" fillId="6" borderId="75" applyAlignment="1" pivotButton="0" quotePrefix="0" xfId="0">
      <alignment vertical="top"/>
    </xf>
    <xf numFmtId="164" fontId="6" fillId="6" borderId="76" applyAlignment="1" pivotButton="0" quotePrefix="0" xfId="0">
      <alignment vertical="top"/>
    </xf>
    <xf numFmtId="0" fontId="7" fillId="0" borderId="32" applyAlignment="1" pivotButton="0" quotePrefix="0" xfId="0">
      <alignment vertical="top"/>
    </xf>
    <xf numFmtId="164" fontId="2" fillId="0" borderId="33" pivotButton="0" quotePrefix="0" xfId="0"/>
    <xf numFmtId="0" fontId="3" fillId="0" borderId="77" pivotButton="0" quotePrefix="0" xfId="0"/>
    <xf numFmtId="0" fontId="3" fillId="0" borderId="45" pivotButton="0" quotePrefix="0" xfId="0"/>
    <xf numFmtId="0" fontId="7" fillId="0" borderId="62" applyAlignment="1" pivotButton="0" quotePrefix="0" xfId="0">
      <alignment vertical="top"/>
    </xf>
    <xf numFmtId="164" fontId="2" fillId="0" borderId="62" pivotButton="0" quotePrefix="0" xfId="0"/>
    <xf numFmtId="0" fontId="7" fillId="0" borderId="0" applyAlignment="1" pivotButton="0" quotePrefix="0" xfId="0">
      <alignment vertical="top"/>
    </xf>
    <xf numFmtId="164" fontId="2" fillId="0" borderId="0" pivotButton="0" quotePrefix="0" xfId="0"/>
    <xf numFmtId="0" fontId="7" fillId="0" borderId="46" applyAlignment="1" pivotButton="0" quotePrefix="0" xfId="0">
      <alignment horizontal="center" vertical="top"/>
    </xf>
    <xf numFmtId="0" fontId="24" fillId="3" borderId="47" applyAlignment="1" pivotButton="0" quotePrefix="0" xfId="0">
      <alignment horizontal="center" vertical="top"/>
    </xf>
    <xf numFmtId="0" fontId="7" fillId="0" borderId="47" applyAlignment="1" pivotButton="0" quotePrefix="0" xfId="0">
      <alignment horizontal="center" vertical="top"/>
    </xf>
    <xf numFmtId="164" fontId="7" fillId="0" borderId="48" applyAlignment="1" pivotButton="0" quotePrefix="0" xfId="0">
      <alignment horizontal="center" vertical="top"/>
    </xf>
    <xf numFmtId="43" fontId="7" fillId="0" borderId="60" applyAlignment="1" pivotButton="0" quotePrefix="0" xfId="0">
      <alignment horizontal="center" vertical="top"/>
    </xf>
    <xf numFmtId="164" fontId="6" fillId="0" borderId="53" applyAlignment="1" pivotButton="0" quotePrefix="0" xfId="0">
      <alignment vertical="top"/>
    </xf>
    <xf numFmtId="43" fontId="6" fillId="0" borderId="62" applyAlignment="1" pivotButton="0" quotePrefix="0" xfId="0">
      <alignment vertical="top"/>
    </xf>
    <xf numFmtId="0" fontId="6" fillId="0" borderId="78" applyAlignment="1" pivotButton="0" quotePrefix="0" xfId="0">
      <alignment vertical="top"/>
    </xf>
    <xf numFmtId="0" fontId="6" fillId="0" borderId="72" applyAlignment="1" pivotButton="0" quotePrefix="0" xfId="0">
      <alignment vertical="top"/>
    </xf>
    <xf numFmtId="43" fontId="6" fillId="6" borderId="76" applyAlignment="1" pivotButton="0" quotePrefix="0" xfId="0">
      <alignment vertical="top"/>
    </xf>
    <xf numFmtId="0" fontId="2" fillId="0" borderId="32" pivotButton="0" quotePrefix="0" xfId="0"/>
    <xf numFmtId="0" fontId="2" fillId="0" borderId="45" pivotButton="0" quotePrefix="0" xfId="0"/>
    <xf numFmtId="43" fontId="3" fillId="0" borderId="62" pivotButton="0" quotePrefix="0" xfId="0"/>
    <xf numFmtId="43" fontId="3" fillId="0" borderId="0" pivotButton="0" quotePrefix="0" xfId="0"/>
    <xf numFmtId="0" fontId="6" fillId="0" borderId="79" applyAlignment="1" pivotButton="0" quotePrefix="0" xfId="0">
      <alignment vertical="top"/>
    </xf>
    <xf numFmtId="164" fontId="6" fillId="0" borderId="73" applyAlignment="1" pivotButton="0" quotePrefix="0" xfId="0">
      <alignment vertical="top"/>
    </xf>
    <xf numFmtId="164" fontId="3" fillId="0" borderId="62" pivotButton="0" quotePrefix="0" xfId="0"/>
    <xf numFmtId="0" fontId="6" fillId="0" borderId="62" applyAlignment="1" pivotButton="0" quotePrefix="0" xfId="0">
      <alignment horizontal="center" vertical="top"/>
    </xf>
    <xf numFmtId="0" fontId="6" fillId="0" borderId="71" applyAlignment="1" pivotButton="0" quotePrefix="0" xfId="0">
      <alignment horizontal="center" vertical="top"/>
    </xf>
    <xf numFmtId="0" fontId="6" fillId="0" borderId="0" applyAlignment="1" pivotButton="0" quotePrefix="0" xfId="0">
      <alignment vertical="top"/>
    </xf>
    <xf numFmtId="4" fontId="6" fillId="0" borderId="0" applyAlignment="1" pivotButton="0" quotePrefix="0" xfId="0">
      <alignment vertical="top"/>
    </xf>
    <xf numFmtId="0" fontId="6" fillId="0" borderId="24" pivotButton="0" quotePrefix="0" xfId="0"/>
    <xf numFmtId="0" fontId="6" fillId="0" borderId="66" pivotButton="0" quotePrefix="0" xfId="0"/>
    <xf numFmtId="0" fontId="6" fillId="0" borderId="65" pivotButton="0" quotePrefix="0" xfId="0"/>
    <xf numFmtId="0" fontId="6" fillId="0" borderId="12" pivotButton="0" quotePrefix="0" xfId="0"/>
    <xf numFmtId="0" fontId="6" fillId="0" borderId="25" pivotButton="0" quotePrefix="0" xfId="0"/>
    <xf numFmtId="0" fontId="6" fillId="0" borderId="13" pivotButton="0" quotePrefix="0" xfId="0"/>
    <xf numFmtId="0" fontId="6" fillId="0" borderId="15" pivotButton="0" quotePrefix="0" xfId="0"/>
    <xf numFmtId="0" fontId="6" fillId="0" borderId="54" pivotButton="0" quotePrefix="0" xfId="0"/>
    <xf numFmtId="0" fontId="6" fillId="0" borderId="14" pivotButton="0" quotePrefix="0" xfId="0"/>
    <xf numFmtId="0" fontId="6" fillId="0" borderId="69" pivotButton="0" quotePrefix="0" xfId="0"/>
    <xf numFmtId="0" fontId="6" fillId="0" borderId="18" pivotButton="0" quotePrefix="0" xfId="0"/>
    <xf numFmtId="0" fontId="6" fillId="0" borderId="20" pivotButton="0" quotePrefix="0" xfId="0"/>
    <xf numFmtId="0" fontId="6" fillId="0" borderId="80" pivotButton="0" quotePrefix="0" xfId="0"/>
    <xf numFmtId="0" fontId="6" fillId="0" borderId="19" pivotButton="0" quotePrefix="0" xfId="0"/>
    <xf numFmtId="0" fontId="6" fillId="0" borderId="81" pivotButton="0" quotePrefix="0" xfId="0"/>
    <xf numFmtId="0" fontId="3" fillId="0" borderId="0" applyAlignment="1" pivotButton="0" quotePrefix="0" xfId="0">
      <alignment horizontal="center"/>
    </xf>
    <xf numFmtId="0" fontId="0" fillId="0" borderId="0" pivotButton="0" quotePrefix="0" xfId="0"/>
    <xf numFmtId="0" fontId="2" fillId="0" borderId="2" applyAlignment="1" pivotButton="0" quotePrefix="0" xfId="0">
      <alignment horizontal="center"/>
    </xf>
    <xf numFmtId="0" fontId="5" fillId="0" borderId="3" pivotButton="0" quotePrefix="0" xfId="0"/>
    <xf numFmtId="0" fontId="6" fillId="3" borderId="2" applyAlignment="1" pivotButton="0" quotePrefix="0" xfId="0">
      <alignment horizontal="center" vertical="top" wrapText="1"/>
    </xf>
    <xf numFmtId="0" fontId="5" fillId="0" borderId="4" pivotButton="0" quotePrefix="0" xfId="0"/>
    <xf numFmtId="0" fontId="6" fillId="3" borderId="5" applyAlignment="1" pivotButton="0" quotePrefix="0" xfId="0">
      <alignment horizontal="center" vertical="top" wrapText="1"/>
    </xf>
    <xf numFmtId="0" fontId="5" fillId="0" borderId="6" pivotButton="0" quotePrefix="0" xfId="0"/>
    <xf numFmtId="0" fontId="6" fillId="3" borderId="7" applyAlignment="1" pivotButton="0" quotePrefix="0" xfId="0">
      <alignment vertical="top" wrapText="1"/>
    </xf>
    <xf numFmtId="0" fontId="5" fillId="0" borderId="8" pivotButton="0" quotePrefix="0" xfId="0"/>
    <xf numFmtId="0" fontId="5" fillId="0" borderId="9" pivotButton="0" quotePrefix="0" xfId="0"/>
    <xf numFmtId="0" fontId="6" fillId="3" borderId="13" applyAlignment="1" pivotButton="0" quotePrefix="0" xfId="0">
      <alignment vertical="top" wrapText="1"/>
    </xf>
    <xf numFmtId="0" fontId="5" fillId="0" borderId="14" pivotButton="0" quotePrefix="0" xfId="0"/>
    <xf numFmtId="0" fontId="5" fillId="0" borderId="15" pivotButton="0" quotePrefix="0" xfId="0"/>
    <xf numFmtId="0" fontId="6" fillId="3" borderId="18" applyAlignment="1" pivotButton="0" quotePrefix="0" xfId="0">
      <alignment vertical="top" wrapText="1"/>
    </xf>
    <xf numFmtId="0" fontId="5" fillId="0" borderId="19" pivotButton="0" quotePrefix="0" xfId="0"/>
    <xf numFmtId="0" fontId="5" fillId="0" borderId="20" pivotButton="0" quotePrefix="0" xfId="0"/>
    <xf numFmtId="0" fontId="3" fillId="0" borderId="24" applyAlignment="1" pivotButton="0" quotePrefix="0" xfId="0">
      <alignment horizontal="center" vertical="center"/>
    </xf>
    <xf numFmtId="0" fontId="5" fillId="0" borderId="12" pivotButton="0" quotePrefix="0" xfId="0"/>
    <xf numFmtId="0" fontId="5" fillId="0" borderId="25" pivotButton="0" quotePrefix="0" xfId="0"/>
    <xf numFmtId="0" fontId="3" fillId="0" borderId="26" applyAlignment="1" pivotButton="0" quotePrefix="0" xfId="0">
      <alignment horizontal="center" vertical="center" wrapText="1"/>
    </xf>
    <xf numFmtId="0" fontId="5" fillId="0" borderId="27" pivotButton="0" quotePrefix="0" xfId="0"/>
    <xf numFmtId="0" fontId="5" fillId="0" borderId="28" pivotButton="0" quotePrefix="0" xfId="0"/>
    <xf numFmtId="0" fontId="9" fillId="0" borderId="26" applyAlignment="1" pivotButton="0" quotePrefix="0" xfId="0">
      <alignment horizontal="center" vertical="center"/>
    </xf>
    <xf numFmtId="0" fontId="9" fillId="0" borderId="26" applyAlignment="1" pivotButton="0" quotePrefix="0" xfId="0">
      <alignment horizontal="center" vertical="center" wrapText="1"/>
    </xf>
    <xf numFmtId="0" fontId="11" fillId="0" borderId="0" applyAlignment="1" pivotButton="0" quotePrefix="0" xfId="0">
      <alignment horizontal="center"/>
    </xf>
    <xf numFmtId="0" fontId="7" fillId="0" borderId="45" applyAlignment="1" pivotButton="0" quotePrefix="0" xfId="0">
      <alignment horizontal="center"/>
    </xf>
    <xf numFmtId="0" fontId="5" fillId="0" borderId="45" pivotButton="0" quotePrefix="0" xfId="0"/>
    <xf numFmtId="0" fontId="4" fillId="0" borderId="0" applyAlignment="1" pivotButton="0" quotePrefix="0" xfId="0">
      <alignment horizontal="center"/>
    </xf>
    <xf numFmtId="0" fontId="6" fillId="0" borderId="0" applyAlignment="1" pivotButton="0" quotePrefix="0" xfId="0">
      <alignment horizontal="center"/>
    </xf>
    <xf numFmtId="0" fontId="6" fillId="0" borderId="0" applyAlignment="1" pivotButton="0" quotePrefix="0" xfId="0">
      <alignment horizontal="left"/>
    </xf>
    <xf numFmtId="0" fontId="2" fillId="0" borderId="58" applyAlignment="1" pivotButton="0" quotePrefix="0" xfId="0">
      <alignment horizontal="center" wrapText="1"/>
    </xf>
    <xf numFmtId="0" fontId="5" fillId="0" borderId="52" pivotButton="0" quotePrefix="0" xfId="0"/>
    <xf numFmtId="0" fontId="2" fillId="0" borderId="57" applyAlignment="1" pivotButton="0" quotePrefix="0" xfId="0">
      <alignment horizontal="center" wrapText="1"/>
    </xf>
    <xf numFmtId="0" fontId="5" fillId="0" borderId="26" pivotButton="0" quotePrefix="0" xfId="0"/>
    <xf numFmtId="0" fontId="2" fillId="0" borderId="54" applyAlignment="1" pivotButton="0" quotePrefix="0" xfId="0">
      <alignment horizontal="center"/>
    </xf>
    <xf numFmtId="0" fontId="2" fillId="3" borderId="54" applyAlignment="1" pivotButton="0" quotePrefix="0" xfId="0">
      <alignment horizontal="center" vertical="center"/>
    </xf>
    <xf numFmtId="0" fontId="5" fillId="0" borderId="55" pivotButton="0" quotePrefix="0" xfId="0"/>
    <xf numFmtId="0" fontId="2" fillId="0" borderId="56" applyAlignment="1" pivotButton="0" quotePrefix="0" xfId="0">
      <alignment horizontal="center" wrapText="1"/>
    </xf>
    <xf numFmtId="0" fontId="17" fillId="0" borderId="0" applyAlignment="1" pivotButton="0" quotePrefix="0" xfId="0">
      <alignment horizontal="center"/>
    </xf>
    <xf numFmtId="0" fontId="6" fillId="0" borderId="63" applyAlignment="1" pivotButton="0" quotePrefix="0" xfId="0">
      <alignment horizontal="center" vertical="top" wrapText="1"/>
    </xf>
    <xf numFmtId="0" fontId="5" fillId="0" borderId="51" pivotButton="0" quotePrefix="0" xfId="0"/>
    <xf numFmtId="0" fontId="6" fillId="0" borderId="64" applyAlignment="1" pivotButton="0" quotePrefix="0" xfId="0">
      <alignment horizontal="center" vertical="top" wrapText="1"/>
    </xf>
    <xf numFmtId="0" fontId="6" fillId="0" borderId="65" applyAlignment="1" pivotButton="0" quotePrefix="0" xfId="0">
      <alignment horizontal="center" vertical="top" wrapText="1"/>
    </xf>
    <xf numFmtId="0" fontId="5" fillId="0" borderId="66" pivotButton="0" quotePrefix="0" xfId="0"/>
    <xf numFmtId="0" fontId="3" fillId="0" borderId="54" applyAlignment="1" pivotButton="0" quotePrefix="0" xfId="0">
      <alignment horizontal="center"/>
    </xf>
    <xf numFmtId="0" fontId="6" fillId="0" borderId="67" applyAlignment="1" pivotButton="0" quotePrefix="0" xfId="0">
      <alignment horizontal="center" vertical="top" wrapText="1"/>
    </xf>
    <xf numFmtId="0" fontId="5" fillId="0" borderId="53" pivotButton="0" quotePrefix="0" xfId="0"/>
    <xf numFmtId="0" fontId="15" fillId="0" borderId="0" applyAlignment="1" pivotButton="0" quotePrefix="0" xfId="0">
      <alignment horizontal="left"/>
    </xf>
    <xf numFmtId="0" fontId="6" fillId="0" borderId="2" applyAlignment="1" pivotButton="0" quotePrefix="0" xfId="0">
      <alignment horizontal="center" vertical="top" wrapText="1"/>
    </xf>
    <xf numFmtId="0" fontId="6" fillId="0" borderId="5" applyAlignment="1" pivotButton="0" quotePrefix="0" xfId="0">
      <alignment horizontal="center" vertical="top" wrapText="1"/>
    </xf>
    <xf numFmtId="0" fontId="5" fillId="0" borderId="60" pivotButton="0" quotePrefix="0" xfId="0"/>
    <xf numFmtId="0" fontId="6" fillId="0" borderId="68" applyAlignment="1" pivotButton="0" quotePrefix="0" xfId="0">
      <alignment vertical="top" wrapText="1"/>
    </xf>
    <xf numFmtId="0" fontId="6" fillId="0" borderId="13" applyAlignment="1" pivotButton="0" quotePrefix="0" xfId="0">
      <alignment vertical="top" wrapText="1"/>
    </xf>
    <xf numFmtId="0" fontId="6" fillId="0" borderId="0" applyAlignment="1" pivotButton="0" quotePrefix="0" xfId="0">
      <alignment vertical="top" wrapText="1"/>
    </xf>
    <xf numFmtId="0" fontId="6" fillId="0" borderId="18" applyAlignment="1" pivotButton="0" quotePrefix="0" xfId="0">
      <alignment vertical="top" wrapText="1"/>
    </xf>
    <xf numFmtId="0" fontId="6" fillId="0" borderId="24" applyAlignment="1" pivotButton="0" quotePrefix="0" xfId="0">
      <alignment horizontal="left" vertical="top" wrapText="1"/>
    </xf>
    <xf numFmtId="0" fontId="6" fillId="0" borderId="13" applyAlignment="1" pivotButton="0" quotePrefix="0" xfId="0">
      <alignment horizontal="left" vertical="top" wrapText="1"/>
    </xf>
    <xf numFmtId="0" fontId="6" fillId="0" borderId="18" applyAlignment="1" pivotButton="0" quotePrefix="0" xfId="0">
      <alignment horizontal="left" vertical="top" wrapText="1"/>
    </xf>
    <xf numFmtId="0" fontId="20" fillId="0" borderId="0" applyAlignment="1" pivotButton="0" quotePrefix="0" xfId="0">
      <alignment horizontal="center"/>
    </xf>
    <xf numFmtId="0" fontId="7" fillId="0" borderId="0" applyAlignment="1" pivotButton="0" quotePrefix="0" xfId="0">
      <alignment horizontal="center"/>
    </xf>
    <xf numFmtId="0" fontId="6" fillId="0" borderId="24" applyAlignment="1" pivotButton="0" quotePrefix="0" xfId="0">
      <alignment horizontal="center" vertical="top" wrapText="1"/>
    </xf>
    <xf numFmtId="0" fontId="6" fillId="0" borderId="13" applyAlignment="1" pivotButton="0" quotePrefix="0" xfId="0">
      <alignment horizontal="center" vertical="top" wrapText="1"/>
    </xf>
    <xf numFmtId="0" fontId="6" fillId="0" borderId="18" applyAlignment="1" pivotButton="0" quotePrefix="0" xfId="0">
      <alignment horizontal="center" vertical="top" wrapText="1"/>
    </xf>
    <xf numFmtId="0" fontId="3" fillId="0" borderId="54" applyAlignment="1" pivotButton="0" quotePrefix="0" xfId="0">
      <alignment horizontal="left"/>
    </xf>
    <xf numFmtId="0" fontId="6" fillId="0" borderId="71" applyAlignment="1" pivotButton="0" quotePrefix="0" xfId="0">
      <alignment vertical="top"/>
    </xf>
    <xf numFmtId="0" fontId="5" fillId="0" borderId="72" pivotButton="0" quotePrefix="0" xfId="0"/>
    <xf numFmtId="0" fontId="5" fillId="0" borderId="61" pivotButton="0" quotePrefix="0" xfId="0"/>
    <xf numFmtId="0" fontId="6" fillId="0" borderId="78" applyAlignment="1" pivotButton="0" quotePrefix="0" xfId="0">
      <alignment vertical="top"/>
    </xf>
    <xf numFmtId="0" fontId="5" fillId="0" borderId="79" pivotButton="0" quotePrefix="0" xfId="0"/>
    <xf numFmtId="0" fontId="3" fillId="0" borderId="2" applyAlignment="1" pivotButton="0" quotePrefix="0" xfId="0">
      <alignment horizontal="center"/>
    </xf>
    <xf numFmtId="0" fontId="6" fillId="0" borderId="13" applyAlignment="1" pivotButton="0" quotePrefix="0" xfId="0">
      <alignment horizontal="left"/>
    </xf>
    <xf numFmtId="0" fontId="6" fillId="0" borderId="18" applyAlignment="1" pivotButton="0" quotePrefix="0" xfId="0">
      <alignment horizontal="left"/>
    </xf>
    <xf numFmtId="0" fontId="6" fillId="0" borderId="24" applyAlignment="1" pivotButton="0" quotePrefix="0" xfId="0">
      <alignment horizontal="left"/>
    </xf>
    <xf numFmtId="0" fontId="6" fillId="0" borderId="65" applyAlignment="1" pivotButton="0" quotePrefix="0" xfId="0">
      <alignment horizontal="left"/>
    </xf>
    <xf numFmtId="0" fontId="6" fillId="0" borderId="54" applyAlignment="1" pivotButton="0" quotePrefix="0" xfId="0">
      <alignment horizontal="left"/>
    </xf>
    <xf numFmtId="0" fontId="5" fillId="0" borderId="69" pivotButton="0" quotePrefix="0" xfId="0"/>
    <xf numFmtId="0" fontId="6" fillId="0" borderId="80" applyAlignment="1" pivotButton="0" quotePrefix="0" xfId="0">
      <alignment horizontal="left"/>
    </xf>
    <xf numFmtId="0" fontId="5" fillId="0" borderId="81" pivotButton="0" quotePrefix="0" xfId="0"/>
    <xf numFmtId="0" fontId="3" fillId="0" borderId="23" applyAlignment="1" pivotButton="0" quotePrefix="0" xfId="0">
      <alignment horizontal="center"/>
    </xf>
    <xf numFmtId="0" fontId="0" fillId="0" borderId="6" pivotButton="0" quotePrefix="0" xfId="0"/>
    <xf numFmtId="0" fontId="6" fillId="3" borderId="46" applyAlignment="1" pivotButton="0" quotePrefix="0" xfId="0">
      <alignment horizontal="center" vertical="top" wrapText="1"/>
    </xf>
    <xf numFmtId="0" fontId="0" fillId="0" borderId="4" pivotButton="0" quotePrefix="0" xfId="0"/>
    <xf numFmtId="0" fontId="6" fillId="3" borderId="51" applyAlignment="1" pivotButton="0" quotePrefix="0" xfId="0">
      <alignment vertical="top" wrapText="1"/>
    </xf>
    <xf numFmtId="0" fontId="0" fillId="0" borderId="27" pivotButton="0" quotePrefix="0" xfId="0"/>
    <xf numFmtId="0" fontId="0" fillId="0" borderId="28" pivotButton="0" quotePrefix="0" xfId="0"/>
    <xf numFmtId="0" fontId="6" fillId="3" borderId="29" applyAlignment="1" pivotButton="0" quotePrefix="0" xfId="0">
      <alignment vertical="top" wrapText="1"/>
    </xf>
    <xf numFmtId="0" fontId="0" fillId="0" borderId="55" pivotButton="0" quotePrefix="0" xfId="0"/>
    <xf numFmtId="0" fontId="0" fillId="0" borderId="49" pivotButton="0" quotePrefix="0" xfId="0"/>
    <xf numFmtId="0" fontId="6" fillId="3" borderId="31" applyAlignment="1" pivotButton="0" quotePrefix="0" xfId="0">
      <alignment vertical="top" wrapText="1"/>
    </xf>
    <xf numFmtId="0" fontId="0" fillId="0" borderId="22" pivotButton="0" quotePrefix="0" xfId="0"/>
    <xf numFmtId="0" fontId="0" fillId="0" borderId="20" pivotButton="0" quotePrefix="0" xfId="0"/>
    <xf numFmtId="164" fontId="3" fillId="0" borderId="0" pivotButton="0" quotePrefix="0" xfId="0"/>
    <xf numFmtId="0" fontId="3" fillId="0" borderId="86" applyAlignment="1" pivotButton="0" quotePrefix="0" xfId="0">
      <alignment horizontal="center" vertical="center"/>
    </xf>
    <xf numFmtId="0" fontId="0" fillId="0" borderId="12" pivotButton="0" quotePrefix="0" xfId="0"/>
    <xf numFmtId="0" fontId="0" fillId="0" borderId="25" pivotButton="0" quotePrefix="0" xfId="0"/>
    <xf numFmtId="0" fontId="3" fillId="0" borderId="52" applyAlignment="1" pivotButton="0" quotePrefix="0" xfId="0">
      <alignment horizontal="center" vertical="center" wrapText="1"/>
    </xf>
    <xf numFmtId="0" fontId="9" fillId="0" borderId="52" applyAlignment="1" pivotButton="0" quotePrefix="0" xfId="0">
      <alignment horizontal="center" vertical="center"/>
    </xf>
    <xf numFmtId="165" fontId="4" fillId="0" borderId="1" applyAlignment="1" pivotButton="0" quotePrefix="0" xfId="0">
      <alignment wrapText="1"/>
    </xf>
    <xf numFmtId="165" fontId="10" fillId="0" borderId="1" pivotButton="0" quotePrefix="0" xfId="0"/>
    <xf numFmtId="165" fontId="3" fillId="0" borderId="1" pivotButton="0" quotePrefix="0" xfId="0"/>
    <xf numFmtId="165" fontId="10" fillId="0" borderId="0" pivotButton="0" quotePrefix="0" xfId="0"/>
    <xf numFmtId="165" fontId="4" fillId="0" borderId="1" applyAlignment="1" pivotButton="0" quotePrefix="0" xfId="0">
      <alignment vertical="center" wrapText="1"/>
    </xf>
    <xf numFmtId="164" fontId="3" fillId="0" borderId="1" pivotButton="0" quotePrefix="0" xfId="0"/>
    <xf numFmtId="165" fontId="3" fillId="0" borderId="30" pivotButton="0" quotePrefix="0" xfId="0"/>
    <xf numFmtId="165" fontId="3" fillId="0" borderId="32" pivotButton="0" quotePrefix="0" xfId="0"/>
    <xf numFmtId="165" fontId="3" fillId="0" borderId="33" pivotButton="0" quotePrefix="0" xfId="0"/>
    <xf numFmtId="164" fontId="3" fillId="0" borderId="32" pivotButton="0" quotePrefix="0" xfId="0"/>
    <xf numFmtId="165" fontId="3" fillId="0" borderId="0" pivotButton="0" quotePrefix="0" xfId="0"/>
    <xf numFmtId="165" fontId="3" fillId="0" borderId="43" pivotButton="0" quotePrefix="0" xfId="0"/>
    <xf numFmtId="0" fontId="11" fillId="0" borderId="23" applyAlignment="1" pivotButton="0" quotePrefix="0" xfId="0">
      <alignment horizontal="center"/>
    </xf>
    <xf numFmtId="0" fontId="0" fillId="0" borderId="45" pivotButton="0" quotePrefix="0" xfId="0"/>
    <xf numFmtId="166" fontId="4" fillId="5" borderId="1" pivotButton="0" quotePrefix="0" xfId="0"/>
    <xf numFmtId="0" fontId="4" fillId="0" borderId="23" applyAlignment="1" pivotButton="0" quotePrefix="0" xfId="0">
      <alignment horizontal="center"/>
    </xf>
    <xf numFmtId="0" fontId="6" fillId="0" borderId="23" applyAlignment="1" pivotButton="0" quotePrefix="0" xfId="0">
      <alignment horizontal="center"/>
    </xf>
    <xf numFmtId="0" fontId="6" fillId="0" borderId="23" applyAlignment="1" pivotButton="0" quotePrefix="0" xfId="0">
      <alignment horizontal="left"/>
    </xf>
    <xf numFmtId="167" fontId="3" fillId="0" borderId="1" pivotButton="0" quotePrefix="0" xfId="0"/>
    <xf numFmtId="167" fontId="3" fillId="0" borderId="0" pivotButton="0" quotePrefix="0" xfId="0"/>
    <xf numFmtId="0" fontId="2" fillId="3" borderId="1" applyAlignment="1" pivotButton="0" quotePrefix="0" xfId="0">
      <alignment horizontal="center" vertical="center"/>
    </xf>
    <xf numFmtId="0" fontId="2" fillId="0" borderId="26" applyAlignment="1" pivotButton="0" quotePrefix="0" xfId="0">
      <alignment horizontal="center" wrapText="1"/>
    </xf>
    <xf numFmtId="0" fontId="0" fillId="0" borderId="52" pivotButton="0" quotePrefix="0" xfId="0"/>
    <xf numFmtId="0" fontId="0" fillId="0" borderId="26" pivotButton="0" quotePrefix="0" xfId="0"/>
    <xf numFmtId="0" fontId="17" fillId="0" borderId="23" applyAlignment="1" pivotButton="0" quotePrefix="0" xfId="0">
      <alignment horizontal="center"/>
    </xf>
    <xf numFmtId="0" fontId="6" fillId="0" borderId="42" applyAlignment="1" pivotButton="0" quotePrefix="0" xfId="0">
      <alignment horizontal="center" vertical="top" wrapText="1"/>
    </xf>
    <xf numFmtId="0" fontId="6" fillId="0" borderId="43" applyAlignment="1" pivotButton="0" quotePrefix="0" xfId="0">
      <alignment horizontal="center" vertical="top" wrapText="1"/>
    </xf>
    <xf numFmtId="0" fontId="0" fillId="0" borderId="66" pivotButton="0" quotePrefix="0" xfId="0"/>
    <xf numFmtId="0" fontId="0" fillId="0" borderId="51" pivotButton="0" quotePrefix="0" xfId="0"/>
    <xf numFmtId="0" fontId="0" fillId="0" borderId="53" pivotButton="0" quotePrefix="0" xfId="0"/>
    <xf numFmtId="168" fontId="3" fillId="0" borderId="0" pivotButton="0" quotePrefix="0" xfId="0"/>
    <xf numFmtId="0" fontId="15" fillId="0" borderId="23" applyAlignment="1" pivotButton="0" quotePrefix="0" xfId="0">
      <alignment horizontal="left"/>
    </xf>
    <xf numFmtId="0" fontId="6" fillId="0" borderId="46" applyAlignment="1" pivotButton="0" quotePrefix="0" xfId="0">
      <alignment horizontal="center" vertical="top" wrapText="1"/>
    </xf>
    <xf numFmtId="0" fontId="6" fillId="0" borderId="48" applyAlignment="1" pivotButton="0" quotePrefix="0" xfId="0">
      <alignment horizontal="center" vertical="top" wrapText="1"/>
    </xf>
    <xf numFmtId="0" fontId="0" fillId="0" borderId="70" pivotButton="0" quotePrefix="0" xfId="0"/>
    <xf numFmtId="0" fontId="6" fillId="0" borderId="51" applyAlignment="1" pivotButton="0" quotePrefix="0" xfId="0">
      <alignment vertical="top" wrapText="1"/>
    </xf>
    <xf numFmtId="164" fontId="4" fillId="0" borderId="1" pivotButton="0" quotePrefix="0" xfId="0"/>
    <xf numFmtId="0" fontId="6" fillId="0" borderId="23" applyAlignment="1" pivotButton="0" quotePrefix="0" xfId="0">
      <alignment vertical="top" wrapText="1"/>
    </xf>
    <xf numFmtId="0" fontId="6" fillId="0" borderId="42" applyAlignment="1" pivotButton="0" quotePrefix="0" xfId="0">
      <alignment horizontal="left" vertical="top" wrapText="1"/>
    </xf>
    <xf numFmtId="169" fontId="3" fillId="0" borderId="0" pivotButton="0" quotePrefix="0" xfId="0"/>
    <xf numFmtId="0" fontId="6" fillId="0" borderId="29" applyAlignment="1" pivotButton="0" quotePrefix="0" xfId="0">
      <alignment horizontal="left" vertical="top" wrapText="1"/>
    </xf>
    <xf numFmtId="164" fontId="6" fillId="0" borderId="30" applyAlignment="1" pivotButton="0" quotePrefix="0" xfId="0">
      <alignment vertical="top" wrapText="1"/>
    </xf>
    <xf numFmtId="0" fontId="6" fillId="0" borderId="31" applyAlignment="1" pivotButton="0" quotePrefix="0" xfId="0">
      <alignment horizontal="left" vertical="top" wrapText="1"/>
    </xf>
    <xf numFmtId="0" fontId="20" fillId="0" borderId="23" applyAlignment="1" pivotButton="0" quotePrefix="0" xfId="0">
      <alignment horizontal="center"/>
    </xf>
    <xf numFmtId="0" fontId="7" fillId="0" borderId="23" applyAlignment="1" pivotButton="0" quotePrefix="0" xfId="0">
      <alignment horizontal="center"/>
    </xf>
    <xf numFmtId="0" fontId="6" fillId="0" borderId="31" applyAlignment="1" pivotButton="0" quotePrefix="0" xfId="0">
      <alignment horizontal="center" vertical="top" wrapText="1"/>
    </xf>
    <xf numFmtId="170" fontId="22" fillId="0" borderId="0" applyAlignment="1" pivotButton="0" quotePrefix="0" xfId="0">
      <alignment vertical="top" wrapText="1"/>
    </xf>
    <xf numFmtId="164" fontId="7" fillId="3" borderId="70" applyAlignment="1" pivotButton="0" quotePrefix="0" xfId="0">
      <alignment horizontal="center" vertical="top"/>
    </xf>
    <xf numFmtId="164" fontId="7" fillId="0" borderId="60" applyAlignment="1" pivotButton="0" quotePrefix="0" xfId="0">
      <alignment horizontal="center" vertical="top"/>
    </xf>
    <xf numFmtId="164" fontId="6" fillId="0" borderId="30" applyAlignment="1" pivotButton="0" quotePrefix="0" xfId="0">
      <alignment vertical="top"/>
    </xf>
    <xf numFmtId="164" fontId="6" fillId="0" borderId="62" applyAlignment="1" pivotButton="0" quotePrefix="0" xfId="0">
      <alignment vertical="top"/>
    </xf>
    <xf numFmtId="0" fontId="6" fillId="0" borderId="59" applyAlignment="1" pivotButton="0" quotePrefix="0" xfId="0">
      <alignment vertical="top"/>
    </xf>
    <xf numFmtId="164" fontId="6" fillId="0" borderId="71" applyAlignment="1" pivotButton="0" quotePrefix="0" xfId="0">
      <alignment vertical="top"/>
    </xf>
    <xf numFmtId="0" fontId="0" fillId="0" borderId="72" pivotButton="0" quotePrefix="0" xfId="0"/>
    <xf numFmtId="164" fontId="6" fillId="0" borderId="72" applyAlignment="1" pivotButton="0" quotePrefix="0" xfId="0">
      <alignment vertical="top"/>
    </xf>
    <xf numFmtId="0" fontId="0" fillId="0" borderId="61" pivotButton="0" quotePrefix="0" xfId="0"/>
    <xf numFmtId="164" fontId="6" fillId="0" borderId="61" applyAlignment="1" pivotButton="0" quotePrefix="0" xfId="0">
      <alignment vertical="top"/>
    </xf>
    <xf numFmtId="164" fontId="6" fillId="6" borderId="30" applyAlignment="1" pivotButton="0" quotePrefix="0" xfId="0">
      <alignment vertical="top"/>
    </xf>
    <xf numFmtId="164" fontId="6" fillId="6" borderId="75" applyAlignment="1" pivotButton="0" quotePrefix="0" xfId="0">
      <alignment vertical="top"/>
    </xf>
    <xf numFmtId="164" fontId="6" fillId="6" borderId="76" applyAlignment="1" pivotButton="0" quotePrefix="0" xfId="0">
      <alignment vertical="top"/>
    </xf>
    <xf numFmtId="164" fontId="2" fillId="0" borderId="33" pivotButton="0" quotePrefix="0" xfId="0"/>
    <xf numFmtId="164" fontId="2" fillId="0" borderId="62" pivotButton="0" quotePrefix="0" xfId="0"/>
    <xf numFmtId="164" fontId="2" fillId="0" borderId="0" pivotButton="0" quotePrefix="0" xfId="0"/>
    <xf numFmtId="164" fontId="7" fillId="0" borderId="48" applyAlignment="1" pivotButton="0" quotePrefix="0" xfId="0">
      <alignment horizontal="center" vertical="top"/>
    </xf>
    <xf numFmtId="43" fontId="7" fillId="0" borderId="60" applyAlignment="1" pivotButton="0" quotePrefix="0" xfId="0">
      <alignment horizontal="center" vertical="top"/>
    </xf>
    <xf numFmtId="164" fontId="6" fillId="0" borderId="53" applyAlignment="1" pivotButton="0" quotePrefix="0" xfId="0">
      <alignment vertical="top"/>
    </xf>
    <xf numFmtId="43" fontId="6" fillId="0" borderId="62" applyAlignment="1" pivotButton="0" quotePrefix="0" xfId="0">
      <alignment vertical="top"/>
    </xf>
    <xf numFmtId="0" fontId="0" fillId="0" borderId="79" pivotButton="0" quotePrefix="0" xfId="0"/>
    <xf numFmtId="43" fontId="6" fillId="6" borderId="76" applyAlignment="1" pivotButton="0" quotePrefix="0" xfId="0">
      <alignment vertical="top"/>
    </xf>
    <xf numFmtId="43" fontId="3" fillId="0" borderId="62" pivotButton="0" quotePrefix="0" xfId="0"/>
    <xf numFmtId="43" fontId="3" fillId="0" borderId="0" pivotButton="0" quotePrefix="0" xfId="0"/>
    <xf numFmtId="0" fontId="6" fillId="0" borderId="42" applyAlignment="1" pivotButton="0" quotePrefix="0" xfId="0">
      <alignment horizontal="left"/>
    </xf>
    <xf numFmtId="0" fontId="6" fillId="0" borderId="44" applyAlignment="1" pivotButton="0" quotePrefix="0" xfId="0">
      <alignment horizontal="left"/>
    </xf>
    <xf numFmtId="0" fontId="6" fillId="0" borderId="29" applyAlignment="1" pivotButton="0" quotePrefix="0" xfId="0">
      <alignment horizontal="left"/>
    </xf>
    <xf numFmtId="0" fontId="6" fillId="0" borderId="30" applyAlignment="1" pivotButton="0" quotePrefix="0" xfId="0">
      <alignment horizontal="left"/>
    </xf>
    <xf numFmtId="0" fontId="0" fillId="0" borderId="69" pivotButton="0" quotePrefix="0" xfId="0"/>
    <xf numFmtId="0" fontId="6" fillId="0" borderId="31" applyAlignment="1" pivotButton="0" quotePrefix="0" xfId="0">
      <alignment horizontal="left"/>
    </xf>
    <xf numFmtId="0" fontId="6" fillId="0" borderId="33" applyAlignment="1" pivotButton="0" quotePrefix="0" xfId="0">
      <alignment horizontal="left"/>
    </xf>
    <xf numFmtId="0" fontId="0" fillId="0" borderId="81" pivotButton="0" quotePrefix="0" xfId="0"/>
    <xf numFmtId="164" fontId="6" fillId="0" borderId="73" applyAlignment="1" pivotButton="0" quotePrefix="0" xfId="0">
      <alignment vertical="top"/>
    </xf>
    <xf numFmtId="164" fontId="3" fillId="0" borderId="6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s>
  <commentList>
    <comment ref="J52" authorId="0" shapeId="0">
      <text>
        <t>======
ID#AAABqJMoEqo
encon-pr07    (2025-08-28 12:15:57)
encon-pr07:</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0B050"/>
    <outlinePr summaryBelow="1" summaryRight="1"/>
    <pageSetUpPr/>
  </sheetPr>
  <dimension ref="A1:X1000"/>
  <sheetViews>
    <sheetView topLeftCell="A13" workbookViewId="0">
      <selection activeCell="D37" sqref="D37"/>
    </sheetView>
  </sheetViews>
  <sheetFormatPr baseColWidth="8" defaultColWidth="14.44140625" defaultRowHeight="15" customHeight="1"/>
  <cols>
    <col width="3" customWidth="1" style="307" min="1" max="1"/>
    <col width="24" customWidth="1" style="307" min="2" max="2"/>
    <col width="14.44140625" customWidth="1" style="307" min="3" max="3"/>
    <col width="16.33203125" customWidth="1" style="307" min="4" max="4"/>
    <col width="8.6640625" customWidth="1" style="307" min="5" max="5"/>
    <col width="3" customWidth="1" style="307" min="6" max="6"/>
    <col width="24" customWidth="1" style="307" min="7" max="7"/>
    <col width="6" customWidth="1" style="307" min="8" max="8"/>
    <col width="8.6640625" customWidth="1" style="307" min="9" max="9"/>
    <col width="41.33203125" customWidth="1" style="307" min="10" max="10"/>
    <col width="10" customWidth="1" style="307" min="11" max="11"/>
    <col width="8.6640625" customWidth="1" style="307" min="12" max="12"/>
    <col width="14.109375" customWidth="1" style="307" min="13" max="13"/>
    <col width="9.109375" customWidth="1" style="307" min="14" max="14"/>
    <col width="10.109375" customWidth="1" style="307" min="15" max="15"/>
    <col width="8.6640625" customWidth="1" style="307" min="16" max="19"/>
    <col width="10.109375" customWidth="1" style="307" min="20" max="20"/>
    <col width="17.6640625" customWidth="1" style="307" min="21" max="21"/>
    <col width="8.6640625" customWidth="1" style="307" min="22" max="26"/>
  </cols>
  <sheetData>
    <row r="1" ht="14.4" customHeight="1" s="307">
      <c r="A1" s="1" t="inlineStr">
        <is>
          <t>Price List Data 17-07-21</t>
        </is>
      </c>
      <c r="C1" s="2" t="inlineStr">
        <is>
          <t>Price june 2025</t>
        </is>
      </c>
      <c r="D1" s="2" t="inlineStr">
        <is>
          <t>Previous Price</t>
        </is>
      </c>
      <c r="N1" s="3" t="n"/>
      <c r="U1" s="3" t="n"/>
    </row>
    <row r="2" ht="14.4" customHeight="1" s="307">
      <c r="N2" s="3" t="n"/>
      <c r="U2" s="3" t="n"/>
    </row>
    <row r="3" ht="14.4" customHeight="1" s="307">
      <c r="A3" s="4" t="n">
        <v>1</v>
      </c>
      <c r="B3" s="4" t="inlineStr">
        <is>
          <t>C.I. Gills</t>
        </is>
      </c>
      <c r="C3" s="5" t="n">
        <v>170</v>
      </c>
      <c r="D3" s="4" t="n">
        <v>170</v>
      </c>
      <c r="J3" s="385" t="inlineStr">
        <is>
          <t>Bought Out Items</t>
        </is>
      </c>
      <c r="P3" s="308" t="inlineStr">
        <is>
          <t>ENCON PURCHASE PRICE</t>
        </is>
      </c>
      <c r="Q3" s="386" t="n"/>
      <c r="R3" s="386" t="n"/>
      <c r="S3" s="386" t="n"/>
      <c r="T3" s="386" t="n"/>
      <c r="U3" s="7" t="n"/>
    </row>
    <row r="4" ht="15.6" customHeight="1" s="307">
      <c r="A4" s="4" t="n">
        <v>2</v>
      </c>
      <c r="B4" s="4" t="inlineStr">
        <is>
          <t>C.I. Hub</t>
        </is>
      </c>
      <c r="C4" s="5" t="n">
        <v>375</v>
      </c>
      <c r="D4" s="4" t="n">
        <v>375</v>
      </c>
      <c r="K4" s="2" t="inlineStr">
        <is>
          <t>Price 2025</t>
        </is>
      </c>
      <c r="M4" s="2" t="inlineStr">
        <is>
          <t>Previous price</t>
        </is>
      </c>
      <c r="N4" s="3" t="n"/>
      <c r="P4" s="387" t="inlineStr">
        <is>
          <t>ITEM</t>
        </is>
      </c>
      <c r="Q4" s="386" t="n"/>
      <c r="R4" s="388" t="n"/>
      <c r="S4" s="312" t="inlineStr">
        <is>
          <t>PRICE (Rs.) 2025</t>
        </is>
      </c>
      <c r="T4" s="386" t="n"/>
      <c r="U4" s="8" t="inlineStr">
        <is>
          <t>previous price</t>
        </is>
      </c>
    </row>
    <row r="5" ht="15.6" customHeight="1" s="307">
      <c r="A5" s="4" t="n">
        <v>3</v>
      </c>
      <c r="B5" s="4" t="inlineStr">
        <is>
          <t>Coupling</t>
        </is>
      </c>
      <c r="C5" s="4" t="n">
        <v>350</v>
      </c>
      <c r="D5" s="4" t="n">
        <v>250</v>
      </c>
      <c r="J5" s="1" t="inlineStr">
        <is>
          <t>Casting Burner Parts</t>
        </is>
      </c>
      <c r="K5" s="1" t="n">
        <v>100</v>
      </c>
      <c r="L5" s="1" t="inlineStr">
        <is>
          <t>Per Kg</t>
        </is>
      </c>
      <c r="M5" s="3" t="n">
        <v>90</v>
      </c>
      <c r="N5" s="3" t="n"/>
      <c r="P5" s="389" t="inlineStr">
        <is>
          <t>SEQUENCE CONTROLLER</t>
        </is>
      </c>
      <c r="Q5" s="390" t="n"/>
      <c r="R5" s="391" t="n"/>
      <c r="S5" s="9" t="n"/>
      <c r="T5" s="10" t="n">
        <v>10640</v>
      </c>
      <c r="U5" s="11" t="n">
        <v>5935.4</v>
      </c>
    </row>
    <row r="6" ht="15.6" customHeight="1" s="307">
      <c r="A6" s="4" t="n">
        <v>4</v>
      </c>
      <c r="B6" s="4" t="inlineStr">
        <is>
          <t xml:space="preserve">Hardware Bolt  </t>
        </is>
      </c>
      <c r="C6" s="12" t="n">
        <v>150</v>
      </c>
      <c r="D6" s="13" t="n">
        <v>150</v>
      </c>
      <c r="J6" s="1" t="inlineStr">
        <is>
          <t>SS Assly 2A/3A</t>
        </is>
      </c>
      <c r="K6" s="1" t="n">
        <v>2500</v>
      </c>
      <c r="M6" s="3" t="n">
        <v>2300</v>
      </c>
      <c r="N6" s="3" t="n"/>
      <c r="P6" s="392" t="inlineStr">
        <is>
          <t>VACUUM SWITCH</t>
        </is>
      </c>
      <c r="Q6" s="393" t="n"/>
      <c r="R6" s="394" t="n"/>
      <c r="S6" s="14" t="n"/>
      <c r="T6" s="15" t="n">
        <v>1200</v>
      </c>
      <c r="U6" s="16" t="n">
        <v>882</v>
      </c>
    </row>
    <row r="7" ht="15.6" customHeight="1" s="307">
      <c r="A7" s="4" t="n">
        <v>5</v>
      </c>
      <c r="B7" s="4" t="inlineStr">
        <is>
          <t>M.S. Angle 100,100</t>
        </is>
      </c>
      <c r="C7" s="12" t="n">
        <v>71</v>
      </c>
      <c r="D7" s="13" t="n">
        <v>71</v>
      </c>
      <c r="J7" s="1" t="inlineStr">
        <is>
          <t>SS Assly 4A</t>
        </is>
      </c>
      <c r="K7" s="1" t="n">
        <v>2600</v>
      </c>
      <c r="M7" s="3" t="n">
        <v>2400</v>
      </c>
      <c r="N7" s="3" t="n"/>
      <c r="P7" s="392" t="inlineStr">
        <is>
          <t>ARE-13 Burner Alone</t>
        </is>
      </c>
      <c r="Q7" s="393" t="n"/>
      <c r="R7" s="394" t="n"/>
      <c r="S7" s="14" t="n"/>
      <c r="T7" s="15" t="n">
        <v>30000</v>
      </c>
      <c r="U7" s="16" t="n">
        <v>21550</v>
      </c>
    </row>
    <row r="8" ht="15.6" customHeight="1" s="307">
      <c r="A8" s="4" t="n">
        <v>6</v>
      </c>
      <c r="B8" s="4" t="inlineStr">
        <is>
          <t>M.S. Angle 50*6</t>
        </is>
      </c>
      <c r="C8" s="12" t="n">
        <v>71</v>
      </c>
      <c r="D8" s="13" t="n">
        <v>71</v>
      </c>
      <c r="J8" s="1" t="inlineStr">
        <is>
          <t>SS Assly 5A/6A</t>
        </is>
      </c>
      <c r="K8" s="1" t="n">
        <v>5000</v>
      </c>
      <c r="M8" s="3" t="n">
        <v>4500</v>
      </c>
      <c r="N8" s="3" t="n"/>
      <c r="P8" s="392" t="inlineStr">
        <is>
          <t>ARE-22 Burner Alone</t>
        </is>
      </c>
      <c r="Q8" s="393" t="n"/>
      <c r="R8" s="394" t="n"/>
      <c r="S8" s="14" t="n"/>
      <c r="T8" s="15" t="n">
        <v>34400</v>
      </c>
      <c r="U8" s="16" t="n">
        <v>32623</v>
      </c>
    </row>
    <row r="9" ht="15.6" customHeight="1" s="307">
      <c r="A9" s="4" t="n">
        <v>7</v>
      </c>
      <c r="B9" s="4" t="inlineStr">
        <is>
          <t>M.S. Angle 65,50</t>
        </is>
      </c>
      <c r="C9" s="12" t="n">
        <v>71</v>
      </c>
      <c r="D9" s="13" t="n">
        <v>71</v>
      </c>
      <c r="J9" s="1" t="inlineStr">
        <is>
          <t>SS Assly 7A</t>
        </is>
      </c>
      <c r="K9" s="1" t="n">
        <v>26000</v>
      </c>
      <c r="M9" s="3" t="n">
        <v>23000</v>
      </c>
      <c r="N9" s="3" t="n"/>
      <c r="P9" s="392" t="inlineStr">
        <is>
          <t>ARE-35 Burner Alone</t>
        </is>
      </c>
      <c r="Q9" s="393" t="n"/>
      <c r="R9" s="394" t="n"/>
      <c r="S9" s="14" t="n"/>
      <c r="T9" s="15" t="n">
        <v>49000</v>
      </c>
      <c r="U9" s="15">
        <f>(27497/76.9)*79*1.4</f>
        <v/>
      </c>
    </row>
    <row r="10" ht="15.6" customHeight="1" s="307">
      <c r="A10" s="4" t="n">
        <v>8</v>
      </c>
      <c r="B10" s="4" t="inlineStr">
        <is>
          <t>M.S. Chanel</t>
        </is>
      </c>
      <c r="C10" s="12" t="n">
        <v>71</v>
      </c>
      <c r="D10" s="13" t="n">
        <v>71</v>
      </c>
      <c r="J10" s="1" t="inlineStr">
        <is>
          <t>Micro Valve 2A/3A</t>
        </is>
      </c>
      <c r="K10" s="1" t="n">
        <v>2300</v>
      </c>
      <c r="M10" s="3" t="n">
        <v>2075</v>
      </c>
      <c r="N10" s="3" t="n"/>
      <c r="P10" s="392" t="inlineStr">
        <is>
          <t>ARE-50 Burner Alone</t>
        </is>
      </c>
      <c r="Q10" s="393" t="n"/>
      <c r="R10" s="394" t="n"/>
      <c r="S10" s="14" t="n"/>
      <c r="T10" s="15" t="n">
        <v>50000</v>
      </c>
      <c r="U10" s="16" t="n">
        <v>38000</v>
      </c>
      <c r="X10" s="1" t="n">
        <v>35000</v>
      </c>
    </row>
    <row r="11" ht="15.6" customHeight="1" s="307">
      <c r="A11" s="4" t="n">
        <v>9</v>
      </c>
      <c r="B11" s="4" t="inlineStr">
        <is>
          <t>M.S. Flat</t>
        </is>
      </c>
      <c r="C11" s="12" t="n">
        <v>71</v>
      </c>
      <c r="D11" s="13" t="n">
        <v>71</v>
      </c>
      <c r="J11" s="1" t="inlineStr">
        <is>
          <t>Micro Valve 4A</t>
        </is>
      </c>
      <c r="K11" s="3" t="n">
        <v>2300</v>
      </c>
      <c r="M11" s="3" t="n">
        <v>2075</v>
      </c>
      <c r="N11" s="3" t="n"/>
      <c r="P11" s="392" t="inlineStr">
        <is>
          <t>ID FAN (ARE 13 &amp; ARE 22)</t>
        </is>
      </c>
      <c r="Q11" s="393" t="n"/>
      <c r="R11" s="394" t="n"/>
      <c r="S11" s="14" t="n"/>
      <c r="T11" s="15" t="n">
        <v>14000</v>
      </c>
      <c r="U11" s="16" t="n">
        <v>10278.46</v>
      </c>
    </row>
    <row r="12" ht="15.6" customHeight="1" s="307">
      <c r="A12" s="4" t="n">
        <v>10</v>
      </c>
      <c r="B12" s="4" t="inlineStr">
        <is>
          <t>M.S. Plate 16mm* 5mm</t>
        </is>
      </c>
      <c r="C12" s="12" t="n">
        <v>72</v>
      </c>
      <c r="D12" s="13" t="n">
        <v>72</v>
      </c>
      <c r="J12" s="1" t="inlineStr">
        <is>
          <t>Micro Valve 5A/6A</t>
        </is>
      </c>
      <c r="K12" s="3" t="n">
        <v>2300</v>
      </c>
      <c r="M12" s="3" t="n">
        <v>2075</v>
      </c>
      <c r="N12" s="3" t="n"/>
      <c r="P12" s="392" t="inlineStr">
        <is>
          <t>ID FAN  (ARE 35)</t>
        </is>
      </c>
      <c r="Q12" s="393" t="n"/>
      <c r="R12" s="394" t="n"/>
      <c r="S12" s="14" t="n"/>
      <c r="T12" s="15" t="n">
        <v>15247</v>
      </c>
      <c r="U12" s="16" t="n">
        <v>10877.7</v>
      </c>
    </row>
    <row r="13" ht="15.6" customHeight="1" s="307">
      <c r="A13" s="4" t="n">
        <v>11</v>
      </c>
      <c r="B13" s="4" t="inlineStr">
        <is>
          <t>M.S. Plate 16mm*10mm</t>
        </is>
      </c>
      <c r="C13" s="12" t="n">
        <v>72</v>
      </c>
      <c r="D13" s="13" t="n">
        <v>72</v>
      </c>
      <c r="J13" s="1" t="inlineStr">
        <is>
          <t>Micro Valve 7A</t>
        </is>
      </c>
      <c r="K13" s="1" t="n">
        <v>2500</v>
      </c>
      <c r="M13" s="3" t="n">
        <v>2125</v>
      </c>
      <c r="N13" s="3" t="n"/>
      <c r="P13" s="392" t="inlineStr">
        <is>
          <t>ID FAN (HEAVY DUTY)</t>
        </is>
      </c>
      <c r="Q13" s="393" t="n"/>
      <c r="R13" s="394" t="n"/>
      <c r="S13" s="14" t="n"/>
      <c r="T13" s="15" t="n">
        <v>25550</v>
      </c>
      <c r="U13" s="16" t="n">
        <v>19254</v>
      </c>
    </row>
    <row r="14" ht="15.6" customHeight="1" s="307">
      <c r="A14" s="4" t="n">
        <v>12</v>
      </c>
      <c r="B14" s="4" t="inlineStr">
        <is>
          <t>M.S. Plate 5mm</t>
        </is>
      </c>
      <c r="C14" s="12" t="n">
        <v>72</v>
      </c>
      <c r="D14" s="13" t="n">
        <v>72</v>
      </c>
      <c r="H14" s="3" t="n"/>
      <c r="I14" s="3" t="n"/>
      <c r="J14" s="17" t="inlineStr">
        <is>
          <t>FLEXIBLE HOSE-15NB*750MM (OIL )</t>
        </is>
      </c>
      <c r="K14" s="3" t="n">
        <v>590</v>
      </c>
      <c r="M14" s="3" t="n">
        <v>590</v>
      </c>
      <c r="N14" s="3" t="n"/>
      <c r="P14" s="392" t="inlineStr">
        <is>
          <t>ID FAN (TYPE O FAN)</t>
        </is>
      </c>
      <c r="Q14" s="393" t="n"/>
      <c r="R14" s="394" t="n"/>
      <c r="S14" s="14" t="n"/>
      <c r="T14" s="15" t="n">
        <v>45000</v>
      </c>
      <c r="U14" s="16" t="n">
        <v>41236</v>
      </c>
      <c r="V14" s="1" t="inlineStr">
        <is>
          <t>Check this fig</t>
        </is>
      </c>
    </row>
    <row r="15" ht="15.6" customHeight="1" s="307">
      <c r="A15" s="4" t="n">
        <v>13</v>
      </c>
      <c r="B15" s="4" t="inlineStr">
        <is>
          <t>M.S. Plate 8mm</t>
        </is>
      </c>
      <c r="C15" s="12" t="n">
        <v>72</v>
      </c>
      <c r="D15" s="13" t="n">
        <v>72</v>
      </c>
      <c r="H15" s="3" t="n"/>
      <c r="I15" s="3" t="n"/>
      <c r="J15" s="17" t="inlineStr">
        <is>
          <t>FLEXIBLE HOSE-15NB*1000MM (OIL )</t>
        </is>
      </c>
      <c r="K15" s="3" t="n">
        <v>750</v>
      </c>
      <c r="M15" s="3" t="n">
        <v>750</v>
      </c>
      <c r="N15" s="3" t="n"/>
      <c r="P15" s="392" t="inlineStr">
        <is>
          <t xml:space="preserve">SOLENOID VALVE UNIT </t>
        </is>
      </c>
      <c r="Q15" s="393" t="n"/>
      <c r="R15" s="394" t="n"/>
      <c r="S15" s="14" t="n"/>
      <c r="T15" s="15" t="n">
        <v>8000</v>
      </c>
      <c r="U15" s="16" t="n">
        <v>4744</v>
      </c>
      <c r="X15" s="1">
        <f>3389*1.4</f>
        <v/>
      </c>
    </row>
    <row r="16" ht="15.6" customHeight="1" s="307">
      <c r="A16" s="4" t="n">
        <v>14</v>
      </c>
      <c r="B16" s="4" t="inlineStr">
        <is>
          <t>M.S. Round</t>
        </is>
      </c>
      <c r="C16" s="12" t="n">
        <v>72</v>
      </c>
      <c r="D16" s="13" t="n">
        <v>72</v>
      </c>
      <c r="H16" s="3" t="n"/>
      <c r="I16" s="3" t="n"/>
      <c r="J16" s="17" t="inlineStr">
        <is>
          <t>FLEXIBLE HOSE-20NB*1000MM (OIL )</t>
        </is>
      </c>
      <c r="K16" s="3" t="n">
        <v>800</v>
      </c>
      <c r="M16" s="3" t="n">
        <v>800</v>
      </c>
      <c r="N16" s="3" t="n"/>
      <c r="P16" s="392" t="inlineStr">
        <is>
          <t>ELECTRODE ASSEMBLY</t>
        </is>
      </c>
      <c r="Q16" s="393" t="n"/>
      <c r="R16" s="394" t="n"/>
      <c r="S16" s="14" t="n"/>
      <c r="T16" s="15" t="n">
        <v>2200</v>
      </c>
      <c r="U16" s="16" t="n">
        <v>560</v>
      </c>
    </row>
    <row r="17" ht="15.6" customHeight="1" s="307">
      <c r="A17" s="4" t="n">
        <v>15</v>
      </c>
      <c r="B17" s="4" t="inlineStr">
        <is>
          <t>M.S. Sheet  2mm</t>
        </is>
      </c>
      <c r="C17" s="12" t="n">
        <v>77</v>
      </c>
      <c r="D17" s="13" t="n">
        <v>77</v>
      </c>
      <c r="H17" s="3" t="n"/>
      <c r="I17" s="3" t="n"/>
      <c r="J17" s="17" t="inlineStr">
        <is>
          <t>FLEXIBLE HOSE-25NB*1000MM (AIR )</t>
        </is>
      </c>
      <c r="K17" s="3" t="n">
        <v>1100</v>
      </c>
      <c r="M17" s="3" t="n">
        <v>1100</v>
      </c>
      <c r="N17" s="3" t="n"/>
      <c r="P17" s="392" t="inlineStr">
        <is>
          <t>NOISE FILTER</t>
        </is>
      </c>
      <c r="Q17" s="393" t="n"/>
      <c r="R17" s="394" t="n"/>
      <c r="S17" s="14" t="n"/>
      <c r="T17" s="15" t="n">
        <v>400</v>
      </c>
      <c r="U17" s="16" t="n">
        <v>250</v>
      </c>
    </row>
    <row r="18" ht="15.6" customHeight="1" s="307">
      <c r="A18" s="4" t="n">
        <v>16</v>
      </c>
      <c r="B18" s="4" t="inlineStr">
        <is>
          <t>M.S. Sheet  3mm</t>
        </is>
      </c>
      <c r="C18" s="12" t="n">
        <v>77</v>
      </c>
      <c r="D18" s="13" t="n">
        <v>77</v>
      </c>
      <c r="H18" s="3" t="n"/>
      <c r="I18" s="3" t="n"/>
      <c r="J18" s="17" t="inlineStr">
        <is>
          <t>ADOPTER 15NB*20NB (OIL)</t>
        </is>
      </c>
      <c r="K18" s="3" t="n">
        <v>30</v>
      </c>
      <c r="M18" s="3" t="n">
        <v>30</v>
      </c>
      <c r="N18" s="3" t="n"/>
      <c r="P18" s="395" t="inlineStr">
        <is>
          <t>INPUT SOCKET</t>
        </is>
      </c>
      <c r="Q18" s="396" t="n"/>
      <c r="R18" s="397" t="n"/>
      <c r="S18" s="18" t="n"/>
      <c r="T18" s="19" t="n">
        <v>1070</v>
      </c>
      <c r="U18" s="20" t="n">
        <v>280</v>
      </c>
    </row>
    <row r="19" ht="14.4" customHeight="1" s="307">
      <c r="A19" s="4" t="n">
        <v>17</v>
      </c>
      <c r="B19" s="4" t="inlineStr">
        <is>
          <t>M.S. Sheet 4mm</t>
        </is>
      </c>
      <c r="C19" s="12" t="n">
        <v>72</v>
      </c>
      <c r="D19" s="13" t="n">
        <v>72</v>
      </c>
      <c r="H19" s="3" t="n"/>
      <c r="I19" s="3" t="n"/>
      <c r="J19" s="17" t="inlineStr">
        <is>
          <t>ADOPTER 15NB*15NB (AIR)</t>
        </is>
      </c>
      <c r="K19" s="3" t="n">
        <v>30</v>
      </c>
      <c r="M19" s="3" t="n">
        <v>30</v>
      </c>
      <c r="N19" s="3" t="n"/>
      <c r="U19" s="3" t="n"/>
    </row>
    <row r="20" ht="14.4" customHeight="1" s="307">
      <c r="A20" s="4" t="n">
        <v>18</v>
      </c>
      <c r="B20" s="4" t="inlineStr">
        <is>
          <t>M.S. Sheet 5mm</t>
        </is>
      </c>
      <c r="C20" s="12" t="n">
        <v>72</v>
      </c>
      <c r="D20" s="13" t="n">
        <v>72</v>
      </c>
      <c r="M20" s="3" t="n"/>
      <c r="N20" s="3" t="n"/>
      <c r="U20" s="3" t="n"/>
    </row>
    <row r="21" ht="15.75" customHeight="1" s="307">
      <c r="A21" s="4" t="n">
        <v>19</v>
      </c>
      <c r="B21" s="4" t="inlineStr">
        <is>
          <t>M.S. Sheet 8mm</t>
        </is>
      </c>
      <c r="C21" s="12" t="n">
        <v>72</v>
      </c>
      <c r="D21" s="13" t="n">
        <v>72</v>
      </c>
      <c r="J21" s="21" t="inlineStr">
        <is>
          <t>Butterfly Valve 2.5"</t>
        </is>
      </c>
      <c r="K21" s="1" t="n">
        <v>1500</v>
      </c>
      <c r="M21" s="3" t="n">
        <v>1500</v>
      </c>
      <c r="N21" s="3" t="n"/>
      <c r="U21" s="3" t="n"/>
    </row>
    <row r="22" ht="15.75" customHeight="1" s="307">
      <c r="A22" s="4" t="n">
        <v>20</v>
      </c>
      <c r="B22" s="22" t="inlineStr">
        <is>
          <t>M.S. Tube "B" Class 1.5 in</t>
        </is>
      </c>
      <c r="C22" s="12" t="n">
        <v>135</v>
      </c>
      <c r="D22" s="13" t="n">
        <v>135</v>
      </c>
      <c r="J22" s="21" t="inlineStr">
        <is>
          <t>Butterfly Valve 4"</t>
        </is>
      </c>
      <c r="K22" s="1" t="n">
        <v>1650</v>
      </c>
      <c r="M22" s="3" t="n">
        <v>1650</v>
      </c>
      <c r="N22" s="3" t="n"/>
      <c r="U22" s="3" t="n"/>
    </row>
    <row r="23" ht="15.75" customHeight="1" s="307">
      <c r="A23" s="4" t="n">
        <v>21</v>
      </c>
      <c r="B23" s="4" t="inlineStr">
        <is>
          <t>M.S. Tube "C" Class 1.5 in</t>
        </is>
      </c>
      <c r="C23" s="12" t="n">
        <v>135</v>
      </c>
      <c r="D23" s="13" t="n">
        <v>135</v>
      </c>
      <c r="J23" s="21" t="inlineStr">
        <is>
          <t>Butterfly Valve 6"</t>
        </is>
      </c>
      <c r="K23" s="1" t="n">
        <v>4500</v>
      </c>
      <c r="M23" s="3" t="n">
        <v>4500</v>
      </c>
      <c r="N23" s="3" t="n"/>
      <c r="U23" s="3" t="n"/>
    </row>
    <row r="24" ht="15.75" customHeight="1" s="307">
      <c r="A24" s="4" t="n">
        <v>22</v>
      </c>
      <c r="B24" s="4" t="inlineStr">
        <is>
          <t>M.S.Chanel</t>
        </is>
      </c>
      <c r="C24" s="12" t="n">
        <v>71</v>
      </c>
      <c r="D24" s="13" t="n">
        <v>71</v>
      </c>
      <c r="J24" s="17" t="inlineStr">
        <is>
          <t>ENCON-Y-STRAINER 20NB</t>
        </is>
      </c>
      <c r="K24" s="1" t="n">
        <v>450</v>
      </c>
      <c r="M24" s="3" t="n">
        <v>360</v>
      </c>
      <c r="N24" s="3" t="n"/>
      <c r="U24" s="3" t="n"/>
    </row>
    <row r="25" ht="15.75" customHeight="1" s="307">
      <c r="A25" s="4" t="n">
        <v>23</v>
      </c>
      <c r="B25" s="4" t="inlineStr">
        <is>
          <t>Plumber block with Bearing</t>
        </is>
      </c>
      <c r="C25" s="23" t="n">
        <v>13000</v>
      </c>
      <c r="D25" s="24" t="n">
        <v>11000</v>
      </c>
      <c r="J25" s="21" t="inlineStr">
        <is>
          <t>Whyteheat K</t>
        </is>
      </c>
      <c r="K25" s="25" t="n">
        <v>70</v>
      </c>
      <c r="M25" s="3" t="n">
        <v>50</v>
      </c>
      <c r="N25" s="3" t="n"/>
      <c r="U25" s="3" t="n"/>
    </row>
    <row r="26" ht="15.75" customHeight="1" s="307">
      <c r="A26" s="4" t="n">
        <v>24</v>
      </c>
      <c r="B26" s="4" t="inlineStr">
        <is>
          <t>Pulley with V belt</t>
        </is>
      </c>
      <c r="C26" s="23" t="n">
        <v>5000</v>
      </c>
      <c r="D26" s="24" t="n">
        <v>3000</v>
      </c>
      <c r="J26" s="21" t="inlineStr">
        <is>
          <t>Ball valve 25 NB</t>
        </is>
      </c>
      <c r="K26" s="1" t="n">
        <v>2500</v>
      </c>
      <c r="M26" s="3" t="n">
        <v>2500</v>
      </c>
      <c r="N26" s="3" t="n"/>
      <c r="U26" s="3" t="n"/>
    </row>
    <row r="27" ht="15.75" customHeight="1" s="307">
      <c r="A27" s="4" t="n">
        <v>25</v>
      </c>
      <c r="B27" s="4" t="inlineStr">
        <is>
          <t>S.S. Sheet 3mm</t>
        </is>
      </c>
      <c r="C27" s="12" t="n">
        <v>270</v>
      </c>
      <c r="D27" s="13" t="n">
        <v>270</v>
      </c>
      <c r="J27" s="21">
        <f>'Gas Burner'!B9</f>
        <v/>
      </c>
      <c r="K27" s="1" t="n">
        <v>1500</v>
      </c>
      <c r="M27" s="3" t="n">
        <v>1500</v>
      </c>
      <c r="N27" s="3" t="n"/>
      <c r="U27" s="3" t="n"/>
    </row>
    <row r="28" ht="15.75" customHeight="1" s="307">
      <c r="A28" s="4" t="n">
        <v>26</v>
      </c>
      <c r="B28" s="4" t="inlineStr">
        <is>
          <t>SS Pipe</t>
        </is>
      </c>
      <c r="C28" s="26" t="n"/>
      <c r="D28" s="26" t="n"/>
      <c r="J28" s="21" t="inlineStr">
        <is>
          <t>Ball valve 20 NB</t>
        </is>
      </c>
      <c r="K28" s="1" t="n">
        <v>1718</v>
      </c>
      <c r="M28" s="3" t="n">
        <v>1718</v>
      </c>
      <c r="N28" s="27" t="n"/>
      <c r="U28" s="3" t="n"/>
    </row>
    <row r="29" ht="15.75" customHeight="1" s="307">
      <c r="A29" s="4" t="n">
        <v>27</v>
      </c>
      <c r="B29" s="4" t="inlineStr">
        <is>
          <t>Ceramic Fiber</t>
        </is>
      </c>
      <c r="C29" s="26" t="n">
        <v>2000</v>
      </c>
      <c r="D29" s="26" t="n">
        <v>1450</v>
      </c>
      <c r="G29" s="1" t="inlineStr">
        <is>
          <t>Pipe Kg/Mtr</t>
        </is>
      </c>
      <c r="J29" s="21" t="inlineStr">
        <is>
          <t>Ball valve 32 NB</t>
        </is>
      </c>
      <c r="K29" s="1" t="n">
        <v>2929</v>
      </c>
      <c r="M29" s="3" t="n">
        <v>2929</v>
      </c>
      <c r="N29" s="27" t="n"/>
      <c r="U29" s="3" t="n"/>
    </row>
    <row r="30" ht="15.75" customHeight="1" s="307">
      <c r="A30" s="4" t="n">
        <v>28</v>
      </c>
      <c r="B30" s="4" t="inlineStr">
        <is>
          <t>SS Pipe 304 60 X 3mm</t>
        </is>
      </c>
      <c r="C30" s="26" t="n">
        <v>330</v>
      </c>
      <c r="D30" s="26" t="n">
        <v>330</v>
      </c>
      <c r="E30" s="398">
        <f>C30*G30</f>
        <v/>
      </c>
      <c r="G30" s="398">
        <f>PI()*60*60*7850*1/(4*1000*1000)-PI()*54*54*7850*1/(4*1000*1000)</f>
        <v/>
      </c>
      <c r="J30" s="21" t="inlineStr">
        <is>
          <t>Ball valve 40 NB</t>
        </is>
      </c>
      <c r="K30" s="1" t="n">
        <v>5000</v>
      </c>
      <c r="M30" s="3" t="n">
        <v>5000</v>
      </c>
      <c r="N30" s="3" t="n"/>
      <c r="U30" s="3" t="n"/>
    </row>
    <row r="31" ht="15.75" customHeight="1" s="307">
      <c r="A31" s="4" t="n">
        <v>29</v>
      </c>
      <c r="B31" s="4" t="inlineStr">
        <is>
          <t>SS Pipe 304 76 X 3mm</t>
        </is>
      </c>
      <c r="C31" s="26" t="n">
        <v>330</v>
      </c>
      <c r="D31" s="26" t="n">
        <v>330</v>
      </c>
      <c r="E31" s="398">
        <f>C31*G31</f>
        <v/>
      </c>
      <c r="G31" s="398">
        <f>PI()*76*76*7850*1/(4*1000*1000)- PI()*70*70*7850*1/(4*1000*1000)</f>
        <v/>
      </c>
      <c r="N31" s="3" t="n"/>
      <c r="U31" s="3" t="n"/>
    </row>
    <row r="32" ht="15.75" customHeight="1" s="307">
      <c r="A32" s="4" t="n">
        <v>30</v>
      </c>
      <c r="B32" s="4" t="inlineStr">
        <is>
          <t>SS Pipe 304 100 X 3mm</t>
        </is>
      </c>
      <c r="C32" s="26" t="n">
        <v>330</v>
      </c>
      <c r="D32" s="26" t="n">
        <v>330</v>
      </c>
      <c r="E32" s="398">
        <f>C32*G32</f>
        <v/>
      </c>
      <c r="G32" s="398">
        <f>PI()*100*100*7850*1/(4*1000*1000)- PI()*94*94*7850*1/(4*1000*1000)</f>
        <v/>
      </c>
      <c r="J32" t="inlineStr">
        <is>
          <t>DEMBLA CONTROL VALVES</t>
        </is>
      </c>
      <c r="N32" s="3" t="inlineStr">
        <is>
          <t>Make: DEMBLA</t>
        </is>
      </c>
      <c r="U32" s="3" t="n"/>
    </row>
    <row r="33" ht="15.75" customHeight="1" s="307">
      <c r="A33" s="4" t="n">
        <v>31</v>
      </c>
      <c r="B33" s="4" t="inlineStr">
        <is>
          <t>M.S. Elbow 60 OD</t>
        </is>
      </c>
      <c r="C33" s="26" t="n">
        <v>200</v>
      </c>
      <c r="D33" s="26" t="n">
        <v>200</v>
      </c>
      <c r="J33" t="inlineStr">
        <is>
          <t>Control Valve 050NB</t>
        </is>
      </c>
      <c r="K33" t="n">
        <v>172892</v>
      </c>
      <c r="N33" s="3" t="inlineStr">
        <is>
          <t>DEMBLA</t>
        </is>
      </c>
      <c r="U33" s="3" t="n"/>
    </row>
    <row r="34" ht="15.75" customHeight="1" s="307">
      <c r="A34" s="4" t="n">
        <v>32</v>
      </c>
      <c r="B34" s="4" t="inlineStr">
        <is>
          <t>M.S. Elbow 76 OD</t>
        </is>
      </c>
      <c r="C34" s="26" t="n">
        <v>300</v>
      </c>
      <c r="D34" s="26" t="n">
        <v>300</v>
      </c>
      <c r="J34" t="inlineStr">
        <is>
          <t>Control Valve 065NB</t>
        </is>
      </c>
      <c r="K34" t="n">
        <v>176475</v>
      </c>
      <c r="N34" s="3" t="inlineStr">
        <is>
          <t>DEMBLA</t>
        </is>
      </c>
      <c r="U34" s="3" t="n"/>
    </row>
    <row r="35" ht="15.75" customHeight="1" s="307">
      <c r="A35" s="4" t="n">
        <v>33</v>
      </c>
      <c r="B35" s="4" t="inlineStr">
        <is>
          <t>M.S. Elbow 100 OD</t>
        </is>
      </c>
      <c r="C35" s="26" t="n">
        <v>400</v>
      </c>
      <c r="D35" s="26" t="n">
        <v>400</v>
      </c>
      <c r="J35" t="inlineStr">
        <is>
          <t>Control Valve 080NB</t>
        </is>
      </c>
      <c r="K35" t="n">
        <v>183291</v>
      </c>
      <c r="N35" s="3" t="inlineStr">
        <is>
          <t>DEMBLA</t>
        </is>
      </c>
      <c r="U35" s="3" t="n"/>
    </row>
    <row r="36" ht="15.75" customHeight="1" s="307">
      <c r="A36" s="4" t="n">
        <v>34</v>
      </c>
      <c r="B36" s="4" t="inlineStr">
        <is>
          <t>SS Elbow 60 OD</t>
        </is>
      </c>
      <c r="C36" s="26" t="n">
        <v>600</v>
      </c>
      <c r="D36" s="26" t="n">
        <v>500</v>
      </c>
      <c r="J36" t="inlineStr">
        <is>
          <t>Control Valve 100NB</t>
        </is>
      </c>
      <c r="K36" t="n">
        <v>187598</v>
      </c>
      <c r="N36" s="3" t="inlineStr">
        <is>
          <t>DEMBLA</t>
        </is>
      </c>
      <c r="U36" s="3" t="n"/>
    </row>
    <row r="37" ht="15.75" customHeight="1" s="307">
      <c r="A37" s="4" t="n">
        <v>35</v>
      </c>
      <c r="B37" s="4" t="inlineStr">
        <is>
          <t>SS Elbow 76 OD</t>
        </is>
      </c>
      <c r="C37" s="26" t="n">
        <v>700</v>
      </c>
      <c r="D37" s="26" t="n">
        <v>600</v>
      </c>
      <c r="J37" t="inlineStr">
        <is>
          <t>Control Valve 125NB</t>
        </is>
      </c>
      <c r="K37" t="n">
        <v>201687</v>
      </c>
      <c r="N37" s="3" t="inlineStr">
        <is>
          <t>DEMBLA</t>
        </is>
      </c>
      <c r="U37" s="3" t="n"/>
    </row>
    <row r="38" ht="15.75" customHeight="1" s="307">
      <c r="A38" s="4" t="n">
        <v>36</v>
      </c>
      <c r="B38" s="4" t="inlineStr">
        <is>
          <t>SS Elbow 100 OD</t>
        </is>
      </c>
      <c r="C38" s="26" t="n">
        <v>1000</v>
      </c>
      <c r="D38" s="26" t="n">
        <v>900</v>
      </c>
      <c r="J38" t="inlineStr">
        <is>
          <t>Control Valve 150NB</t>
        </is>
      </c>
      <c r="K38" t="n">
        <v>205736</v>
      </c>
      <c r="N38" s="3" t="inlineStr">
        <is>
          <t>DEMBLA</t>
        </is>
      </c>
      <c r="U38" s="3" t="n"/>
    </row>
    <row r="39" ht="15.75" customHeight="1" s="307">
      <c r="J39" t="inlineStr">
        <is>
          <t>Control Valve 200NB</t>
        </is>
      </c>
      <c r="K39" t="n">
        <v>242404</v>
      </c>
      <c r="N39" s="3" t="inlineStr">
        <is>
          <t>DEMBLA</t>
        </is>
      </c>
      <c r="U39" s="3" t="n"/>
    </row>
    <row r="40" ht="15.75" customHeight="1" s="307">
      <c r="J40" t="inlineStr">
        <is>
          <t>Control Valve 250NB</t>
        </is>
      </c>
      <c r="K40" t="n">
        <v>305228</v>
      </c>
      <c r="N40" s="3" t="inlineStr">
        <is>
          <t>DEMBLA</t>
        </is>
      </c>
      <c r="U40" s="3" t="n"/>
    </row>
    <row r="41" ht="15.75" customHeight="1" s="307">
      <c r="J41" t="inlineStr">
        <is>
          <t>Control Valve 300NB</t>
        </is>
      </c>
      <c r="K41" t="n">
        <v>344828</v>
      </c>
      <c r="N41" s="3" t="inlineStr">
        <is>
          <t>DEMBLA</t>
        </is>
      </c>
      <c r="U41" s="3" t="n"/>
    </row>
    <row r="42" ht="15.75" customHeight="1" s="307">
      <c r="J42" t="inlineStr">
        <is>
          <t>Control Valve 350NB</t>
        </is>
      </c>
      <c r="K42" t="n">
        <v>455577</v>
      </c>
      <c r="N42" s="3" t="inlineStr">
        <is>
          <t>DEMBLA</t>
        </is>
      </c>
      <c r="U42" s="3" t="n"/>
    </row>
    <row r="43" ht="15.75" customHeight="1" s="307">
      <c r="J43" t="inlineStr">
        <is>
          <t>Control Valve 400NB</t>
        </is>
      </c>
      <c r="K43" t="n">
        <v>495831</v>
      </c>
      <c r="N43" s="3" t="inlineStr">
        <is>
          <t>DEMBLA</t>
        </is>
      </c>
      <c r="U43" s="3" t="n"/>
    </row>
    <row r="44" ht="15.75" customHeight="1" s="307">
      <c r="J44" t="inlineStr">
        <is>
          <t>Control Valve 450NB</t>
        </is>
      </c>
      <c r="K44" t="n">
        <v>594311</v>
      </c>
      <c r="N44" s="3" t="inlineStr">
        <is>
          <t>DEMBLA</t>
        </is>
      </c>
      <c r="U44" s="3" t="n"/>
    </row>
    <row r="45" ht="15.75" customHeight="1" s="307">
      <c r="J45" t="inlineStr">
        <is>
          <t>Control Valve 500NB</t>
        </is>
      </c>
      <c r="K45" t="n">
        <v>810100</v>
      </c>
      <c r="N45" s="3" t="inlineStr">
        <is>
          <t>DEMBLA</t>
        </is>
      </c>
      <c r="U45" s="3" t="n"/>
    </row>
    <row r="46" ht="15.75" customHeight="1" s="307">
      <c r="J46" t="inlineStr">
        <is>
          <t>Control Valve 600NB</t>
        </is>
      </c>
      <c r="K46" t="n">
        <v>1293131</v>
      </c>
      <c r="N46" s="3" t="inlineStr">
        <is>
          <t>DEMBLA</t>
        </is>
      </c>
      <c r="U46" s="3" t="n"/>
    </row>
    <row r="47" ht="15.75" customHeight="1" s="307">
      <c r="J47" t="inlineStr">
        <is>
          <t>Control Valve 650NB</t>
        </is>
      </c>
      <c r="K47" t="n">
        <v>1821680</v>
      </c>
      <c r="N47" s="3" t="inlineStr">
        <is>
          <t>DEMBLA</t>
        </is>
      </c>
      <c r="U47" s="3" t="n"/>
    </row>
    <row r="48" ht="15.75" customHeight="1" s="307">
      <c r="J48" t="inlineStr">
        <is>
          <t>Control Valve 700NB</t>
        </is>
      </c>
      <c r="K48" t="n">
        <v>2096854</v>
      </c>
      <c r="N48" s="3" t="inlineStr">
        <is>
          <t>DEMBLA</t>
        </is>
      </c>
      <c r="U48" s="3" t="n"/>
    </row>
    <row r="49" ht="15.75" customHeight="1" s="307">
      <c r="N49" s="3" t="n"/>
      <c r="U49" s="3" t="n"/>
    </row>
    <row r="50" ht="15.75" customHeight="1" s="307">
      <c r="J50" t="inlineStr">
        <is>
          <t>DEMBLA SHUT OFF VALVES</t>
        </is>
      </c>
      <c r="N50" s="3" t="inlineStr">
        <is>
          <t>Make: DEMBLA</t>
        </is>
      </c>
      <c r="U50" s="3" t="n"/>
    </row>
    <row r="51" ht="15.75" customHeight="1" s="307">
      <c r="J51" t="inlineStr">
        <is>
          <t>Shut Off Valve 050NB</t>
        </is>
      </c>
      <c r="K51" t="n">
        <v>71626</v>
      </c>
      <c r="N51" s="3" t="inlineStr">
        <is>
          <t>DEMBLA</t>
        </is>
      </c>
      <c r="U51" s="3" t="n"/>
    </row>
    <row r="52" ht="15.75" customHeight="1" s="307">
      <c r="J52" t="inlineStr">
        <is>
          <t>Shut Off Valve 065NB</t>
        </is>
      </c>
      <c r="K52" t="n">
        <v>63722</v>
      </c>
      <c r="N52" s="3" t="inlineStr">
        <is>
          <t>DEMBLA</t>
        </is>
      </c>
      <c r="U52" s="3" t="n"/>
    </row>
    <row r="53" ht="15.75" customHeight="1" s="307">
      <c r="J53" t="inlineStr">
        <is>
          <t>Shut Off Valve 080NB</t>
        </is>
      </c>
      <c r="K53" t="n">
        <v>70539</v>
      </c>
      <c r="N53" s="3" t="inlineStr">
        <is>
          <t>DEMBLA</t>
        </is>
      </c>
      <c r="U53" s="3" t="n"/>
    </row>
    <row r="54" ht="15.75" customHeight="1" s="307">
      <c r="J54" t="inlineStr">
        <is>
          <t>Shut Off Valve 100NB</t>
        </is>
      </c>
      <c r="K54" t="n">
        <v>74846</v>
      </c>
      <c r="N54" s="3" t="inlineStr">
        <is>
          <t>DEMBLA</t>
        </is>
      </c>
      <c r="U54" s="3" t="n"/>
    </row>
    <row r="55" ht="15.75" customHeight="1" s="307">
      <c r="J55" t="inlineStr">
        <is>
          <t>Shut Off Valve 125NB</t>
        </is>
      </c>
      <c r="K55" t="n">
        <v>88935</v>
      </c>
      <c r="N55" s="3" t="inlineStr">
        <is>
          <t>DEMBLA</t>
        </is>
      </c>
      <c r="U55" s="3" t="n"/>
    </row>
    <row r="56" ht="15.75" customHeight="1" s="307">
      <c r="J56" t="inlineStr">
        <is>
          <t>Shut Off Valve 150NB</t>
        </is>
      </c>
      <c r="K56" t="n">
        <v>92984</v>
      </c>
      <c r="N56" s="3" t="inlineStr">
        <is>
          <t>DEMBLA</t>
        </is>
      </c>
      <c r="U56" s="3" t="n"/>
    </row>
    <row r="57" ht="15.75" customHeight="1" s="307">
      <c r="J57" t="inlineStr">
        <is>
          <t>Shut Off Valve 200NB</t>
        </is>
      </c>
      <c r="K57" t="n">
        <v>129651</v>
      </c>
      <c r="N57" s="3" t="inlineStr">
        <is>
          <t>DEMBLA</t>
        </is>
      </c>
      <c r="U57" s="3" t="n"/>
    </row>
    <row r="58" ht="15.75" customHeight="1" s="307">
      <c r="J58" t="inlineStr">
        <is>
          <t>Shut Off Valve 250NB</t>
        </is>
      </c>
      <c r="K58" t="n">
        <v>192475</v>
      </c>
      <c r="N58" s="3" t="inlineStr">
        <is>
          <t>DEMBLA</t>
        </is>
      </c>
      <c r="U58" s="3" t="n"/>
    </row>
    <row r="59" ht="15.75" customHeight="1" s="307">
      <c r="J59" t="inlineStr">
        <is>
          <t>Shut Off Valve 300NB</t>
        </is>
      </c>
      <c r="K59" t="n">
        <v>232075</v>
      </c>
      <c r="N59" s="3" t="inlineStr">
        <is>
          <t>DEMBLA</t>
        </is>
      </c>
      <c r="U59" s="3" t="n"/>
    </row>
    <row r="60" ht="15.75" customHeight="1" s="307">
      <c r="J60" t="inlineStr">
        <is>
          <t>Shut Off Valve 350NB</t>
        </is>
      </c>
      <c r="K60" t="n">
        <v>342825</v>
      </c>
      <c r="N60" s="3" t="inlineStr">
        <is>
          <t>DEMBLA</t>
        </is>
      </c>
      <c r="U60" s="3" t="n"/>
    </row>
    <row r="61" ht="15.75" customHeight="1" s="307">
      <c r="J61" t="inlineStr">
        <is>
          <t>Shut Off Valve 400NB</t>
        </is>
      </c>
      <c r="K61" t="n">
        <v>383078</v>
      </c>
      <c r="N61" s="3" t="inlineStr">
        <is>
          <t>DEMBLA</t>
        </is>
      </c>
      <c r="U61" s="3" t="n"/>
    </row>
    <row r="62" ht="15.75" customHeight="1" s="307">
      <c r="J62" t="inlineStr">
        <is>
          <t>Shut Off Valve 450NB</t>
        </is>
      </c>
      <c r="K62" t="n">
        <v>481559</v>
      </c>
      <c r="N62" s="3" t="inlineStr">
        <is>
          <t>DEMBLA</t>
        </is>
      </c>
      <c r="U62" s="3" t="n"/>
    </row>
    <row r="63" ht="15.75" customHeight="1" s="307">
      <c r="J63" t="inlineStr">
        <is>
          <t>Shut Off Valve 500NB</t>
        </is>
      </c>
      <c r="K63" t="n">
        <v>697348</v>
      </c>
      <c r="N63" s="3" t="inlineStr">
        <is>
          <t>DEMBLA</t>
        </is>
      </c>
      <c r="U63" s="3" t="n"/>
    </row>
    <row r="64" ht="15.75" customHeight="1" s="307">
      <c r="J64" t="inlineStr">
        <is>
          <t>Shut Off Valve 600NB</t>
        </is>
      </c>
      <c r="K64" t="n">
        <v>1180378</v>
      </c>
      <c r="N64" s="3" t="inlineStr">
        <is>
          <t>DEMBLA</t>
        </is>
      </c>
      <c r="U64" s="3" t="n"/>
    </row>
    <row r="65" ht="15.75" customHeight="1" s="307">
      <c r="J65" t="inlineStr">
        <is>
          <t>Shut Off Valve 650NB</t>
        </is>
      </c>
      <c r="K65" t="n">
        <v>1708927</v>
      </c>
      <c r="N65" s="3" t="inlineStr">
        <is>
          <t>DEMBLA</t>
        </is>
      </c>
      <c r="U65" s="3" t="n"/>
    </row>
    <row r="66" ht="15.75" customHeight="1" s="307">
      <c r="J66" t="inlineStr">
        <is>
          <t>Shut Off Valve 700NB</t>
        </is>
      </c>
      <c r="K66" t="n">
        <v>1984102</v>
      </c>
      <c r="N66" s="3" t="inlineStr">
        <is>
          <t>DEMBLA</t>
        </is>
      </c>
      <c r="U66" s="3" t="n"/>
    </row>
    <row r="67" ht="15.75" customHeight="1" s="307">
      <c r="N67" s="3" t="n"/>
      <c r="U67" s="3" t="n"/>
    </row>
    <row r="68" ht="15.75" customHeight="1" s="307">
      <c r="J68" t="inlineStr">
        <is>
          <t>CAIR MOTORIZED CONTROL VALVES</t>
        </is>
      </c>
      <c r="N68" s="3" t="inlineStr">
        <is>
          <t>Make: CAIR</t>
        </is>
      </c>
      <c r="U68" s="3" t="n"/>
    </row>
    <row r="69" ht="15.75" customHeight="1" s="307">
      <c r="J69" t="inlineStr">
        <is>
          <t>Motorized Control Valve 025NB (Globe)</t>
        </is>
      </c>
      <c r="K69" t="n">
        <v>28688</v>
      </c>
      <c r="N69" s="3" t="inlineStr">
        <is>
          <t>CAIR</t>
        </is>
      </c>
      <c r="U69" s="3" t="n"/>
    </row>
    <row r="70" ht="15.75" customHeight="1" s="307">
      <c r="J70" t="inlineStr">
        <is>
          <t>Motorized Control Valve 040NB</t>
        </is>
      </c>
      <c r="K70" t="n">
        <v>43529</v>
      </c>
      <c r="N70" s="3" t="inlineStr">
        <is>
          <t>CAIR</t>
        </is>
      </c>
      <c r="U70" s="3" t="n"/>
    </row>
    <row r="71" ht="15.75" customHeight="1" s="307">
      <c r="J71" t="inlineStr">
        <is>
          <t>Motorized Control Valve 050NB</t>
        </is>
      </c>
      <c r="K71" t="n">
        <v>43778</v>
      </c>
      <c r="N71" s="3" t="inlineStr">
        <is>
          <t>CAIR</t>
        </is>
      </c>
      <c r="U71" s="3" t="n"/>
    </row>
    <row r="72" ht="15.75" customHeight="1" s="307">
      <c r="J72" t="inlineStr">
        <is>
          <t>Motorized Control Valve 065NB</t>
        </is>
      </c>
      <c r="K72" t="n">
        <v>44173</v>
      </c>
      <c r="N72" s="3" t="inlineStr">
        <is>
          <t>CAIR</t>
        </is>
      </c>
      <c r="U72" s="3" t="n"/>
    </row>
    <row r="73" ht="15.75" customHeight="1" s="307">
      <c r="J73" t="inlineStr">
        <is>
          <t>Motorized Control Valve 080NB</t>
        </is>
      </c>
      <c r="K73" t="n">
        <v>44360</v>
      </c>
      <c r="N73" s="3" t="inlineStr">
        <is>
          <t>CAIR</t>
        </is>
      </c>
      <c r="U73" s="3" t="n"/>
    </row>
    <row r="74" ht="15.75" customHeight="1" s="307">
      <c r="J74" t="inlineStr">
        <is>
          <t>Motorized Control Valve 100NB</t>
        </is>
      </c>
      <c r="K74" t="n">
        <v>45330</v>
      </c>
      <c r="N74" s="3" t="inlineStr">
        <is>
          <t>CAIR</t>
        </is>
      </c>
      <c r="U74" s="3" t="n"/>
    </row>
    <row r="75" ht="15.75" customHeight="1" s="307">
      <c r="J75" t="inlineStr">
        <is>
          <t>Motorized Control Valve 125NB</t>
        </is>
      </c>
      <c r="K75" t="n">
        <v>46430</v>
      </c>
      <c r="N75" s="3" t="inlineStr">
        <is>
          <t>CAIR</t>
        </is>
      </c>
      <c r="U75" s="3" t="n"/>
    </row>
    <row r="76" ht="15.75" customHeight="1" s="307">
      <c r="J76" t="inlineStr">
        <is>
          <t>Motorized Control Valve 150NB</t>
        </is>
      </c>
      <c r="K76" t="n">
        <v>57770</v>
      </c>
      <c r="N76" s="3" t="inlineStr">
        <is>
          <t>CAIR</t>
        </is>
      </c>
      <c r="U76" s="3" t="n"/>
    </row>
    <row r="77" ht="15.75" customHeight="1" s="307">
      <c r="J77" t="inlineStr">
        <is>
          <t>Motorized Control Valve 200NB</t>
        </is>
      </c>
      <c r="K77" t="n">
        <v>67402</v>
      </c>
      <c r="N77" s="3" t="inlineStr">
        <is>
          <t>CAIR</t>
        </is>
      </c>
      <c r="U77" s="3" t="n"/>
    </row>
    <row r="78" ht="15.75" customHeight="1" s="307">
      <c r="J78" t="inlineStr">
        <is>
          <t>Motorized Control Valve 250NB</t>
        </is>
      </c>
      <c r="K78" t="n">
        <v>76433</v>
      </c>
      <c r="N78" s="3" t="inlineStr">
        <is>
          <t>CAIR</t>
        </is>
      </c>
      <c r="U78" s="3" t="n"/>
    </row>
    <row r="79" ht="15.75" customHeight="1" s="307">
      <c r="J79" t="inlineStr">
        <is>
          <t>Motorized Control Valve 300NB</t>
        </is>
      </c>
      <c r="K79" t="n">
        <v>80479</v>
      </c>
      <c r="N79" s="3" t="inlineStr">
        <is>
          <t>CAIR</t>
        </is>
      </c>
      <c r="U79" s="3" t="n"/>
    </row>
    <row r="80" ht="15.75" customHeight="1" s="307">
      <c r="J80" t="inlineStr">
        <is>
          <t>Motorized Control Valve 350NB</t>
        </is>
      </c>
      <c r="K80" t="n">
        <v>85167</v>
      </c>
      <c r="N80" s="3" t="inlineStr">
        <is>
          <t>CAIR</t>
        </is>
      </c>
      <c r="U80" s="3" t="n"/>
    </row>
    <row r="81" ht="15.75" customHeight="1" s="307">
      <c r="N81" s="3" t="n"/>
      <c r="U81" s="3" t="n"/>
    </row>
    <row r="82" ht="15.75" customHeight="1" s="307">
      <c r="J82" t="inlineStr">
        <is>
          <t>CAIR SHUT OFF VALVES</t>
        </is>
      </c>
      <c r="N82" s="3" t="inlineStr">
        <is>
          <t>Make: CAIR</t>
        </is>
      </c>
      <c r="U82" s="3" t="n"/>
    </row>
    <row r="83" ht="15.75" customHeight="1" s="307">
      <c r="J83" t="inlineStr">
        <is>
          <t>Shut Off Valve 025NB (Ball)</t>
        </is>
      </c>
      <c r="K83" t="n">
        <v>22210</v>
      </c>
      <c r="N83" s="3" t="inlineStr">
        <is>
          <t>CAIR</t>
        </is>
      </c>
      <c r="U83" s="3" t="n"/>
    </row>
    <row r="84" ht="15.75" customHeight="1" s="307">
      <c r="J84" t="inlineStr">
        <is>
          <t>Shut Off Valve 032NB (Ball)</t>
        </is>
      </c>
      <c r="K84" t="n">
        <v>23000</v>
      </c>
      <c r="N84" s="3" t="inlineStr">
        <is>
          <t>CAIR</t>
        </is>
      </c>
      <c r="U84" s="3" t="n"/>
    </row>
    <row r="85" ht="15.75" customHeight="1" s="307">
      <c r="J85" t="inlineStr">
        <is>
          <t>Shut Off Valve 040NB (Ball)</t>
        </is>
      </c>
      <c r="K85" t="n">
        <v>23200</v>
      </c>
      <c r="N85" s="3" t="inlineStr">
        <is>
          <t>CAIR</t>
        </is>
      </c>
      <c r="U85" s="3" t="n"/>
    </row>
    <row r="86" ht="15.75" customHeight="1" s="307">
      <c r="J86" t="inlineStr">
        <is>
          <t>Shut Off Valve 040NB (Butterfly)</t>
        </is>
      </c>
      <c r="K86" t="n">
        <v>20746</v>
      </c>
      <c r="N86" s="3" t="inlineStr">
        <is>
          <t>CAIR</t>
        </is>
      </c>
      <c r="U86" s="3" t="n"/>
    </row>
    <row r="87" ht="15.75" customHeight="1" s="307">
      <c r="J87" t="inlineStr">
        <is>
          <t>Shut Off Valve 050NB (Butterfly)</t>
        </is>
      </c>
      <c r="K87" t="n">
        <v>20995</v>
      </c>
      <c r="N87" s="3" t="inlineStr">
        <is>
          <t>CAIR</t>
        </is>
      </c>
      <c r="U87" s="3" t="n"/>
    </row>
    <row r="88" ht="15.75" customHeight="1" s="307">
      <c r="J88" t="inlineStr">
        <is>
          <t>Shut Off Valve 065NB (Butterfly)</t>
        </is>
      </c>
      <c r="K88" t="n">
        <v>21390</v>
      </c>
      <c r="N88" s="3" t="inlineStr">
        <is>
          <t>CAIR</t>
        </is>
      </c>
      <c r="U88" s="3" t="n"/>
    </row>
    <row r="89" ht="15.75" customHeight="1" s="307">
      <c r="J89" t="inlineStr">
        <is>
          <t>Shut Off Valve 080NB (Butterfly)</t>
        </is>
      </c>
      <c r="K89" t="n">
        <v>21577</v>
      </c>
      <c r="N89" s="3" t="inlineStr">
        <is>
          <t>CAIR</t>
        </is>
      </c>
      <c r="U89" s="3" t="n"/>
    </row>
    <row r="90" ht="15.75" customHeight="1" s="307">
      <c r="J90" t="inlineStr">
        <is>
          <t>Shut Off Valve 100NB (Butterfly)</t>
        </is>
      </c>
      <c r="K90" t="n">
        <v>22547</v>
      </c>
      <c r="N90" s="3" t="inlineStr">
        <is>
          <t>CAIR</t>
        </is>
      </c>
      <c r="U90" s="3" t="n"/>
    </row>
    <row r="91" ht="15.75" customHeight="1" s="307">
      <c r="J91" t="inlineStr">
        <is>
          <t>Shut Off Valve 125NB (Butterfly)</t>
        </is>
      </c>
      <c r="K91" t="n">
        <v>23647</v>
      </c>
      <c r="N91" s="3" t="inlineStr">
        <is>
          <t>CAIR</t>
        </is>
      </c>
      <c r="U91" s="3" t="n"/>
    </row>
    <row r="92" ht="15.75" customHeight="1" s="307">
      <c r="J92" t="inlineStr">
        <is>
          <t>Shut Off Valve 150NB (Butterfly)</t>
        </is>
      </c>
      <c r="K92" t="n">
        <v>34986</v>
      </c>
      <c r="N92" s="3" t="inlineStr">
        <is>
          <t>CAIR</t>
        </is>
      </c>
      <c r="U92" s="3" t="n"/>
    </row>
    <row r="93" ht="15.75" customHeight="1" s="307">
      <c r="J93" t="inlineStr">
        <is>
          <t>Shut Off Valve 200NB (Butterfly)</t>
        </is>
      </c>
      <c r="K93" t="n">
        <v>44619</v>
      </c>
      <c r="N93" s="3" t="inlineStr">
        <is>
          <t>CAIR</t>
        </is>
      </c>
      <c r="U93" s="3" t="n"/>
    </row>
    <row r="94" ht="15.75" customHeight="1" s="307">
      <c r="J94" t="inlineStr">
        <is>
          <t>Shut Off Valve 250NB (Butterfly)</t>
        </is>
      </c>
      <c r="K94" t="n">
        <v>55260</v>
      </c>
      <c r="N94" s="3" t="inlineStr">
        <is>
          <t>CAIR</t>
        </is>
      </c>
      <c r="U94" s="3" t="n"/>
    </row>
    <row r="95" ht="15.75" customHeight="1" s="307">
      <c r="J95" t="inlineStr">
        <is>
          <t>Shut Off Valve 300NB (Butterfly)</t>
        </is>
      </c>
      <c r="K95" t="n">
        <v>59426</v>
      </c>
      <c r="N95" s="3" t="inlineStr">
        <is>
          <t>CAIR</t>
        </is>
      </c>
      <c r="U95" s="3" t="n"/>
    </row>
    <row r="96" ht="15.75" customHeight="1" s="307">
      <c r="J96" t="inlineStr">
        <is>
          <t>Shut Off Valve 350NB (Butterfly)</t>
        </is>
      </c>
      <c r="K96" t="n">
        <v>64255</v>
      </c>
      <c r="N96" s="3" t="inlineStr">
        <is>
          <t>CAIR</t>
        </is>
      </c>
      <c r="U96" s="3" t="n"/>
    </row>
    <row r="97" ht="15.75" customHeight="1" s="307">
      <c r="N97" s="3" t="n"/>
      <c r="U97" s="3" t="n"/>
    </row>
    <row r="98" ht="15.75" customHeight="1" s="307">
      <c r="J98" t="inlineStr">
        <is>
          <t>DPT</t>
        </is>
      </c>
      <c r="K98" t="n">
        <v>45000</v>
      </c>
      <c r="N98" s="3" t="inlineStr">
        <is>
          <t>HONEYWELL</t>
        </is>
      </c>
      <c r="U98" s="3" t="n"/>
    </row>
    <row r="99" ht="15.75" customHeight="1" s="307">
      <c r="J99" t="inlineStr">
        <is>
          <t>PRESSURE SWITCH LOW</t>
        </is>
      </c>
      <c r="K99" t="n">
        <v>3000</v>
      </c>
      <c r="N99" s="3" t="inlineStr">
        <is>
          <t>MADAS</t>
        </is>
      </c>
      <c r="U99" s="3" t="n"/>
    </row>
    <row r="100" ht="15.75" customHeight="1" s="307">
      <c r="N100" s="3" t="n"/>
      <c r="U100" s="3" t="n"/>
    </row>
    <row r="101" ht="15.75" customHeight="1" s="307">
      <c r="J101" t="inlineStr">
        <is>
          <t>ORIFICE PLATE (incl. Flanges + Fasteners)</t>
        </is>
      </c>
      <c r="N101" s="3" t="inlineStr">
        <is>
          <t>ES</t>
        </is>
      </c>
      <c r="U101" s="3" t="n"/>
    </row>
    <row r="102" ht="15.75" customHeight="1" s="307">
      <c r="J102" t="inlineStr">
        <is>
          <t>Orifice Plate 025NB</t>
        </is>
      </c>
      <c r="K102" t="n">
        <v>2350</v>
      </c>
      <c r="N102" s="3" t="inlineStr">
        <is>
          <t>ES</t>
        </is>
      </c>
      <c r="U102" s="3" t="n"/>
    </row>
    <row r="103" ht="15.75" customHeight="1" s="307">
      <c r="J103" t="inlineStr">
        <is>
          <t>Orifice Plate 040NB</t>
        </is>
      </c>
      <c r="K103" t="n">
        <v>2950</v>
      </c>
      <c r="N103" s="3" t="inlineStr">
        <is>
          <t>ES</t>
        </is>
      </c>
      <c r="U103" s="3" t="n"/>
    </row>
    <row r="104" ht="15.75" customHeight="1" s="307">
      <c r="J104" t="inlineStr">
        <is>
          <t>Orifice Plate 050NB</t>
        </is>
      </c>
      <c r="K104" t="n">
        <v>3650</v>
      </c>
      <c r="N104" s="3" t="inlineStr">
        <is>
          <t>ES</t>
        </is>
      </c>
      <c r="U104" s="3" t="n"/>
    </row>
    <row r="105" ht="15.75" customHeight="1" s="307">
      <c r="J105" t="inlineStr">
        <is>
          <t>Orifice Plate 065NB</t>
        </is>
      </c>
      <c r="K105" t="n">
        <v>4100</v>
      </c>
      <c r="N105" s="3" t="inlineStr">
        <is>
          <t>ES</t>
        </is>
      </c>
      <c r="U105" s="3" t="n"/>
    </row>
    <row r="106" ht="15.75" customHeight="1" s="307">
      <c r="J106" t="inlineStr">
        <is>
          <t>Orifice Plate 080NB</t>
        </is>
      </c>
      <c r="K106" t="n">
        <v>4700</v>
      </c>
      <c r="N106" s="3" t="inlineStr">
        <is>
          <t>ES</t>
        </is>
      </c>
      <c r="U106" s="3" t="n"/>
    </row>
    <row r="107" ht="15.75" customHeight="1" s="307">
      <c r="J107" t="inlineStr">
        <is>
          <t>Orifice Plate 100NB</t>
        </is>
      </c>
      <c r="K107" t="n">
        <v>5500</v>
      </c>
      <c r="N107" s="3" t="inlineStr">
        <is>
          <t>ES</t>
        </is>
      </c>
      <c r="U107" s="3" t="n"/>
    </row>
    <row r="108" ht="15.75" customHeight="1" s="307">
      <c r="J108" t="inlineStr">
        <is>
          <t>Orifice Plate 150NB</t>
        </is>
      </c>
      <c r="K108" t="n">
        <v>7700</v>
      </c>
      <c r="N108" s="3" t="inlineStr">
        <is>
          <t>ES</t>
        </is>
      </c>
      <c r="U108" s="3" t="n"/>
    </row>
    <row r="109" ht="15.75" customHeight="1" s="307">
      <c r="J109" t="inlineStr">
        <is>
          <t>Orifice Plate 200NB</t>
        </is>
      </c>
      <c r="K109" t="n">
        <v>13200</v>
      </c>
      <c r="N109" s="3" t="inlineStr">
        <is>
          <t>ES</t>
        </is>
      </c>
      <c r="U109" s="3" t="n"/>
    </row>
    <row r="110" ht="15.75" customHeight="1" s="307">
      <c r="J110" t="inlineStr">
        <is>
          <t>Orifice Plate 250NB</t>
        </is>
      </c>
      <c r="K110" t="n">
        <v>16200</v>
      </c>
      <c r="N110" s="3" t="inlineStr">
        <is>
          <t>ES</t>
        </is>
      </c>
      <c r="U110" s="3" t="n"/>
    </row>
    <row r="111" ht="15.75" customHeight="1" s="307">
      <c r="J111" t="inlineStr">
        <is>
          <t>Orifice Plate 300NB</t>
        </is>
      </c>
      <c r="K111" t="n">
        <v>18200</v>
      </c>
      <c r="N111" s="3" t="inlineStr">
        <is>
          <t>ES</t>
        </is>
      </c>
      <c r="U111" s="3" t="n"/>
    </row>
    <row r="112" ht="15.75" customHeight="1" s="307">
      <c r="J112" t="inlineStr">
        <is>
          <t>Orifice Plate 350NB</t>
        </is>
      </c>
      <c r="K112" t="n">
        <v>24200</v>
      </c>
      <c r="N112" s="3" t="inlineStr">
        <is>
          <t>ES</t>
        </is>
      </c>
      <c r="U112" s="3" t="n"/>
    </row>
    <row r="113" ht="15.75" customHeight="1" s="307">
      <c r="J113" t="inlineStr">
        <is>
          <t>Orifice Plate 400NB</t>
        </is>
      </c>
      <c r="K113" t="n">
        <v>31200</v>
      </c>
      <c r="N113" s="3" t="inlineStr">
        <is>
          <t>ES</t>
        </is>
      </c>
      <c r="U113" s="3" t="n"/>
    </row>
    <row r="114" ht="15.75" customHeight="1" s="307">
      <c r="J114" t="inlineStr">
        <is>
          <t>Orifice Plate 450NB</t>
        </is>
      </c>
      <c r="K114" t="n">
        <v>37200</v>
      </c>
      <c r="N114" s="3" t="inlineStr">
        <is>
          <t>ES</t>
        </is>
      </c>
      <c r="U114" s="3" t="n"/>
    </row>
    <row r="115" ht="15.75" customHeight="1" s="307">
      <c r="J115" t="inlineStr">
        <is>
          <t>Orifice Plate 500NB</t>
        </is>
      </c>
      <c r="K115" t="n">
        <v>47000</v>
      </c>
      <c r="N115" s="3" t="inlineStr">
        <is>
          <t>ES</t>
        </is>
      </c>
      <c r="U115" s="3" t="n"/>
    </row>
    <row r="116" ht="15.75" customHeight="1" s="307">
      <c r="J116" t="inlineStr">
        <is>
          <t>Orifice Plate 550NB</t>
        </is>
      </c>
      <c r="K116" t="n">
        <v>55000</v>
      </c>
      <c r="N116" s="3" t="inlineStr">
        <is>
          <t>ES</t>
        </is>
      </c>
      <c r="U116" s="3" t="n"/>
    </row>
    <row r="117" ht="15.75" customHeight="1" s="307">
      <c r="J117" t="inlineStr">
        <is>
          <t>Orifice Plate 600NB</t>
        </is>
      </c>
      <c r="K117" t="n">
        <v>61400</v>
      </c>
      <c r="N117" s="3" t="inlineStr">
        <is>
          <t>ES</t>
        </is>
      </c>
      <c r="U117" s="3" t="n"/>
    </row>
    <row r="118" ht="15.75" customHeight="1" s="307">
      <c r="N118" s="3" t="n"/>
      <c r="U118" s="3" t="n"/>
    </row>
    <row r="119" ht="15.75" customHeight="1" s="307">
      <c r="N119" s="3" t="n"/>
      <c r="U119" s="3" t="n"/>
    </row>
    <row r="120" ht="15.75" customHeight="1" s="307">
      <c r="N120" s="3" t="n"/>
      <c r="U120" s="3" t="n"/>
    </row>
    <row r="121" ht="15.75" customHeight="1" s="307">
      <c r="N121" s="3" t="n"/>
      <c r="U121" s="3" t="n"/>
    </row>
    <row r="122" ht="15.75" customHeight="1" s="307">
      <c r="N122" s="3" t="n"/>
      <c r="U122" s="3" t="n"/>
    </row>
    <row r="123" ht="15.75" customHeight="1" s="307">
      <c r="N123" s="3" t="n"/>
      <c r="U123" s="3" t="n"/>
    </row>
    <row r="124" ht="15.75" customHeight="1" s="307">
      <c r="N124" s="3" t="n"/>
      <c r="U124" s="3" t="n"/>
    </row>
    <row r="125" ht="15.75" customHeight="1" s="307">
      <c r="N125" s="3" t="n"/>
      <c r="U125" s="3" t="n"/>
    </row>
    <row r="126" ht="15.75" customHeight="1" s="307">
      <c r="N126" s="3" t="n"/>
      <c r="U126" s="3" t="n"/>
    </row>
    <row r="127" ht="15.75" customHeight="1" s="307">
      <c r="N127" s="3" t="n"/>
      <c r="U127" s="3" t="n"/>
    </row>
    <row r="128" ht="15.75" customHeight="1" s="307">
      <c r="N128" s="3" t="n"/>
      <c r="U128" s="3" t="n"/>
    </row>
    <row r="129" ht="15.75" customHeight="1" s="307">
      <c r="N129" s="3" t="n"/>
      <c r="U129" s="3" t="n"/>
    </row>
    <row r="130" ht="15.75" customHeight="1" s="307">
      <c r="N130" s="3" t="n"/>
      <c r="U130" s="3" t="n"/>
    </row>
    <row r="131" ht="15.75" customHeight="1" s="307">
      <c r="N131" s="3" t="n"/>
      <c r="U131" s="3" t="n"/>
    </row>
    <row r="132" ht="15.75" customHeight="1" s="307">
      <c r="N132" s="3" t="n"/>
      <c r="U132" s="3" t="n"/>
    </row>
    <row r="133" ht="15.75" customHeight="1" s="307">
      <c r="N133" s="3" t="n"/>
      <c r="U133" s="3" t="n"/>
    </row>
    <row r="134" ht="15.75" customHeight="1" s="307">
      <c r="N134" s="3" t="n"/>
      <c r="U134" s="3" t="n"/>
    </row>
    <row r="135" ht="15.75" customHeight="1" s="307">
      <c r="N135" s="3" t="n"/>
      <c r="U135" s="3" t="n"/>
    </row>
    <row r="136" ht="15.75" customHeight="1" s="307">
      <c r="N136" s="3" t="n"/>
      <c r="U136" s="3" t="n"/>
    </row>
    <row r="137" ht="15.75" customHeight="1" s="307">
      <c r="N137" s="3" t="n"/>
      <c r="U137" s="3" t="n"/>
    </row>
    <row r="138" ht="15.75" customHeight="1" s="307">
      <c r="N138" s="3" t="n"/>
      <c r="U138" s="3" t="n"/>
    </row>
    <row r="139" ht="15.75" customHeight="1" s="307">
      <c r="N139" s="3" t="n"/>
      <c r="U139" s="3" t="n"/>
    </row>
    <row r="140" ht="15.75" customHeight="1" s="307">
      <c r="N140" s="3" t="n"/>
      <c r="U140" s="3" t="n"/>
    </row>
    <row r="141" ht="15.75" customHeight="1" s="307">
      <c r="N141" s="3" t="n"/>
      <c r="U141" s="3" t="n"/>
    </row>
    <row r="142" ht="15.75" customHeight="1" s="307">
      <c r="N142" s="3" t="n"/>
      <c r="U142" s="3" t="n"/>
    </row>
    <row r="143" ht="15.75" customHeight="1" s="307">
      <c r="N143" s="3" t="n"/>
      <c r="U143" s="3" t="n"/>
    </row>
    <row r="144" ht="15.75" customHeight="1" s="307">
      <c r="N144" s="3" t="n"/>
      <c r="U144" s="3" t="n"/>
    </row>
    <row r="145" ht="15.75" customHeight="1" s="307">
      <c r="N145" s="3" t="n"/>
      <c r="U145" s="3" t="n"/>
    </row>
    <row r="146" ht="15.75" customHeight="1" s="307">
      <c r="N146" s="3" t="n"/>
      <c r="U146" s="3" t="n"/>
    </row>
    <row r="147" ht="15.75" customHeight="1" s="307">
      <c r="N147" s="3" t="n"/>
      <c r="U147" s="3" t="n"/>
    </row>
    <row r="148" ht="15.75" customHeight="1" s="307">
      <c r="N148" s="3" t="n"/>
      <c r="U148" s="3" t="n"/>
    </row>
    <row r="149" ht="15.75" customHeight="1" s="307">
      <c r="N149" s="3" t="n"/>
      <c r="U149" s="3" t="n"/>
    </row>
    <row r="150" ht="15.75" customHeight="1" s="307">
      <c r="N150" s="3" t="n"/>
      <c r="U150" s="3" t="n"/>
    </row>
    <row r="151" ht="15.75" customHeight="1" s="307">
      <c r="N151" s="3" t="n"/>
      <c r="U151" s="3" t="n"/>
    </row>
    <row r="152" ht="15.75" customHeight="1" s="307">
      <c r="N152" s="3" t="n"/>
      <c r="U152" s="3" t="n"/>
    </row>
    <row r="153" ht="15.75" customHeight="1" s="307">
      <c r="N153" s="3" t="n"/>
      <c r="U153" s="3" t="n"/>
    </row>
    <row r="154" ht="15.75" customHeight="1" s="307">
      <c r="N154" s="3" t="n"/>
      <c r="U154" s="3" t="n"/>
    </row>
    <row r="155" ht="15.75" customHeight="1" s="307">
      <c r="N155" s="3" t="n"/>
      <c r="U155" s="3" t="n"/>
    </row>
    <row r="156" ht="15.75" customHeight="1" s="307">
      <c r="N156" s="3" t="n"/>
      <c r="U156" s="3" t="n"/>
    </row>
    <row r="157" ht="15.75" customHeight="1" s="307">
      <c r="N157" s="3" t="n"/>
      <c r="U157" s="3" t="n"/>
    </row>
    <row r="158" ht="15.75" customHeight="1" s="307">
      <c r="N158" s="3" t="n"/>
      <c r="U158" s="3" t="n"/>
    </row>
    <row r="159" ht="15.75" customHeight="1" s="307">
      <c r="N159" s="3" t="n"/>
      <c r="U159" s="3" t="n"/>
    </row>
    <row r="160" ht="15.75" customHeight="1" s="307">
      <c r="N160" s="3" t="n"/>
      <c r="U160" s="3" t="n"/>
    </row>
    <row r="161" ht="15.75" customHeight="1" s="307">
      <c r="N161" s="3" t="n"/>
      <c r="U161" s="3" t="n"/>
    </row>
    <row r="162" ht="15.75" customHeight="1" s="307">
      <c r="N162" s="3" t="n"/>
      <c r="U162" s="3" t="n"/>
    </row>
    <row r="163" ht="15.75" customHeight="1" s="307">
      <c r="N163" s="3" t="n"/>
      <c r="U163" s="3" t="n"/>
    </row>
    <row r="164" ht="15.75" customHeight="1" s="307">
      <c r="N164" s="3" t="n"/>
      <c r="U164" s="3" t="n"/>
    </row>
    <row r="165" ht="15.75" customHeight="1" s="307">
      <c r="N165" s="3" t="n"/>
      <c r="U165" s="3" t="n"/>
    </row>
    <row r="166" ht="15.75" customHeight="1" s="307">
      <c r="N166" s="3" t="n"/>
      <c r="U166" s="3" t="n"/>
    </row>
    <row r="167" ht="15.75" customHeight="1" s="307">
      <c r="N167" s="3" t="n"/>
      <c r="U167" s="3" t="n"/>
    </row>
    <row r="168" ht="15.75" customHeight="1" s="307">
      <c r="N168" s="3" t="n"/>
      <c r="U168" s="3" t="n"/>
    </row>
    <row r="169" ht="15.75" customHeight="1" s="307">
      <c r="N169" s="3" t="n"/>
      <c r="U169" s="3" t="n"/>
    </row>
    <row r="170" ht="15.75" customHeight="1" s="307">
      <c r="N170" s="3" t="n"/>
      <c r="U170" s="3" t="n"/>
    </row>
    <row r="171" ht="15.75" customHeight="1" s="307">
      <c r="N171" s="3" t="n"/>
      <c r="U171" s="3" t="n"/>
    </row>
    <row r="172" ht="15.75" customHeight="1" s="307">
      <c r="N172" s="3" t="n"/>
      <c r="U172" s="3" t="n"/>
    </row>
    <row r="173" ht="15.75" customHeight="1" s="307">
      <c r="N173" s="3" t="n"/>
      <c r="U173" s="3" t="n"/>
    </row>
    <row r="174" ht="15.75" customHeight="1" s="307">
      <c r="N174" s="3" t="n"/>
      <c r="U174" s="3" t="n"/>
    </row>
    <row r="175" ht="15.75" customHeight="1" s="307">
      <c r="N175" s="3" t="n"/>
      <c r="U175" s="3" t="n"/>
    </row>
    <row r="176" ht="15.75" customHeight="1" s="307">
      <c r="N176" s="3" t="n"/>
      <c r="U176" s="3" t="n"/>
    </row>
    <row r="177" ht="15.75" customHeight="1" s="307">
      <c r="N177" s="3" t="n"/>
      <c r="U177" s="3" t="n"/>
    </row>
    <row r="178" ht="15.75" customHeight="1" s="307">
      <c r="N178" s="3" t="n"/>
      <c r="U178" s="3" t="n"/>
    </row>
    <row r="179" ht="15.75" customHeight="1" s="307">
      <c r="N179" s="3" t="n"/>
      <c r="U179" s="3" t="n"/>
    </row>
    <row r="180" ht="15.75" customHeight="1" s="307">
      <c r="N180" s="3" t="n"/>
      <c r="U180" s="3" t="n"/>
    </row>
    <row r="181" ht="15.75" customHeight="1" s="307">
      <c r="N181" s="3" t="n"/>
      <c r="U181" s="3" t="n"/>
    </row>
    <row r="182" ht="15.75" customHeight="1" s="307">
      <c r="N182" s="3" t="n"/>
      <c r="U182" s="3" t="n"/>
    </row>
    <row r="183" ht="15.75" customHeight="1" s="307">
      <c r="N183" s="3" t="n"/>
      <c r="U183" s="3" t="n"/>
    </row>
    <row r="184" ht="15.75" customHeight="1" s="307">
      <c r="N184" s="3" t="n"/>
      <c r="U184" s="3" t="n"/>
    </row>
    <row r="185" ht="15.75" customHeight="1" s="307">
      <c r="N185" s="3" t="n"/>
      <c r="U185" s="3" t="n"/>
    </row>
    <row r="186" ht="15.75" customHeight="1" s="307">
      <c r="N186" s="3" t="n"/>
      <c r="U186" s="3" t="n"/>
    </row>
    <row r="187" ht="15.75" customHeight="1" s="307">
      <c r="N187" s="3" t="n"/>
      <c r="U187" s="3" t="n"/>
    </row>
    <row r="188" ht="15.75" customHeight="1" s="307">
      <c r="N188" s="3" t="n"/>
      <c r="U188" s="3" t="n"/>
    </row>
    <row r="189" ht="15.75" customHeight="1" s="307">
      <c r="N189" s="3" t="n"/>
      <c r="U189" s="3" t="n"/>
    </row>
    <row r="190" ht="15.75" customHeight="1" s="307">
      <c r="N190" s="3" t="n"/>
      <c r="U190" s="3" t="n"/>
    </row>
    <row r="191" ht="15.75" customHeight="1" s="307">
      <c r="N191" s="3" t="n"/>
      <c r="U191" s="3" t="n"/>
    </row>
    <row r="192" ht="15.75" customHeight="1" s="307">
      <c r="N192" s="3" t="n"/>
      <c r="U192" s="3" t="n"/>
    </row>
    <row r="193" ht="15.75" customHeight="1" s="307">
      <c r="N193" s="3" t="n"/>
      <c r="U193" s="3" t="n"/>
    </row>
    <row r="194" ht="15.75" customHeight="1" s="307">
      <c r="N194" s="3" t="n"/>
      <c r="U194" s="3" t="n"/>
    </row>
    <row r="195" ht="15.75" customHeight="1" s="307">
      <c r="N195" s="3" t="n"/>
      <c r="U195" s="3" t="n"/>
    </row>
    <row r="196" ht="15.75" customHeight="1" s="307">
      <c r="N196" s="3" t="n"/>
      <c r="U196" s="3" t="n"/>
    </row>
    <row r="197" ht="15.75" customHeight="1" s="307">
      <c r="N197" s="3" t="n"/>
      <c r="U197" s="3" t="n"/>
    </row>
    <row r="198" ht="15.75" customHeight="1" s="307">
      <c r="N198" s="3" t="n"/>
      <c r="U198" s="3" t="n"/>
    </row>
    <row r="199" ht="15.75" customHeight="1" s="307">
      <c r="N199" s="3" t="n"/>
      <c r="U199" s="3" t="n"/>
    </row>
    <row r="200" ht="15.75" customHeight="1" s="307">
      <c r="N200" s="3" t="n"/>
      <c r="U200" s="3" t="n"/>
    </row>
    <row r="201" ht="15.75" customHeight="1" s="307">
      <c r="N201" s="3" t="n"/>
      <c r="U201" s="3" t="n"/>
    </row>
    <row r="202" ht="15.75" customHeight="1" s="307">
      <c r="N202" s="3" t="n"/>
      <c r="U202" s="3" t="n"/>
    </row>
    <row r="203" ht="15.75" customHeight="1" s="307">
      <c r="N203" s="3" t="n"/>
      <c r="U203" s="3" t="n"/>
    </row>
    <row r="204" ht="15.75" customHeight="1" s="307">
      <c r="N204" s="3" t="n"/>
      <c r="U204" s="3" t="n"/>
    </row>
    <row r="205" ht="15.75" customHeight="1" s="307">
      <c r="N205" s="3" t="n"/>
      <c r="U205" s="3" t="n"/>
    </row>
    <row r="206" ht="15.75" customHeight="1" s="307">
      <c r="N206" s="3" t="n"/>
      <c r="U206" s="3" t="n"/>
    </row>
    <row r="207" ht="15.75" customHeight="1" s="307">
      <c r="N207" s="3" t="n"/>
      <c r="U207" s="3" t="n"/>
    </row>
    <row r="208" ht="15.75" customHeight="1" s="307">
      <c r="N208" s="3" t="n"/>
      <c r="U208" s="3" t="n"/>
    </row>
    <row r="209" ht="15.75" customHeight="1" s="307">
      <c r="N209" s="3" t="n"/>
      <c r="U209" s="3" t="n"/>
    </row>
    <row r="210" ht="15.75" customHeight="1" s="307">
      <c r="N210" s="3" t="n"/>
      <c r="U210" s="3" t="n"/>
    </row>
    <row r="211" ht="15.75" customHeight="1" s="307">
      <c r="N211" s="3" t="n"/>
      <c r="U211" s="3" t="n"/>
    </row>
    <row r="212" ht="15.75" customHeight="1" s="307">
      <c r="N212" s="3" t="n"/>
      <c r="U212" s="3" t="n"/>
    </row>
    <row r="213" ht="15.75" customHeight="1" s="307">
      <c r="N213" s="3" t="n"/>
      <c r="U213" s="3" t="n"/>
    </row>
    <row r="214" ht="15.75" customHeight="1" s="307">
      <c r="N214" s="3" t="n"/>
      <c r="U214" s="3" t="n"/>
    </row>
    <row r="215" ht="15.75" customHeight="1" s="307">
      <c r="N215" s="3" t="n"/>
      <c r="U215" s="3" t="n"/>
    </row>
    <row r="216" ht="15.75" customHeight="1" s="307">
      <c r="N216" s="3" t="n"/>
      <c r="U216" s="3" t="n"/>
    </row>
    <row r="217" ht="15.75" customHeight="1" s="307">
      <c r="N217" s="3" t="n"/>
      <c r="U217" s="3" t="n"/>
    </row>
    <row r="218" ht="15.75" customHeight="1" s="307">
      <c r="N218" s="3" t="n"/>
      <c r="U218" s="3" t="n"/>
    </row>
    <row r="219" ht="15.75" customHeight="1" s="307">
      <c r="N219" s="3" t="n"/>
      <c r="U219" s="3" t="n"/>
    </row>
    <row r="220" ht="15.75" customHeight="1" s="307">
      <c r="N220" s="3" t="n"/>
      <c r="U220" s="3" t="n"/>
    </row>
    <row r="221" ht="15.75" customHeight="1" s="307">
      <c r="N221" s="3" t="n"/>
      <c r="U221" s="3" t="n"/>
    </row>
    <row r="222" ht="15.75" customHeight="1" s="307">
      <c r="N222" s="3" t="n"/>
      <c r="U222" s="3" t="n"/>
    </row>
    <row r="223" ht="15.75" customHeight="1" s="307">
      <c r="N223" s="3" t="n"/>
      <c r="U223" s="3" t="n"/>
    </row>
    <row r="224" ht="15.75" customHeight="1" s="307">
      <c r="N224" s="3" t="n"/>
      <c r="U224" s="3" t="n"/>
    </row>
    <row r="225" ht="15.75" customHeight="1" s="307">
      <c r="N225" s="3" t="n"/>
      <c r="U225" s="3" t="n"/>
    </row>
    <row r="226" ht="15.75" customHeight="1" s="307">
      <c r="N226" s="3" t="n"/>
      <c r="U226" s="3" t="n"/>
    </row>
    <row r="227" ht="15.75" customHeight="1" s="307">
      <c r="N227" s="3" t="n"/>
      <c r="U227" s="3" t="n"/>
    </row>
    <row r="228" ht="15.75" customHeight="1" s="307">
      <c r="N228" s="3" t="n"/>
      <c r="U228" s="3" t="n"/>
    </row>
    <row r="229" ht="15.75" customHeight="1" s="307">
      <c r="N229" s="3" t="n"/>
      <c r="U229" s="3" t="n"/>
    </row>
    <row r="230" ht="15.75" customHeight="1" s="307">
      <c r="N230" s="3" t="n"/>
      <c r="U230" s="3" t="n"/>
    </row>
    <row r="231" ht="15.75" customHeight="1" s="307">
      <c r="N231" s="3" t="n"/>
      <c r="U231" s="3" t="n"/>
    </row>
    <row r="232" ht="15.75" customHeight="1" s="307">
      <c r="N232" s="3" t="n"/>
      <c r="U232" s="3" t="n"/>
    </row>
    <row r="233" ht="15.75" customHeight="1" s="307">
      <c r="N233" s="3" t="n"/>
      <c r="U233" s="3" t="n"/>
    </row>
    <row r="234" ht="15.75" customHeight="1" s="307">
      <c r="N234" s="3" t="n"/>
      <c r="U234" s="3" t="n"/>
    </row>
    <row r="235" ht="15.75" customHeight="1" s="307">
      <c r="N235" s="3" t="n"/>
      <c r="U235" s="3" t="n"/>
    </row>
    <row r="236" ht="15.75" customHeight="1" s="307">
      <c r="N236" s="3" t="n"/>
      <c r="U236" s="3" t="n"/>
    </row>
    <row r="237" ht="15.75" customHeight="1" s="307">
      <c r="N237" s="3" t="n"/>
      <c r="U237" s="3" t="n"/>
    </row>
    <row r="238" ht="15.75" customHeight="1" s="307">
      <c r="N238" s="3" t="n"/>
      <c r="U238" s="3" t="n"/>
    </row>
    <row r="239" ht="15.75" customHeight="1" s="307">
      <c r="N239" s="3" t="n"/>
      <c r="U239" s="3" t="n"/>
    </row>
    <row r="240" ht="15.75" customHeight="1" s="307">
      <c r="N240" s="3" t="n"/>
      <c r="U240" s="3" t="n"/>
    </row>
    <row r="241" ht="15.75" customHeight="1" s="307">
      <c r="N241" s="3" t="n"/>
      <c r="U241" s="3" t="n"/>
    </row>
    <row r="242" ht="15.75" customHeight="1" s="307">
      <c r="N242" s="3" t="n"/>
      <c r="U242" s="3" t="n"/>
    </row>
    <row r="243" ht="15.75" customHeight="1" s="307">
      <c r="N243" s="3" t="n"/>
      <c r="U243" s="3" t="n"/>
    </row>
    <row r="244" ht="15.75" customHeight="1" s="307">
      <c r="N244" s="3" t="n"/>
      <c r="U244" s="3" t="n"/>
    </row>
    <row r="245" ht="15.75" customHeight="1" s="307">
      <c r="N245" s="3" t="n"/>
      <c r="U245" s="3" t="n"/>
    </row>
    <row r="246" ht="15.75" customHeight="1" s="307">
      <c r="N246" s="3" t="n"/>
      <c r="U246" s="3" t="n"/>
    </row>
    <row r="247" ht="15.75" customHeight="1" s="307">
      <c r="N247" s="3" t="n"/>
      <c r="U247" s="3" t="n"/>
    </row>
    <row r="248" ht="15.75" customHeight="1" s="307">
      <c r="N248" s="3" t="n"/>
      <c r="U248" s="3" t="n"/>
    </row>
    <row r="249" ht="15.75" customHeight="1" s="307">
      <c r="N249" s="3" t="n"/>
      <c r="U249" s="3" t="n"/>
    </row>
    <row r="250" ht="15.75" customHeight="1" s="307">
      <c r="N250" s="3" t="n"/>
      <c r="U250" s="3" t="n"/>
    </row>
    <row r="251" ht="15.75" customHeight="1" s="307">
      <c r="N251" s="3" t="n"/>
      <c r="U251" s="3" t="n"/>
    </row>
    <row r="252" ht="15.75" customHeight="1" s="307">
      <c r="N252" s="3" t="n"/>
      <c r="U252" s="3" t="n"/>
    </row>
    <row r="253" ht="15.75" customHeight="1" s="307">
      <c r="N253" s="3" t="n"/>
      <c r="U253" s="3" t="n"/>
    </row>
    <row r="254" ht="15.75" customHeight="1" s="307">
      <c r="N254" s="3" t="n"/>
      <c r="U254" s="3" t="n"/>
    </row>
    <row r="255" ht="15.75" customHeight="1" s="307">
      <c r="N255" s="3" t="n"/>
      <c r="U255" s="3" t="n"/>
    </row>
    <row r="256" ht="15.75" customHeight="1" s="307">
      <c r="N256" s="3" t="n"/>
      <c r="U256" s="3" t="n"/>
    </row>
    <row r="257" ht="15.75" customHeight="1" s="307">
      <c r="N257" s="3" t="n"/>
      <c r="U257" s="3" t="n"/>
    </row>
    <row r="258" ht="15.75" customHeight="1" s="307">
      <c r="N258" s="3" t="n"/>
      <c r="U258" s="3" t="n"/>
    </row>
    <row r="259" ht="15.75" customHeight="1" s="307">
      <c r="N259" s="3" t="n"/>
      <c r="U259" s="3" t="n"/>
    </row>
    <row r="260" ht="15.75" customHeight="1" s="307">
      <c r="N260" s="3" t="n"/>
      <c r="U260" s="3" t="n"/>
    </row>
    <row r="261" ht="15.75" customHeight="1" s="307">
      <c r="N261" s="3" t="n"/>
      <c r="U261" s="3" t="n"/>
    </row>
    <row r="262" ht="15.75" customHeight="1" s="307">
      <c r="N262" s="3" t="n"/>
      <c r="U262" s="3" t="n"/>
    </row>
    <row r="263" ht="15.75" customHeight="1" s="307">
      <c r="N263" s="3" t="n"/>
      <c r="U263" s="3" t="n"/>
    </row>
    <row r="264" ht="15.75" customHeight="1" s="307">
      <c r="N264" s="3" t="n"/>
      <c r="U264" s="3" t="n"/>
    </row>
    <row r="265" ht="15.75" customHeight="1" s="307">
      <c r="N265" s="3" t="n"/>
      <c r="U265" s="3" t="n"/>
    </row>
    <row r="266" ht="15.75" customHeight="1" s="307">
      <c r="N266" s="3" t="n"/>
      <c r="U266" s="3" t="n"/>
    </row>
    <row r="267" ht="15.75" customHeight="1" s="307">
      <c r="N267" s="3" t="n"/>
      <c r="U267" s="3" t="n"/>
    </row>
    <row r="268" ht="15.75" customHeight="1" s="307">
      <c r="N268" s="3" t="n"/>
      <c r="U268" s="3" t="n"/>
    </row>
    <row r="269" ht="15.75" customHeight="1" s="307">
      <c r="N269" s="3" t="n"/>
      <c r="U269" s="3" t="n"/>
    </row>
    <row r="270" ht="15.75" customHeight="1" s="307">
      <c r="N270" s="3" t="n"/>
      <c r="U270" s="3" t="n"/>
    </row>
    <row r="271" ht="15.75" customHeight="1" s="307">
      <c r="N271" s="3" t="n"/>
      <c r="U271" s="3" t="n"/>
    </row>
    <row r="272" ht="15.75" customHeight="1" s="307">
      <c r="N272" s="3" t="n"/>
      <c r="U272" s="3" t="n"/>
    </row>
    <row r="273" ht="15.75" customHeight="1" s="307">
      <c r="N273" s="3" t="n"/>
      <c r="U273" s="3" t="n"/>
    </row>
    <row r="274" ht="15.75" customHeight="1" s="307">
      <c r="N274" s="3" t="n"/>
      <c r="U274" s="3" t="n"/>
    </row>
    <row r="275" ht="15.75" customHeight="1" s="307">
      <c r="N275" s="3" t="n"/>
      <c r="U275" s="3" t="n"/>
    </row>
    <row r="276" ht="15.75" customHeight="1" s="307">
      <c r="N276" s="3" t="n"/>
      <c r="U276" s="3" t="n"/>
    </row>
    <row r="277" ht="15.75" customHeight="1" s="307">
      <c r="N277" s="3" t="n"/>
      <c r="U277" s="3" t="n"/>
    </row>
    <row r="278" ht="15.75" customHeight="1" s="307">
      <c r="N278" s="3" t="n"/>
      <c r="U278" s="3" t="n"/>
    </row>
    <row r="279" ht="15.75" customHeight="1" s="307">
      <c r="N279" s="3" t="n"/>
      <c r="U279" s="3" t="n"/>
    </row>
    <row r="280" ht="15.75" customHeight="1" s="307">
      <c r="N280" s="3" t="n"/>
      <c r="U280" s="3" t="n"/>
    </row>
    <row r="281" ht="15.75" customHeight="1" s="307">
      <c r="N281" s="3" t="n"/>
      <c r="U281" s="3" t="n"/>
    </row>
    <row r="282" ht="15.75" customHeight="1" s="307">
      <c r="N282" s="3" t="n"/>
      <c r="U282" s="3" t="n"/>
    </row>
    <row r="283" ht="15.75" customHeight="1" s="307">
      <c r="N283" s="3" t="n"/>
      <c r="U283" s="3" t="n"/>
    </row>
    <row r="284" ht="15.75" customHeight="1" s="307">
      <c r="N284" s="3" t="n"/>
      <c r="U284" s="3" t="n"/>
    </row>
    <row r="285" ht="15.75" customHeight="1" s="307">
      <c r="N285" s="3" t="n"/>
      <c r="U285" s="3" t="n"/>
    </row>
    <row r="286" ht="15.75" customHeight="1" s="307">
      <c r="N286" s="3" t="n"/>
      <c r="U286" s="3" t="n"/>
    </row>
    <row r="287" ht="15.75" customHeight="1" s="307">
      <c r="N287" s="3" t="n"/>
      <c r="U287" s="3" t="n"/>
    </row>
    <row r="288" ht="15.75" customHeight="1" s="307">
      <c r="N288" s="3" t="n"/>
      <c r="U288" s="3" t="n"/>
    </row>
    <row r="289" ht="15.75" customHeight="1" s="307">
      <c r="N289" s="3" t="n"/>
      <c r="U289" s="3" t="n"/>
    </row>
    <row r="290" ht="15.75" customHeight="1" s="307">
      <c r="N290" s="3" t="n"/>
      <c r="U290" s="3" t="n"/>
    </row>
    <row r="291" ht="15.75" customHeight="1" s="307">
      <c r="N291" s="3" t="n"/>
      <c r="U291" s="3" t="n"/>
    </row>
    <row r="292" ht="15.75" customHeight="1" s="307">
      <c r="N292" s="3" t="n"/>
      <c r="U292" s="3" t="n"/>
    </row>
    <row r="293" ht="15.75" customHeight="1" s="307">
      <c r="N293" s="3" t="n"/>
      <c r="U293" s="3" t="n"/>
    </row>
    <row r="294" ht="15.75" customHeight="1" s="307">
      <c r="N294" s="3" t="n"/>
      <c r="U294" s="3" t="n"/>
    </row>
    <row r="295" ht="15.75" customHeight="1" s="307">
      <c r="N295" s="3" t="n"/>
      <c r="U295" s="3" t="n"/>
    </row>
    <row r="296" ht="15.75" customHeight="1" s="307">
      <c r="N296" s="3" t="n"/>
      <c r="U296" s="3" t="n"/>
    </row>
    <row r="297" ht="15.75" customHeight="1" s="307">
      <c r="N297" s="3" t="n"/>
      <c r="U297" s="3" t="n"/>
    </row>
    <row r="298" ht="15.75" customHeight="1" s="307">
      <c r="N298" s="3" t="n"/>
      <c r="U298" s="3" t="n"/>
    </row>
    <row r="299" ht="15.75" customHeight="1" s="307">
      <c r="N299" s="3" t="n"/>
      <c r="U299" s="3" t="n"/>
    </row>
    <row r="300" ht="15.75" customHeight="1" s="307">
      <c r="N300" s="3" t="n"/>
      <c r="U300" s="3" t="n"/>
    </row>
    <row r="301" ht="15.75" customHeight="1" s="307">
      <c r="N301" s="3" t="n"/>
      <c r="U301" s="3" t="n"/>
    </row>
    <row r="302" ht="15.75" customHeight="1" s="307">
      <c r="N302" s="3" t="n"/>
      <c r="U302" s="3" t="n"/>
    </row>
    <row r="303" ht="15.75" customHeight="1" s="307">
      <c r="N303" s="3" t="n"/>
      <c r="U303" s="3" t="n"/>
    </row>
    <row r="304" ht="15.75" customHeight="1" s="307">
      <c r="N304" s="3" t="n"/>
      <c r="U304" s="3" t="n"/>
    </row>
    <row r="305" ht="15.75" customHeight="1" s="307">
      <c r="N305" s="3" t="n"/>
      <c r="U305" s="3" t="n"/>
    </row>
    <row r="306" ht="15.75" customHeight="1" s="307">
      <c r="N306" s="3" t="n"/>
      <c r="U306" s="3" t="n"/>
    </row>
    <row r="307" ht="15.75" customHeight="1" s="307">
      <c r="N307" s="3" t="n"/>
      <c r="U307" s="3" t="n"/>
    </row>
    <row r="308" ht="15.75" customHeight="1" s="307">
      <c r="N308" s="3" t="n"/>
      <c r="U308" s="3" t="n"/>
    </row>
    <row r="309" ht="15.75" customHeight="1" s="307">
      <c r="N309" s="3" t="n"/>
      <c r="U309" s="3" t="n"/>
    </row>
    <row r="310" ht="15.75" customHeight="1" s="307">
      <c r="N310" s="3" t="n"/>
      <c r="U310" s="3" t="n"/>
    </row>
    <row r="311" ht="15.75" customHeight="1" s="307">
      <c r="N311" s="3" t="n"/>
      <c r="U311" s="3" t="n"/>
    </row>
    <row r="312" ht="15.75" customHeight="1" s="307">
      <c r="N312" s="3" t="n"/>
      <c r="U312" s="3" t="n"/>
    </row>
    <row r="313" ht="15.75" customHeight="1" s="307">
      <c r="N313" s="3" t="n"/>
      <c r="U313" s="3" t="n"/>
    </row>
    <row r="314" ht="15.75" customHeight="1" s="307">
      <c r="N314" s="3" t="n"/>
      <c r="U314" s="3" t="n"/>
    </row>
    <row r="315" ht="15.75" customHeight="1" s="307">
      <c r="N315" s="3" t="n"/>
      <c r="U315" s="3" t="n"/>
    </row>
    <row r="316" ht="15.75" customHeight="1" s="307">
      <c r="N316" s="3" t="n"/>
      <c r="U316" s="3" t="n"/>
    </row>
    <row r="317" ht="15.75" customHeight="1" s="307">
      <c r="N317" s="3" t="n"/>
      <c r="U317" s="3" t="n"/>
    </row>
    <row r="318" ht="15.75" customHeight="1" s="307">
      <c r="N318" s="3" t="n"/>
      <c r="U318" s="3" t="n"/>
    </row>
    <row r="319" ht="15.75" customHeight="1" s="307">
      <c r="N319" s="3" t="n"/>
      <c r="U319" s="3" t="n"/>
    </row>
    <row r="320" ht="15.75" customHeight="1" s="307">
      <c r="N320" s="3" t="n"/>
      <c r="U320" s="3" t="n"/>
    </row>
    <row r="321" ht="15.75" customHeight="1" s="307">
      <c r="N321" s="3" t="n"/>
      <c r="U321" s="3" t="n"/>
    </row>
    <row r="322" ht="15.75" customHeight="1" s="307">
      <c r="N322" s="3" t="n"/>
      <c r="U322" s="3" t="n"/>
    </row>
    <row r="323" ht="15.75" customHeight="1" s="307">
      <c r="N323" s="3" t="n"/>
      <c r="U323" s="3" t="n"/>
    </row>
    <row r="324" ht="15.75" customHeight="1" s="307">
      <c r="N324" s="3" t="n"/>
      <c r="U324" s="3" t="n"/>
    </row>
    <row r="325" ht="15.75" customHeight="1" s="307">
      <c r="N325" s="3" t="n"/>
      <c r="U325" s="3" t="n"/>
    </row>
    <row r="326" ht="15.75" customHeight="1" s="307">
      <c r="N326" s="3" t="n"/>
      <c r="U326" s="3" t="n"/>
    </row>
    <row r="327" ht="15.75" customHeight="1" s="307">
      <c r="N327" s="3" t="n"/>
      <c r="U327" s="3" t="n"/>
    </row>
    <row r="328" ht="15.75" customHeight="1" s="307">
      <c r="N328" s="3" t="n"/>
      <c r="U328" s="3" t="n"/>
    </row>
    <row r="329" ht="15.75" customHeight="1" s="307">
      <c r="N329" s="3" t="n"/>
      <c r="U329" s="3" t="n"/>
    </row>
    <row r="330" ht="15.75" customHeight="1" s="307">
      <c r="N330" s="3" t="n"/>
      <c r="U330" s="3" t="n"/>
    </row>
    <row r="331" ht="15.75" customHeight="1" s="307">
      <c r="N331" s="3" t="n"/>
      <c r="U331" s="3" t="n"/>
    </row>
    <row r="332" ht="15.75" customHeight="1" s="307">
      <c r="N332" s="3" t="n"/>
      <c r="U332" s="3" t="n"/>
    </row>
    <row r="333" ht="15.75" customHeight="1" s="307">
      <c r="N333" s="3" t="n"/>
      <c r="U333" s="3" t="n"/>
    </row>
    <row r="334" ht="15.75" customHeight="1" s="307">
      <c r="N334" s="3" t="n"/>
      <c r="U334" s="3" t="n"/>
    </row>
    <row r="335" ht="15.75" customHeight="1" s="307">
      <c r="N335" s="3" t="n"/>
      <c r="U335" s="3" t="n"/>
    </row>
    <row r="336" ht="15.75" customHeight="1" s="307">
      <c r="N336" s="3" t="n"/>
      <c r="U336" s="3" t="n"/>
    </row>
    <row r="337" ht="15.75" customHeight="1" s="307">
      <c r="N337" s="3" t="n"/>
      <c r="U337" s="3" t="n"/>
    </row>
    <row r="338" ht="15.75" customHeight="1" s="307">
      <c r="N338" s="3" t="n"/>
      <c r="U338" s="3" t="n"/>
    </row>
    <row r="339" ht="15.75" customHeight="1" s="307">
      <c r="N339" s="3" t="n"/>
      <c r="U339" s="3" t="n"/>
    </row>
    <row r="340" ht="15.75" customHeight="1" s="307">
      <c r="N340" s="3" t="n"/>
      <c r="U340" s="3" t="n"/>
    </row>
    <row r="341" ht="15.75" customHeight="1" s="307">
      <c r="N341" s="3" t="n"/>
      <c r="U341" s="3" t="n"/>
    </row>
    <row r="342" ht="15.75" customHeight="1" s="307">
      <c r="N342" s="3" t="n"/>
      <c r="U342" s="3" t="n"/>
    </row>
    <row r="343" ht="15.75" customHeight="1" s="307">
      <c r="N343" s="3" t="n"/>
      <c r="U343" s="3" t="n"/>
    </row>
    <row r="344" ht="15.75" customHeight="1" s="307">
      <c r="N344" s="3" t="n"/>
      <c r="U344" s="3" t="n"/>
    </row>
    <row r="345" ht="15.75" customHeight="1" s="307">
      <c r="N345" s="3" t="n"/>
      <c r="U345" s="3" t="n"/>
    </row>
    <row r="346" ht="15.75" customHeight="1" s="307">
      <c r="N346" s="3" t="n"/>
      <c r="U346" s="3" t="n"/>
    </row>
    <row r="347" ht="15.75" customHeight="1" s="307">
      <c r="N347" s="3" t="n"/>
      <c r="U347" s="3" t="n"/>
    </row>
    <row r="348" ht="15.75" customHeight="1" s="307">
      <c r="N348" s="3" t="n"/>
      <c r="U348" s="3" t="n"/>
    </row>
    <row r="349" ht="15.75" customHeight="1" s="307">
      <c r="N349" s="3" t="n"/>
      <c r="U349" s="3" t="n"/>
    </row>
    <row r="350" ht="15.75" customHeight="1" s="307">
      <c r="N350" s="3" t="n"/>
      <c r="U350" s="3" t="n"/>
    </row>
    <row r="351" ht="15.75" customHeight="1" s="307">
      <c r="N351" s="3" t="n"/>
      <c r="U351" s="3" t="n"/>
    </row>
    <row r="352" ht="15.75" customHeight="1" s="307">
      <c r="N352" s="3" t="n"/>
      <c r="U352" s="3" t="n"/>
    </row>
    <row r="353" ht="15.75" customHeight="1" s="307">
      <c r="N353" s="3" t="n"/>
      <c r="U353" s="3" t="n"/>
    </row>
    <row r="354" ht="15.75" customHeight="1" s="307">
      <c r="N354" s="3" t="n"/>
      <c r="U354" s="3" t="n"/>
    </row>
    <row r="355" ht="15.75" customHeight="1" s="307">
      <c r="N355" s="3" t="n"/>
      <c r="U355" s="3" t="n"/>
    </row>
    <row r="356" ht="15.75" customHeight="1" s="307">
      <c r="N356" s="3" t="n"/>
      <c r="U356" s="3" t="n"/>
    </row>
    <row r="357" ht="15.75" customHeight="1" s="307">
      <c r="N357" s="3" t="n"/>
      <c r="U357" s="3" t="n"/>
    </row>
    <row r="358" ht="15.75" customHeight="1" s="307">
      <c r="N358" s="3" t="n"/>
      <c r="U358" s="3" t="n"/>
    </row>
    <row r="359" ht="15.75" customHeight="1" s="307">
      <c r="N359" s="3" t="n"/>
      <c r="U359" s="3" t="n"/>
    </row>
    <row r="360" ht="15.75" customHeight="1" s="307">
      <c r="N360" s="3" t="n"/>
      <c r="U360" s="3" t="n"/>
    </row>
    <row r="361" ht="15.75" customHeight="1" s="307">
      <c r="N361" s="3" t="n"/>
      <c r="U361" s="3" t="n"/>
    </row>
    <row r="362" ht="15.75" customHeight="1" s="307">
      <c r="N362" s="3" t="n"/>
      <c r="U362" s="3" t="n"/>
    </row>
    <row r="363" ht="15.75" customHeight="1" s="307">
      <c r="N363" s="3" t="n"/>
      <c r="U363" s="3" t="n"/>
    </row>
    <row r="364" ht="15.75" customHeight="1" s="307">
      <c r="N364" s="3" t="n"/>
      <c r="U364" s="3" t="n"/>
    </row>
    <row r="365" ht="15.75" customHeight="1" s="307">
      <c r="N365" s="3" t="n"/>
      <c r="U365" s="3" t="n"/>
    </row>
    <row r="366" ht="15.75" customHeight="1" s="307">
      <c r="N366" s="3" t="n"/>
      <c r="U366" s="3" t="n"/>
    </row>
    <row r="367" ht="15.75" customHeight="1" s="307">
      <c r="N367" s="3" t="n"/>
      <c r="U367" s="3" t="n"/>
    </row>
    <row r="368" ht="15.75" customHeight="1" s="307">
      <c r="N368" s="3" t="n"/>
      <c r="U368" s="3" t="n"/>
    </row>
    <row r="369" ht="15.75" customHeight="1" s="307">
      <c r="N369" s="3" t="n"/>
      <c r="U369" s="3" t="n"/>
    </row>
    <row r="370" ht="15.75" customHeight="1" s="307">
      <c r="N370" s="3" t="n"/>
      <c r="U370" s="3" t="n"/>
    </row>
    <row r="371" ht="15.75" customHeight="1" s="307">
      <c r="N371" s="3" t="n"/>
      <c r="U371" s="3" t="n"/>
    </row>
    <row r="372" ht="15.75" customHeight="1" s="307">
      <c r="N372" s="3" t="n"/>
      <c r="U372" s="3" t="n"/>
    </row>
    <row r="373" ht="15.75" customHeight="1" s="307">
      <c r="N373" s="3" t="n"/>
      <c r="U373" s="3" t="n"/>
    </row>
    <row r="374" ht="15.75" customHeight="1" s="307">
      <c r="N374" s="3" t="n"/>
      <c r="U374" s="3" t="n"/>
    </row>
    <row r="375" ht="15.75" customHeight="1" s="307">
      <c r="N375" s="3" t="n"/>
      <c r="U375" s="3" t="n"/>
    </row>
    <row r="376" ht="15.75" customHeight="1" s="307">
      <c r="N376" s="3" t="n"/>
      <c r="U376" s="3" t="n"/>
    </row>
    <row r="377" ht="15.75" customHeight="1" s="307">
      <c r="N377" s="3" t="n"/>
      <c r="U377" s="3" t="n"/>
    </row>
    <row r="378" ht="15.75" customHeight="1" s="307">
      <c r="N378" s="3" t="n"/>
      <c r="U378" s="3" t="n"/>
    </row>
    <row r="379" ht="15.75" customHeight="1" s="307">
      <c r="N379" s="3" t="n"/>
      <c r="U379" s="3" t="n"/>
    </row>
    <row r="380" ht="15.75" customHeight="1" s="307">
      <c r="N380" s="3" t="n"/>
      <c r="U380" s="3" t="n"/>
    </row>
    <row r="381" ht="15.75" customHeight="1" s="307">
      <c r="N381" s="3" t="n"/>
      <c r="U381" s="3" t="n"/>
    </row>
    <row r="382" ht="15.75" customHeight="1" s="307">
      <c r="N382" s="3" t="n"/>
      <c r="U382" s="3" t="n"/>
    </row>
    <row r="383" ht="15.75" customHeight="1" s="307">
      <c r="N383" s="3" t="n"/>
      <c r="U383" s="3" t="n"/>
    </row>
    <row r="384" ht="15.75" customHeight="1" s="307">
      <c r="N384" s="3" t="n"/>
      <c r="U384" s="3" t="n"/>
    </row>
    <row r="385" ht="15.75" customHeight="1" s="307">
      <c r="N385" s="3" t="n"/>
      <c r="U385" s="3" t="n"/>
    </row>
    <row r="386" ht="15.75" customHeight="1" s="307">
      <c r="N386" s="3" t="n"/>
      <c r="U386" s="3" t="n"/>
    </row>
    <row r="387" ht="15.75" customHeight="1" s="307">
      <c r="N387" s="3" t="n"/>
      <c r="U387" s="3" t="n"/>
    </row>
    <row r="388" ht="15.75" customHeight="1" s="307">
      <c r="N388" s="3" t="n"/>
      <c r="U388" s="3" t="n"/>
    </row>
    <row r="389" ht="15.75" customHeight="1" s="307">
      <c r="N389" s="3" t="n"/>
      <c r="U389" s="3" t="n"/>
    </row>
    <row r="390" ht="15.75" customHeight="1" s="307">
      <c r="N390" s="3" t="n"/>
      <c r="U390" s="3" t="n"/>
    </row>
    <row r="391" ht="15.75" customHeight="1" s="307">
      <c r="N391" s="3" t="n"/>
      <c r="U391" s="3" t="n"/>
    </row>
    <row r="392" ht="15.75" customHeight="1" s="307">
      <c r="N392" s="3" t="n"/>
      <c r="U392" s="3" t="n"/>
    </row>
    <row r="393" ht="15.75" customHeight="1" s="307">
      <c r="N393" s="3" t="n"/>
      <c r="U393" s="3" t="n"/>
    </row>
    <row r="394" ht="15.75" customHeight="1" s="307">
      <c r="N394" s="3" t="n"/>
      <c r="U394" s="3" t="n"/>
    </row>
    <row r="395" ht="15.75" customHeight="1" s="307">
      <c r="N395" s="3" t="n"/>
      <c r="U395" s="3" t="n"/>
    </row>
    <row r="396" ht="15.75" customHeight="1" s="307">
      <c r="N396" s="3" t="n"/>
      <c r="U396" s="3" t="n"/>
    </row>
    <row r="397" ht="15.75" customHeight="1" s="307">
      <c r="N397" s="3" t="n"/>
      <c r="U397" s="3" t="n"/>
    </row>
    <row r="398" ht="15.75" customHeight="1" s="307">
      <c r="N398" s="3" t="n"/>
      <c r="U398" s="3" t="n"/>
    </row>
    <row r="399" ht="15.75" customHeight="1" s="307">
      <c r="N399" s="3" t="n"/>
      <c r="U399" s="3" t="n"/>
    </row>
    <row r="400" ht="15.75" customHeight="1" s="307">
      <c r="N400" s="3" t="n"/>
      <c r="U400" s="3" t="n"/>
    </row>
    <row r="401" ht="15.75" customHeight="1" s="307">
      <c r="N401" s="3" t="n"/>
      <c r="U401" s="3" t="n"/>
    </row>
    <row r="402" ht="15.75" customHeight="1" s="307">
      <c r="N402" s="3" t="n"/>
      <c r="U402" s="3" t="n"/>
    </row>
    <row r="403" ht="15.75" customHeight="1" s="307">
      <c r="N403" s="3" t="n"/>
      <c r="U403" s="3" t="n"/>
    </row>
    <row r="404" ht="15.75" customHeight="1" s="307">
      <c r="N404" s="3" t="n"/>
      <c r="U404" s="3" t="n"/>
    </row>
    <row r="405" ht="15.75" customHeight="1" s="307">
      <c r="N405" s="3" t="n"/>
      <c r="U405" s="3" t="n"/>
    </row>
    <row r="406" ht="15.75" customHeight="1" s="307">
      <c r="N406" s="3" t="n"/>
      <c r="U406" s="3" t="n"/>
    </row>
    <row r="407" ht="15.75" customHeight="1" s="307">
      <c r="N407" s="3" t="n"/>
      <c r="U407" s="3" t="n"/>
    </row>
    <row r="408" ht="15.75" customHeight="1" s="307">
      <c r="N408" s="3" t="n"/>
      <c r="U408" s="3" t="n"/>
    </row>
    <row r="409" ht="15.75" customHeight="1" s="307">
      <c r="N409" s="3" t="n"/>
      <c r="U409" s="3" t="n"/>
    </row>
    <row r="410" ht="15.75" customHeight="1" s="307">
      <c r="N410" s="3" t="n"/>
      <c r="U410" s="3" t="n"/>
    </row>
    <row r="411" ht="15.75" customHeight="1" s="307">
      <c r="N411" s="3" t="n"/>
      <c r="U411" s="3" t="n"/>
    </row>
    <row r="412" ht="15.75" customHeight="1" s="307">
      <c r="N412" s="3" t="n"/>
      <c r="U412" s="3" t="n"/>
    </row>
    <row r="413" ht="15.75" customHeight="1" s="307">
      <c r="N413" s="3" t="n"/>
      <c r="U413" s="3" t="n"/>
    </row>
    <row r="414" ht="15.75" customHeight="1" s="307">
      <c r="N414" s="3" t="n"/>
      <c r="U414" s="3" t="n"/>
    </row>
    <row r="415" ht="15.75" customHeight="1" s="307">
      <c r="N415" s="3" t="n"/>
      <c r="U415" s="3" t="n"/>
    </row>
    <row r="416" ht="15.75" customHeight="1" s="307">
      <c r="N416" s="3" t="n"/>
      <c r="U416" s="3" t="n"/>
    </row>
    <row r="417" ht="15.75" customHeight="1" s="307">
      <c r="N417" s="3" t="n"/>
      <c r="U417" s="3" t="n"/>
    </row>
    <row r="418" ht="15.75" customHeight="1" s="307">
      <c r="N418" s="3" t="n"/>
      <c r="U418" s="3" t="n"/>
    </row>
    <row r="419" ht="15.75" customHeight="1" s="307">
      <c r="N419" s="3" t="n"/>
      <c r="U419" s="3" t="n"/>
    </row>
    <row r="420" ht="15.75" customHeight="1" s="307">
      <c r="N420" s="3" t="n"/>
      <c r="U420" s="3" t="n"/>
    </row>
    <row r="421" ht="15.75" customHeight="1" s="307">
      <c r="N421" s="3" t="n"/>
      <c r="U421" s="3" t="n"/>
    </row>
    <row r="422" ht="15.75" customHeight="1" s="307">
      <c r="N422" s="3" t="n"/>
      <c r="U422" s="3" t="n"/>
    </row>
    <row r="423" ht="15.75" customHeight="1" s="307">
      <c r="N423" s="3" t="n"/>
      <c r="U423" s="3" t="n"/>
    </row>
    <row r="424" ht="15.75" customHeight="1" s="307">
      <c r="N424" s="3" t="n"/>
      <c r="U424" s="3" t="n"/>
    </row>
    <row r="425" ht="15.75" customHeight="1" s="307">
      <c r="N425" s="3" t="n"/>
      <c r="U425" s="3" t="n"/>
    </row>
    <row r="426" ht="15.75" customHeight="1" s="307">
      <c r="N426" s="3" t="n"/>
      <c r="U426" s="3" t="n"/>
    </row>
    <row r="427" ht="15.75" customHeight="1" s="307">
      <c r="N427" s="3" t="n"/>
      <c r="U427" s="3" t="n"/>
    </row>
    <row r="428" ht="15.75" customHeight="1" s="307">
      <c r="N428" s="3" t="n"/>
      <c r="U428" s="3" t="n"/>
    </row>
    <row r="429" ht="15.75" customHeight="1" s="307">
      <c r="N429" s="3" t="n"/>
      <c r="U429" s="3" t="n"/>
    </row>
    <row r="430" ht="15.75" customHeight="1" s="307">
      <c r="N430" s="3" t="n"/>
      <c r="U430" s="3" t="n"/>
    </row>
    <row r="431" ht="15.75" customHeight="1" s="307">
      <c r="N431" s="3" t="n"/>
      <c r="U431" s="3" t="n"/>
    </row>
    <row r="432" ht="15.75" customHeight="1" s="307">
      <c r="N432" s="3" t="n"/>
      <c r="U432" s="3" t="n"/>
    </row>
    <row r="433" ht="15.75" customHeight="1" s="307">
      <c r="N433" s="3" t="n"/>
      <c r="U433" s="3" t="n"/>
    </row>
    <row r="434" ht="15.75" customHeight="1" s="307">
      <c r="N434" s="3" t="n"/>
      <c r="U434" s="3" t="n"/>
    </row>
    <row r="435" ht="15.75" customHeight="1" s="307">
      <c r="N435" s="3" t="n"/>
      <c r="U435" s="3" t="n"/>
    </row>
    <row r="436" ht="15.75" customHeight="1" s="307">
      <c r="N436" s="3" t="n"/>
      <c r="U436" s="3" t="n"/>
    </row>
    <row r="437" ht="15.75" customHeight="1" s="307">
      <c r="N437" s="3" t="n"/>
      <c r="U437" s="3" t="n"/>
    </row>
    <row r="438" ht="15.75" customHeight="1" s="307">
      <c r="N438" s="3" t="n"/>
      <c r="U438" s="3" t="n"/>
    </row>
    <row r="439" ht="15.75" customHeight="1" s="307">
      <c r="N439" s="3" t="n"/>
      <c r="U439" s="3" t="n"/>
    </row>
    <row r="440" ht="15.75" customHeight="1" s="307">
      <c r="N440" s="3" t="n"/>
      <c r="U440" s="3" t="n"/>
    </row>
    <row r="441" ht="15.75" customHeight="1" s="307">
      <c r="N441" s="3" t="n"/>
      <c r="U441" s="3" t="n"/>
    </row>
    <row r="442" ht="15.75" customHeight="1" s="307">
      <c r="N442" s="3" t="n"/>
      <c r="U442" s="3" t="n"/>
    </row>
    <row r="443" ht="15.75" customHeight="1" s="307">
      <c r="N443" s="3" t="n"/>
      <c r="U443" s="3" t="n"/>
    </row>
    <row r="444" ht="15.75" customHeight="1" s="307">
      <c r="N444" s="3" t="n"/>
      <c r="U444" s="3" t="n"/>
    </row>
    <row r="445" ht="15.75" customHeight="1" s="307">
      <c r="N445" s="3" t="n"/>
      <c r="U445" s="3" t="n"/>
    </row>
    <row r="446" ht="15.75" customHeight="1" s="307">
      <c r="N446" s="3" t="n"/>
      <c r="U446" s="3" t="n"/>
    </row>
    <row r="447" ht="15.75" customHeight="1" s="307">
      <c r="N447" s="3" t="n"/>
      <c r="U447" s="3" t="n"/>
    </row>
    <row r="448" ht="15.75" customHeight="1" s="307">
      <c r="N448" s="3" t="n"/>
      <c r="U448" s="3" t="n"/>
    </row>
    <row r="449" ht="15.75" customHeight="1" s="307">
      <c r="N449" s="3" t="n"/>
      <c r="U449" s="3" t="n"/>
    </row>
    <row r="450" ht="15.75" customHeight="1" s="307">
      <c r="N450" s="3" t="n"/>
      <c r="U450" s="3" t="n"/>
    </row>
    <row r="451" ht="15.75" customHeight="1" s="307">
      <c r="N451" s="3" t="n"/>
      <c r="U451" s="3" t="n"/>
    </row>
    <row r="452" ht="15.75" customHeight="1" s="307">
      <c r="N452" s="3" t="n"/>
      <c r="U452" s="3" t="n"/>
    </row>
    <row r="453" ht="15.75" customHeight="1" s="307">
      <c r="N453" s="3" t="n"/>
      <c r="U453" s="3" t="n"/>
    </row>
    <row r="454" ht="15.75" customHeight="1" s="307">
      <c r="N454" s="3" t="n"/>
      <c r="U454" s="3" t="n"/>
    </row>
    <row r="455" ht="15.75" customHeight="1" s="307">
      <c r="N455" s="3" t="n"/>
      <c r="U455" s="3" t="n"/>
    </row>
    <row r="456" ht="15.75" customHeight="1" s="307">
      <c r="N456" s="3" t="n"/>
      <c r="U456" s="3" t="n"/>
    </row>
    <row r="457" ht="15.75" customHeight="1" s="307">
      <c r="N457" s="3" t="n"/>
      <c r="U457" s="3" t="n"/>
    </row>
    <row r="458" ht="15.75" customHeight="1" s="307">
      <c r="N458" s="3" t="n"/>
      <c r="U458" s="3" t="n"/>
    </row>
    <row r="459" ht="15.75" customHeight="1" s="307">
      <c r="N459" s="3" t="n"/>
      <c r="U459" s="3" t="n"/>
    </row>
    <row r="460" ht="15.75" customHeight="1" s="307">
      <c r="N460" s="3" t="n"/>
      <c r="U460" s="3" t="n"/>
    </row>
    <row r="461" ht="15.75" customHeight="1" s="307">
      <c r="N461" s="3" t="n"/>
      <c r="U461" s="3" t="n"/>
    </row>
    <row r="462" ht="15.75" customHeight="1" s="307">
      <c r="N462" s="3" t="n"/>
      <c r="U462" s="3" t="n"/>
    </row>
    <row r="463" ht="15.75" customHeight="1" s="307">
      <c r="N463" s="3" t="n"/>
      <c r="U463" s="3" t="n"/>
    </row>
    <row r="464" ht="15.75" customHeight="1" s="307">
      <c r="N464" s="3" t="n"/>
      <c r="U464" s="3" t="n"/>
    </row>
    <row r="465" ht="15.75" customHeight="1" s="307">
      <c r="N465" s="3" t="n"/>
      <c r="U465" s="3" t="n"/>
    </row>
    <row r="466" ht="15.75" customHeight="1" s="307">
      <c r="N466" s="3" t="n"/>
      <c r="U466" s="3" t="n"/>
    </row>
    <row r="467" ht="15.75" customHeight="1" s="307">
      <c r="N467" s="3" t="n"/>
      <c r="U467" s="3" t="n"/>
    </row>
    <row r="468" ht="15.75" customHeight="1" s="307">
      <c r="N468" s="3" t="n"/>
      <c r="U468" s="3" t="n"/>
    </row>
    <row r="469" ht="15.75" customHeight="1" s="307">
      <c r="N469" s="3" t="n"/>
      <c r="U469" s="3" t="n"/>
    </row>
    <row r="470" ht="15.75" customHeight="1" s="307">
      <c r="N470" s="3" t="n"/>
      <c r="U470" s="3" t="n"/>
    </row>
    <row r="471" ht="15.75" customHeight="1" s="307">
      <c r="N471" s="3" t="n"/>
      <c r="U471" s="3" t="n"/>
    </row>
    <row r="472" ht="15.75" customHeight="1" s="307">
      <c r="N472" s="3" t="n"/>
      <c r="U472" s="3" t="n"/>
    </row>
    <row r="473" ht="15.75" customHeight="1" s="307">
      <c r="N473" s="3" t="n"/>
      <c r="U473" s="3" t="n"/>
    </row>
    <row r="474" ht="15.75" customHeight="1" s="307">
      <c r="N474" s="3" t="n"/>
      <c r="U474" s="3" t="n"/>
    </row>
    <row r="475" ht="15.75" customHeight="1" s="307">
      <c r="N475" s="3" t="n"/>
      <c r="U475" s="3" t="n"/>
    </row>
    <row r="476" ht="15.75" customHeight="1" s="307">
      <c r="N476" s="3" t="n"/>
      <c r="U476" s="3" t="n"/>
    </row>
    <row r="477" ht="15.75" customHeight="1" s="307">
      <c r="N477" s="3" t="n"/>
      <c r="U477" s="3" t="n"/>
    </row>
    <row r="478" ht="15.75" customHeight="1" s="307">
      <c r="N478" s="3" t="n"/>
      <c r="U478" s="3" t="n"/>
    </row>
    <row r="479" ht="15.75" customHeight="1" s="307">
      <c r="N479" s="3" t="n"/>
      <c r="U479" s="3" t="n"/>
    </row>
    <row r="480" ht="15.75" customHeight="1" s="307">
      <c r="N480" s="3" t="n"/>
      <c r="U480" s="3" t="n"/>
    </row>
    <row r="481" ht="15.75" customHeight="1" s="307">
      <c r="N481" s="3" t="n"/>
      <c r="U481" s="3" t="n"/>
    </row>
    <row r="482" ht="15.75" customHeight="1" s="307">
      <c r="N482" s="3" t="n"/>
      <c r="U482" s="3" t="n"/>
    </row>
    <row r="483" ht="15.75" customHeight="1" s="307">
      <c r="N483" s="3" t="n"/>
      <c r="U483" s="3" t="n"/>
    </row>
    <row r="484" ht="15.75" customHeight="1" s="307">
      <c r="N484" s="3" t="n"/>
      <c r="U484" s="3" t="n"/>
    </row>
    <row r="485" ht="15.75" customHeight="1" s="307">
      <c r="N485" s="3" t="n"/>
      <c r="U485" s="3" t="n"/>
    </row>
    <row r="486" ht="15.75" customHeight="1" s="307">
      <c r="N486" s="3" t="n"/>
      <c r="U486" s="3" t="n"/>
    </row>
    <row r="487" ht="15.75" customHeight="1" s="307">
      <c r="N487" s="3" t="n"/>
      <c r="U487" s="3" t="n"/>
    </row>
    <row r="488" ht="15.75" customHeight="1" s="307">
      <c r="N488" s="3" t="n"/>
      <c r="U488" s="3" t="n"/>
    </row>
    <row r="489" ht="15.75" customHeight="1" s="307">
      <c r="N489" s="3" t="n"/>
      <c r="U489" s="3" t="n"/>
    </row>
    <row r="490" ht="15.75" customHeight="1" s="307">
      <c r="N490" s="3" t="n"/>
      <c r="U490" s="3" t="n"/>
    </row>
    <row r="491" ht="15.75" customHeight="1" s="307">
      <c r="N491" s="3" t="n"/>
      <c r="U491" s="3" t="n"/>
    </row>
    <row r="492" ht="15.75" customHeight="1" s="307">
      <c r="N492" s="3" t="n"/>
      <c r="U492" s="3" t="n"/>
    </row>
    <row r="493" ht="15.75" customHeight="1" s="307">
      <c r="N493" s="3" t="n"/>
      <c r="U493" s="3" t="n"/>
    </row>
    <row r="494" ht="15.75" customHeight="1" s="307">
      <c r="N494" s="3" t="n"/>
      <c r="U494" s="3" t="n"/>
    </row>
    <row r="495" ht="15.75" customHeight="1" s="307">
      <c r="N495" s="3" t="n"/>
      <c r="U495" s="3" t="n"/>
    </row>
    <row r="496" ht="15.75" customHeight="1" s="307">
      <c r="N496" s="3" t="n"/>
      <c r="U496" s="3" t="n"/>
    </row>
    <row r="497" ht="15.75" customHeight="1" s="307">
      <c r="N497" s="3" t="n"/>
      <c r="U497" s="3" t="n"/>
    </row>
    <row r="498" ht="15.75" customHeight="1" s="307">
      <c r="N498" s="3" t="n"/>
      <c r="U498" s="3" t="n"/>
    </row>
    <row r="499" ht="15.75" customHeight="1" s="307">
      <c r="N499" s="3" t="n"/>
      <c r="U499" s="3" t="n"/>
    </row>
    <row r="500" ht="15.75" customHeight="1" s="307">
      <c r="N500" s="3" t="n"/>
      <c r="U500" s="3" t="n"/>
    </row>
    <row r="501" ht="15.75" customHeight="1" s="307">
      <c r="N501" s="3" t="n"/>
      <c r="U501" s="3" t="n"/>
    </row>
    <row r="502" ht="15.75" customHeight="1" s="307">
      <c r="N502" s="3" t="n"/>
      <c r="U502" s="3" t="n"/>
    </row>
    <row r="503" ht="15.75" customHeight="1" s="307">
      <c r="N503" s="3" t="n"/>
      <c r="U503" s="3" t="n"/>
    </row>
    <row r="504" ht="15.75" customHeight="1" s="307">
      <c r="N504" s="3" t="n"/>
      <c r="U504" s="3" t="n"/>
    </row>
    <row r="505" ht="15.75" customHeight="1" s="307">
      <c r="N505" s="3" t="n"/>
      <c r="U505" s="3" t="n"/>
    </row>
    <row r="506" ht="15.75" customHeight="1" s="307">
      <c r="N506" s="3" t="n"/>
      <c r="U506" s="3" t="n"/>
    </row>
    <row r="507" ht="15.75" customHeight="1" s="307">
      <c r="N507" s="3" t="n"/>
      <c r="U507" s="3" t="n"/>
    </row>
    <row r="508" ht="15.75" customHeight="1" s="307">
      <c r="N508" s="3" t="n"/>
      <c r="U508" s="3" t="n"/>
    </row>
    <row r="509" ht="15.75" customHeight="1" s="307">
      <c r="N509" s="3" t="n"/>
      <c r="U509" s="3" t="n"/>
    </row>
    <row r="510" ht="15.75" customHeight="1" s="307">
      <c r="N510" s="3" t="n"/>
      <c r="U510" s="3" t="n"/>
    </row>
    <row r="511" ht="15.75" customHeight="1" s="307">
      <c r="N511" s="3" t="n"/>
      <c r="U511" s="3" t="n"/>
    </row>
    <row r="512" ht="15.75" customHeight="1" s="307">
      <c r="N512" s="3" t="n"/>
      <c r="U512" s="3" t="n"/>
    </row>
    <row r="513" ht="15.75" customHeight="1" s="307">
      <c r="N513" s="3" t="n"/>
      <c r="U513" s="3" t="n"/>
    </row>
    <row r="514" ht="15.75" customHeight="1" s="307">
      <c r="N514" s="3" t="n"/>
      <c r="U514" s="3" t="n"/>
    </row>
    <row r="515" ht="15.75" customHeight="1" s="307">
      <c r="N515" s="3" t="n"/>
      <c r="U515" s="3" t="n"/>
    </row>
    <row r="516" ht="15.75" customHeight="1" s="307">
      <c r="N516" s="3" t="n"/>
      <c r="U516" s="3" t="n"/>
    </row>
    <row r="517" ht="15.75" customHeight="1" s="307">
      <c r="N517" s="3" t="n"/>
      <c r="U517" s="3" t="n"/>
    </row>
    <row r="518" ht="15.75" customHeight="1" s="307">
      <c r="N518" s="3" t="n"/>
      <c r="U518" s="3" t="n"/>
    </row>
    <row r="519" ht="15.75" customHeight="1" s="307">
      <c r="N519" s="3" t="n"/>
      <c r="U519" s="3" t="n"/>
    </row>
    <row r="520" ht="15.75" customHeight="1" s="307">
      <c r="N520" s="3" t="n"/>
      <c r="U520" s="3" t="n"/>
    </row>
    <row r="521" ht="15.75" customHeight="1" s="307">
      <c r="N521" s="3" t="n"/>
      <c r="U521" s="3" t="n"/>
    </row>
    <row r="522" ht="15.75" customHeight="1" s="307">
      <c r="N522" s="3" t="n"/>
      <c r="U522" s="3" t="n"/>
    </row>
    <row r="523" ht="15.75" customHeight="1" s="307">
      <c r="N523" s="3" t="n"/>
      <c r="U523" s="3" t="n"/>
    </row>
    <row r="524" ht="15.75" customHeight="1" s="307">
      <c r="N524" s="3" t="n"/>
      <c r="U524" s="3" t="n"/>
    </row>
    <row r="525" ht="15.75" customHeight="1" s="307">
      <c r="N525" s="3" t="n"/>
      <c r="U525" s="3" t="n"/>
    </row>
    <row r="526" ht="15.75" customHeight="1" s="307">
      <c r="N526" s="3" t="n"/>
      <c r="U526" s="3" t="n"/>
    </row>
    <row r="527" ht="15.75" customHeight="1" s="307">
      <c r="N527" s="3" t="n"/>
      <c r="U527" s="3" t="n"/>
    </row>
    <row r="528" ht="15.75" customHeight="1" s="307">
      <c r="N528" s="3" t="n"/>
      <c r="U528" s="3" t="n"/>
    </row>
    <row r="529" ht="15.75" customHeight="1" s="307">
      <c r="N529" s="3" t="n"/>
      <c r="U529" s="3" t="n"/>
    </row>
    <row r="530" ht="15.75" customHeight="1" s="307">
      <c r="N530" s="3" t="n"/>
      <c r="U530" s="3" t="n"/>
    </row>
    <row r="531" ht="15.75" customHeight="1" s="307">
      <c r="N531" s="3" t="n"/>
      <c r="U531" s="3" t="n"/>
    </row>
    <row r="532" ht="15.75" customHeight="1" s="307">
      <c r="N532" s="3" t="n"/>
      <c r="U532" s="3" t="n"/>
    </row>
    <row r="533" ht="15.75" customHeight="1" s="307">
      <c r="N533" s="3" t="n"/>
      <c r="U533" s="3" t="n"/>
    </row>
    <row r="534" ht="15.75" customHeight="1" s="307">
      <c r="N534" s="3" t="n"/>
      <c r="U534" s="3" t="n"/>
    </row>
    <row r="535" ht="15.75" customHeight="1" s="307">
      <c r="N535" s="3" t="n"/>
      <c r="U535" s="3" t="n"/>
    </row>
    <row r="536" ht="15.75" customHeight="1" s="307">
      <c r="N536" s="3" t="n"/>
      <c r="U536" s="3" t="n"/>
    </row>
    <row r="537" ht="15.75" customHeight="1" s="307">
      <c r="N537" s="3" t="n"/>
      <c r="U537" s="3" t="n"/>
    </row>
    <row r="538" ht="15.75" customHeight="1" s="307">
      <c r="N538" s="3" t="n"/>
      <c r="U538" s="3" t="n"/>
    </row>
    <row r="539" ht="15.75" customHeight="1" s="307">
      <c r="N539" s="3" t="n"/>
      <c r="U539" s="3" t="n"/>
    </row>
    <row r="540" ht="15.75" customHeight="1" s="307">
      <c r="N540" s="3" t="n"/>
      <c r="U540" s="3" t="n"/>
    </row>
    <row r="541" ht="15.75" customHeight="1" s="307">
      <c r="N541" s="3" t="n"/>
      <c r="U541" s="3" t="n"/>
    </row>
    <row r="542" ht="15.75" customHeight="1" s="307">
      <c r="N542" s="3" t="n"/>
      <c r="U542" s="3" t="n"/>
    </row>
    <row r="543" ht="15.75" customHeight="1" s="307">
      <c r="N543" s="3" t="n"/>
      <c r="U543" s="3" t="n"/>
    </row>
    <row r="544" ht="15.75" customHeight="1" s="307">
      <c r="N544" s="3" t="n"/>
      <c r="U544" s="3" t="n"/>
    </row>
    <row r="545" ht="15.75" customHeight="1" s="307">
      <c r="N545" s="3" t="n"/>
      <c r="U545" s="3" t="n"/>
    </row>
    <row r="546" ht="15.75" customHeight="1" s="307">
      <c r="N546" s="3" t="n"/>
      <c r="U546" s="3" t="n"/>
    </row>
    <row r="547" ht="15.75" customHeight="1" s="307">
      <c r="N547" s="3" t="n"/>
      <c r="U547" s="3" t="n"/>
    </row>
    <row r="548" ht="15.75" customHeight="1" s="307">
      <c r="N548" s="3" t="n"/>
      <c r="U548" s="3" t="n"/>
    </row>
    <row r="549" ht="15.75" customHeight="1" s="307">
      <c r="N549" s="3" t="n"/>
      <c r="U549" s="3" t="n"/>
    </row>
    <row r="550" ht="15.75" customHeight="1" s="307">
      <c r="N550" s="3" t="n"/>
      <c r="U550" s="3" t="n"/>
    </row>
    <row r="551" ht="15.75" customHeight="1" s="307">
      <c r="N551" s="3" t="n"/>
      <c r="U551" s="3" t="n"/>
    </row>
    <row r="552" ht="15.75" customHeight="1" s="307">
      <c r="N552" s="3" t="n"/>
      <c r="U552" s="3" t="n"/>
    </row>
    <row r="553" ht="15.75" customHeight="1" s="307">
      <c r="N553" s="3" t="n"/>
      <c r="U553" s="3" t="n"/>
    </row>
    <row r="554" ht="15.75" customHeight="1" s="307">
      <c r="N554" s="3" t="n"/>
      <c r="U554" s="3" t="n"/>
    </row>
    <row r="555" ht="15.75" customHeight="1" s="307">
      <c r="N555" s="3" t="n"/>
      <c r="U555" s="3" t="n"/>
    </row>
    <row r="556" ht="15.75" customHeight="1" s="307">
      <c r="N556" s="3" t="n"/>
      <c r="U556" s="3" t="n"/>
    </row>
    <row r="557" ht="15.75" customHeight="1" s="307">
      <c r="N557" s="3" t="n"/>
      <c r="U557" s="3" t="n"/>
    </row>
    <row r="558" ht="15.75" customHeight="1" s="307">
      <c r="N558" s="3" t="n"/>
      <c r="U558" s="3" t="n"/>
    </row>
    <row r="559" ht="15.75" customHeight="1" s="307">
      <c r="N559" s="3" t="n"/>
      <c r="U559" s="3" t="n"/>
    </row>
    <row r="560" ht="15.75" customHeight="1" s="307">
      <c r="N560" s="3" t="n"/>
      <c r="U560" s="3" t="n"/>
    </row>
    <row r="561" ht="15.75" customHeight="1" s="307">
      <c r="N561" s="3" t="n"/>
      <c r="U561" s="3" t="n"/>
    </row>
    <row r="562" ht="15.75" customHeight="1" s="307">
      <c r="N562" s="3" t="n"/>
      <c r="U562" s="3" t="n"/>
    </row>
    <row r="563" ht="15.75" customHeight="1" s="307">
      <c r="N563" s="3" t="n"/>
      <c r="U563" s="3" t="n"/>
    </row>
    <row r="564" ht="15.75" customHeight="1" s="307">
      <c r="N564" s="3" t="n"/>
      <c r="U564" s="3" t="n"/>
    </row>
    <row r="565" ht="15.75" customHeight="1" s="307">
      <c r="N565" s="3" t="n"/>
      <c r="U565" s="3" t="n"/>
    </row>
    <row r="566" ht="15.75" customHeight="1" s="307">
      <c r="N566" s="3" t="n"/>
      <c r="U566" s="3" t="n"/>
    </row>
    <row r="567" ht="15.75" customHeight="1" s="307">
      <c r="N567" s="3" t="n"/>
      <c r="U567" s="3" t="n"/>
    </row>
    <row r="568" ht="15.75" customHeight="1" s="307">
      <c r="N568" s="3" t="n"/>
      <c r="U568" s="3" t="n"/>
    </row>
    <row r="569" ht="15.75" customHeight="1" s="307">
      <c r="N569" s="3" t="n"/>
      <c r="U569" s="3" t="n"/>
    </row>
    <row r="570" ht="15.75" customHeight="1" s="307">
      <c r="N570" s="3" t="n"/>
      <c r="U570" s="3" t="n"/>
    </row>
    <row r="571" ht="15.75" customHeight="1" s="307">
      <c r="N571" s="3" t="n"/>
      <c r="U571" s="3" t="n"/>
    </row>
    <row r="572" ht="15.75" customHeight="1" s="307">
      <c r="N572" s="3" t="n"/>
      <c r="U572" s="3" t="n"/>
    </row>
    <row r="573" ht="15.75" customHeight="1" s="307">
      <c r="N573" s="3" t="n"/>
      <c r="U573" s="3" t="n"/>
    </row>
    <row r="574" ht="15.75" customHeight="1" s="307">
      <c r="N574" s="3" t="n"/>
      <c r="U574" s="3" t="n"/>
    </row>
    <row r="575" ht="15.75" customHeight="1" s="307">
      <c r="N575" s="3" t="n"/>
      <c r="U575" s="3" t="n"/>
    </row>
    <row r="576" ht="15.75" customHeight="1" s="307">
      <c r="N576" s="3" t="n"/>
      <c r="U576" s="3" t="n"/>
    </row>
    <row r="577" ht="15.75" customHeight="1" s="307">
      <c r="N577" s="3" t="n"/>
      <c r="U577" s="3" t="n"/>
    </row>
    <row r="578" ht="15.75" customHeight="1" s="307">
      <c r="N578" s="3" t="n"/>
      <c r="U578" s="3" t="n"/>
    </row>
    <row r="579" ht="15.75" customHeight="1" s="307">
      <c r="N579" s="3" t="n"/>
      <c r="U579" s="3" t="n"/>
    </row>
    <row r="580" ht="15.75" customHeight="1" s="307">
      <c r="N580" s="3" t="n"/>
      <c r="U580" s="3" t="n"/>
    </row>
    <row r="581" ht="15.75" customHeight="1" s="307">
      <c r="N581" s="3" t="n"/>
      <c r="U581" s="3" t="n"/>
    </row>
    <row r="582" ht="15.75" customHeight="1" s="307">
      <c r="N582" s="3" t="n"/>
      <c r="U582" s="3" t="n"/>
    </row>
    <row r="583" ht="15.75" customHeight="1" s="307">
      <c r="N583" s="3" t="n"/>
      <c r="U583" s="3" t="n"/>
    </row>
    <row r="584" ht="15.75" customHeight="1" s="307">
      <c r="N584" s="3" t="n"/>
      <c r="U584" s="3" t="n"/>
    </row>
    <row r="585" ht="15.75" customHeight="1" s="307">
      <c r="N585" s="3" t="n"/>
      <c r="U585" s="3" t="n"/>
    </row>
    <row r="586" ht="15.75" customHeight="1" s="307">
      <c r="N586" s="3" t="n"/>
      <c r="U586" s="3" t="n"/>
    </row>
    <row r="587" ht="15.75" customHeight="1" s="307">
      <c r="N587" s="3" t="n"/>
      <c r="U587" s="3" t="n"/>
    </row>
    <row r="588" ht="15.75" customHeight="1" s="307">
      <c r="N588" s="3" t="n"/>
      <c r="U588" s="3" t="n"/>
    </row>
    <row r="589" ht="15.75" customHeight="1" s="307">
      <c r="N589" s="3" t="n"/>
      <c r="U589" s="3" t="n"/>
    </row>
    <row r="590" ht="15.75" customHeight="1" s="307">
      <c r="N590" s="3" t="n"/>
      <c r="U590" s="3" t="n"/>
    </row>
    <row r="591" ht="15.75" customHeight="1" s="307">
      <c r="N591" s="3" t="n"/>
      <c r="U591" s="3" t="n"/>
    </row>
    <row r="592" ht="15.75" customHeight="1" s="307">
      <c r="N592" s="3" t="n"/>
      <c r="U592" s="3" t="n"/>
    </row>
    <row r="593" ht="15.75" customHeight="1" s="307">
      <c r="N593" s="3" t="n"/>
      <c r="U593" s="3" t="n"/>
    </row>
    <row r="594" ht="15.75" customHeight="1" s="307">
      <c r="N594" s="3" t="n"/>
      <c r="U594" s="3" t="n"/>
    </row>
    <row r="595" ht="15.75" customHeight="1" s="307">
      <c r="N595" s="3" t="n"/>
      <c r="U595" s="3" t="n"/>
    </row>
    <row r="596" ht="15.75" customHeight="1" s="307">
      <c r="N596" s="3" t="n"/>
      <c r="U596" s="3" t="n"/>
    </row>
    <row r="597" ht="15.75" customHeight="1" s="307">
      <c r="N597" s="3" t="n"/>
      <c r="U597" s="3" t="n"/>
    </row>
    <row r="598" ht="15.75" customHeight="1" s="307">
      <c r="N598" s="3" t="n"/>
      <c r="U598" s="3" t="n"/>
    </row>
    <row r="599" ht="15.75" customHeight="1" s="307">
      <c r="N599" s="3" t="n"/>
      <c r="U599" s="3" t="n"/>
    </row>
    <row r="600" ht="15.75" customHeight="1" s="307">
      <c r="N600" s="3" t="n"/>
      <c r="U600" s="3" t="n"/>
    </row>
    <row r="601" ht="15.75" customHeight="1" s="307">
      <c r="N601" s="3" t="n"/>
      <c r="U601" s="3" t="n"/>
    </row>
    <row r="602" ht="15.75" customHeight="1" s="307">
      <c r="N602" s="3" t="n"/>
      <c r="U602" s="3" t="n"/>
    </row>
    <row r="603" ht="15.75" customHeight="1" s="307">
      <c r="N603" s="3" t="n"/>
      <c r="U603" s="3" t="n"/>
    </row>
    <row r="604" ht="15.75" customHeight="1" s="307">
      <c r="N604" s="3" t="n"/>
      <c r="U604" s="3" t="n"/>
    </row>
    <row r="605" ht="15.75" customHeight="1" s="307">
      <c r="N605" s="3" t="n"/>
      <c r="U605" s="3" t="n"/>
    </row>
    <row r="606" ht="15.75" customHeight="1" s="307">
      <c r="N606" s="3" t="n"/>
      <c r="U606" s="3" t="n"/>
    </row>
    <row r="607" ht="15.75" customHeight="1" s="307">
      <c r="N607" s="3" t="n"/>
      <c r="U607" s="3" t="n"/>
    </row>
    <row r="608" ht="15.75" customHeight="1" s="307">
      <c r="N608" s="3" t="n"/>
      <c r="U608" s="3" t="n"/>
    </row>
    <row r="609" ht="15.75" customHeight="1" s="307">
      <c r="N609" s="3" t="n"/>
      <c r="U609" s="3" t="n"/>
    </row>
    <row r="610" ht="15.75" customHeight="1" s="307">
      <c r="N610" s="3" t="n"/>
      <c r="U610" s="3" t="n"/>
    </row>
    <row r="611" ht="15.75" customHeight="1" s="307">
      <c r="N611" s="3" t="n"/>
      <c r="U611" s="3" t="n"/>
    </row>
    <row r="612" ht="15.75" customHeight="1" s="307">
      <c r="N612" s="3" t="n"/>
      <c r="U612" s="3" t="n"/>
    </row>
    <row r="613" ht="15.75" customHeight="1" s="307">
      <c r="N613" s="3" t="n"/>
      <c r="U613" s="3" t="n"/>
    </row>
    <row r="614" ht="15.75" customHeight="1" s="307">
      <c r="N614" s="3" t="n"/>
      <c r="U614" s="3" t="n"/>
    </row>
    <row r="615" ht="15.75" customHeight="1" s="307">
      <c r="N615" s="3" t="n"/>
      <c r="U615" s="3" t="n"/>
    </row>
    <row r="616" ht="15.75" customHeight="1" s="307">
      <c r="N616" s="3" t="n"/>
      <c r="U616" s="3" t="n"/>
    </row>
    <row r="617" ht="15.75" customHeight="1" s="307">
      <c r="N617" s="3" t="n"/>
      <c r="U617" s="3" t="n"/>
    </row>
    <row r="618" ht="15.75" customHeight="1" s="307">
      <c r="N618" s="3" t="n"/>
      <c r="U618" s="3" t="n"/>
    </row>
    <row r="619" ht="15.75" customHeight="1" s="307">
      <c r="N619" s="3" t="n"/>
      <c r="U619" s="3" t="n"/>
    </row>
    <row r="620" ht="15.75" customHeight="1" s="307">
      <c r="N620" s="3" t="n"/>
      <c r="U620" s="3" t="n"/>
    </row>
    <row r="621" ht="15.75" customHeight="1" s="307">
      <c r="N621" s="3" t="n"/>
      <c r="U621" s="3" t="n"/>
    </row>
    <row r="622" ht="15.75" customHeight="1" s="307">
      <c r="N622" s="3" t="n"/>
      <c r="U622" s="3" t="n"/>
    </row>
    <row r="623" ht="15.75" customHeight="1" s="307">
      <c r="N623" s="3" t="n"/>
      <c r="U623" s="3" t="n"/>
    </row>
    <row r="624" ht="15.75" customHeight="1" s="307">
      <c r="N624" s="3" t="n"/>
      <c r="U624" s="3" t="n"/>
    </row>
    <row r="625" ht="15.75" customHeight="1" s="307">
      <c r="N625" s="3" t="n"/>
      <c r="U625" s="3" t="n"/>
    </row>
    <row r="626" ht="15.75" customHeight="1" s="307">
      <c r="N626" s="3" t="n"/>
      <c r="U626" s="3" t="n"/>
    </row>
    <row r="627" ht="15.75" customHeight="1" s="307">
      <c r="N627" s="3" t="n"/>
      <c r="U627" s="3" t="n"/>
    </row>
    <row r="628" ht="15.75" customHeight="1" s="307">
      <c r="N628" s="3" t="n"/>
      <c r="U628" s="3" t="n"/>
    </row>
    <row r="629" ht="15.75" customHeight="1" s="307">
      <c r="N629" s="3" t="n"/>
      <c r="U629" s="3" t="n"/>
    </row>
    <row r="630" ht="15.75" customHeight="1" s="307">
      <c r="N630" s="3" t="n"/>
      <c r="U630" s="3" t="n"/>
    </row>
    <row r="631" ht="15.75" customHeight="1" s="307">
      <c r="N631" s="3" t="n"/>
      <c r="U631" s="3" t="n"/>
    </row>
    <row r="632" ht="15.75" customHeight="1" s="307">
      <c r="N632" s="3" t="n"/>
      <c r="U632" s="3" t="n"/>
    </row>
    <row r="633" ht="15.75" customHeight="1" s="307">
      <c r="N633" s="3" t="n"/>
      <c r="U633" s="3" t="n"/>
    </row>
    <row r="634" ht="15.75" customHeight="1" s="307">
      <c r="N634" s="3" t="n"/>
      <c r="U634" s="3" t="n"/>
    </row>
    <row r="635" ht="15.75" customHeight="1" s="307">
      <c r="N635" s="3" t="n"/>
      <c r="U635" s="3" t="n"/>
    </row>
    <row r="636" ht="15.75" customHeight="1" s="307">
      <c r="N636" s="3" t="n"/>
      <c r="U636" s="3" t="n"/>
    </row>
    <row r="637" ht="15.75" customHeight="1" s="307">
      <c r="N637" s="3" t="n"/>
      <c r="U637" s="3" t="n"/>
    </row>
    <row r="638" ht="15.75" customHeight="1" s="307">
      <c r="N638" s="3" t="n"/>
      <c r="U638" s="3" t="n"/>
    </row>
    <row r="639" ht="15.75" customHeight="1" s="307">
      <c r="N639" s="3" t="n"/>
      <c r="U639" s="3" t="n"/>
    </row>
    <row r="640" ht="15.75" customHeight="1" s="307">
      <c r="N640" s="3" t="n"/>
      <c r="U640" s="3" t="n"/>
    </row>
    <row r="641" ht="15.75" customHeight="1" s="307">
      <c r="N641" s="3" t="n"/>
      <c r="U641" s="3" t="n"/>
    </row>
    <row r="642" ht="15.75" customHeight="1" s="307">
      <c r="N642" s="3" t="n"/>
      <c r="U642" s="3" t="n"/>
    </row>
    <row r="643" ht="15.75" customHeight="1" s="307">
      <c r="N643" s="3" t="n"/>
      <c r="U643" s="3" t="n"/>
    </row>
    <row r="644" ht="15.75" customHeight="1" s="307">
      <c r="N644" s="3" t="n"/>
      <c r="U644" s="3" t="n"/>
    </row>
    <row r="645" ht="15.75" customHeight="1" s="307">
      <c r="N645" s="3" t="n"/>
      <c r="U645" s="3" t="n"/>
    </row>
    <row r="646" ht="15.75" customHeight="1" s="307">
      <c r="N646" s="3" t="n"/>
      <c r="U646" s="3" t="n"/>
    </row>
    <row r="647" ht="15.75" customHeight="1" s="307">
      <c r="N647" s="3" t="n"/>
      <c r="U647" s="3" t="n"/>
    </row>
    <row r="648" ht="15.75" customHeight="1" s="307">
      <c r="N648" s="3" t="n"/>
      <c r="U648" s="3" t="n"/>
    </row>
    <row r="649" ht="15.75" customHeight="1" s="307">
      <c r="N649" s="3" t="n"/>
      <c r="U649" s="3" t="n"/>
    </row>
    <row r="650" ht="15.75" customHeight="1" s="307">
      <c r="N650" s="3" t="n"/>
      <c r="U650" s="3" t="n"/>
    </row>
    <row r="651" ht="15.75" customHeight="1" s="307">
      <c r="N651" s="3" t="n"/>
      <c r="U651" s="3" t="n"/>
    </row>
    <row r="652" ht="15.75" customHeight="1" s="307">
      <c r="N652" s="3" t="n"/>
      <c r="U652" s="3" t="n"/>
    </row>
    <row r="653" ht="15.75" customHeight="1" s="307">
      <c r="N653" s="3" t="n"/>
      <c r="U653" s="3" t="n"/>
    </row>
    <row r="654" ht="15.75" customHeight="1" s="307">
      <c r="N654" s="3" t="n"/>
      <c r="U654" s="3" t="n"/>
    </row>
    <row r="655" ht="15.75" customHeight="1" s="307">
      <c r="N655" s="3" t="n"/>
      <c r="U655" s="3" t="n"/>
    </row>
    <row r="656" ht="15.75" customHeight="1" s="307">
      <c r="N656" s="3" t="n"/>
      <c r="U656" s="3" t="n"/>
    </row>
    <row r="657" ht="15.75" customHeight="1" s="307">
      <c r="N657" s="3" t="n"/>
      <c r="U657" s="3" t="n"/>
    </row>
    <row r="658" ht="15.75" customHeight="1" s="307">
      <c r="N658" s="3" t="n"/>
      <c r="U658" s="3" t="n"/>
    </row>
    <row r="659" ht="15.75" customHeight="1" s="307">
      <c r="N659" s="3" t="n"/>
      <c r="U659" s="3" t="n"/>
    </row>
    <row r="660" ht="15.75" customHeight="1" s="307">
      <c r="N660" s="3" t="n"/>
      <c r="U660" s="3" t="n"/>
    </row>
    <row r="661" ht="15.75" customHeight="1" s="307">
      <c r="N661" s="3" t="n"/>
      <c r="U661" s="3" t="n"/>
    </row>
    <row r="662" ht="15.75" customHeight="1" s="307">
      <c r="N662" s="3" t="n"/>
      <c r="U662" s="3" t="n"/>
    </row>
    <row r="663" ht="15.75" customHeight="1" s="307">
      <c r="N663" s="3" t="n"/>
      <c r="U663" s="3" t="n"/>
    </row>
    <row r="664" ht="15.75" customHeight="1" s="307">
      <c r="N664" s="3" t="n"/>
      <c r="U664" s="3" t="n"/>
    </row>
    <row r="665" ht="15.75" customHeight="1" s="307">
      <c r="N665" s="3" t="n"/>
      <c r="U665" s="3" t="n"/>
    </row>
    <row r="666" ht="15.75" customHeight="1" s="307">
      <c r="N666" s="3" t="n"/>
      <c r="U666" s="3" t="n"/>
    </row>
    <row r="667" ht="15.75" customHeight="1" s="307">
      <c r="N667" s="3" t="n"/>
      <c r="U667" s="3" t="n"/>
    </row>
    <row r="668" ht="15.75" customHeight="1" s="307">
      <c r="N668" s="3" t="n"/>
      <c r="U668" s="3" t="n"/>
    </row>
    <row r="669" ht="15.75" customHeight="1" s="307">
      <c r="N669" s="3" t="n"/>
      <c r="U669" s="3" t="n"/>
    </row>
    <row r="670" ht="15.75" customHeight="1" s="307">
      <c r="N670" s="3" t="n"/>
      <c r="U670" s="3" t="n"/>
    </row>
    <row r="671" ht="15.75" customHeight="1" s="307">
      <c r="N671" s="3" t="n"/>
      <c r="U671" s="3" t="n"/>
    </row>
    <row r="672" ht="15.75" customHeight="1" s="307">
      <c r="N672" s="3" t="n"/>
      <c r="U672" s="3" t="n"/>
    </row>
    <row r="673" ht="15.75" customHeight="1" s="307">
      <c r="N673" s="3" t="n"/>
      <c r="U673" s="3" t="n"/>
    </row>
    <row r="674" ht="15.75" customHeight="1" s="307">
      <c r="N674" s="3" t="n"/>
      <c r="U674" s="3" t="n"/>
    </row>
    <row r="675" ht="15.75" customHeight="1" s="307">
      <c r="N675" s="3" t="n"/>
      <c r="U675" s="3" t="n"/>
    </row>
    <row r="676" ht="15.75" customHeight="1" s="307">
      <c r="N676" s="3" t="n"/>
      <c r="U676" s="3" t="n"/>
    </row>
    <row r="677" ht="15.75" customHeight="1" s="307">
      <c r="N677" s="3" t="n"/>
      <c r="U677" s="3" t="n"/>
    </row>
    <row r="678" ht="15.75" customHeight="1" s="307">
      <c r="N678" s="3" t="n"/>
      <c r="U678" s="3" t="n"/>
    </row>
    <row r="679" ht="15.75" customHeight="1" s="307">
      <c r="N679" s="3" t="n"/>
      <c r="U679" s="3" t="n"/>
    </row>
    <row r="680" ht="15.75" customHeight="1" s="307">
      <c r="N680" s="3" t="n"/>
      <c r="U680" s="3" t="n"/>
    </row>
    <row r="681" ht="15.75" customHeight="1" s="307">
      <c r="N681" s="3" t="n"/>
      <c r="U681" s="3" t="n"/>
    </row>
    <row r="682" ht="15.75" customHeight="1" s="307">
      <c r="N682" s="3" t="n"/>
      <c r="U682" s="3" t="n"/>
    </row>
    <row r="683" ht="15.75" customHeight="1" s="307">
      <c r="N683" s="3" t="n"/>
      <c r="U683" s="3" t="n"/>
    </row>
    <row r="684" ht="15.75" customHeight="1" s="307">
      <c r="N684" s="3" t="n"/>
      <c r="U684" s="3" t="n"/>
    </row>
    <row r="685" ht="15.75" customHeight="1" s="307">
      <c r="N685" s="3" t="n"/>
      <c r="U685" s="3" t="n"/>
    </row>
    <row r="686" ht="15.75" customHeight="1" s="307">
      <c r="N686" s="3" t="n"/>
      <c r="U686" s="3" t="n"/>
    </row>
    <row r="687" ht="15.75" customHeight="1" s="307">
      <c r="N687" s="3" t="n"/>
      <c r="U687" s="3" t="n"/>
    </row>
    <row r="688" ht="15.75" customHeight="1" s="307">
      <c r="N688" s="3" t="n"/>
      <c r="U688" s="3" t="n"/>
    </row>
    <row r="689" ht="15.75" customHeight="1" s="307">
      <c r="N689" s="3" t="n"/>
      <c r="U689" s="3" t="n"/>
    </row>
    <row r="690" ht="15.75" customHeight="1" s="307">
      <c r="N690" s="3" t="n"/>
      <c r="U690" s="3" t="n"/>
    </row>
    <row r="691" ht="15.75" customHeight="1" s="307">
      <c r="N691" s="3" t="n"/>
      <c r="U691" s="3" t="n"/>
    </row>
    <row r="692" ht="15.75" customHeight="1" s="307">
      <c r="N692" s="3" t="n"/>
      <c r="U692" s="3" t="n"/>
    </row>
    <row r="693" ht="15.75" customHeight="1" s="307">
      <c r="N693" s="3" t="n"/>
      <c r="U693" s="3" t="n"/>
    </row>
    <row r="694" ht="15.75" customHeight="1" s="307">
      <c r="N694" s="3" t="n"/>
      <c r="U694" s="3" t="n"/>
    </row>
    <row r="695" ht="15.75" customHeight="1" s="307">
      <c r="N695" s="3" t="n"/>
      <c r="U695" s="3" t="n"/>
    </row>
    <row r="696" ht="15.75" customHeight="1" s="307">
      <c r="N696" s="3" t="n"/>
      <c r="U696" s="3" t="n"/>
    </row>
    <row r="697" ht="15.75" customHeight="1" s="307">
      <c r="N697" s="3" t="n"/>
      <c r="U697" s="3" t="n"/>
    </row>
    <row r="698" ht="15.75" customHeight="1" s="307">
      <c r="N698" s="3" t="n"/>
      <c r="U698" s="3" t="n"/>
    </row>
    <row r="699" ht="15.75" customHeight="1" s="307">
      <c r="N699" s="3" t="n"/>
      <c r="U699" s="3" t="n"/>
    </row>
    <row r="700" ht="15.75" customHeight="1" s="307">
      <c r="N700" s="3" t="n"/>
      <c r="U700" s="3" t="n"/>
    </row>
    <row r="701" ht="15.75" customHeight="1" s="307">
      <c r="N701" s="3" t="n"/>
      <c r="U701" s="3" t="n"/>
    </row>
    <row r="702" ht="15.75" customHeight="1" s="307">
      <c r="N702" s="3" t="n"/>
      <c r="U702" s="3" t="n"/>
    </row>
    <row r="703" ht="15.75" customHeight="1" s="307">
      <c r="N703" s="3" t="n"/>
      <c r="U703" s="3" t="n"/>
    </row>
    <row r="704" ht="15.75" customHeight="1" s="307">
      <c r="N704" s="3" t="n"/>
      <c r="U704" s="3" t="n"/>
    </row>
    <row r="705" ht="15.75" customHeight="1" s="307">
      <c r="N705" s="3" t="n"/>
      <c r="U705" s="3" t="n"/>
    </row>
    <row r="706" ht="15.75" customHeight="1" s="307">
      <c r="N706" s="3" t="n"/>
      <c r="U706" s="3" t="n"/>
    </row>
    <row r="707" ht="15.75" customHeight="1" s="307">
      <c r="N707" s="3" t="n"/>
      <c r="U707" s="3" t="n"/>
    </row>
    <row r="708" ht="15.75" customHeight="1" s="307">
      <c r="N708" s="3" t="n"/>
      <c r="U708" s="3" t="n"/>
    </row>
    <row r="709" ht="15.75" customHeight="1" s="307">
      <c r="N709" s="3" t="n"/>
      <c r="U709" s="3" t="n"/>
    </row>
    <row r="710" ht="15.75" customHeight="1" s="307">
      <c r="N710" s="3" t="n"/>
      <c r="U710" s="3" t="n"/>
    </row>
    <row r="711" ht="15.75" customHeight="1" s="307">
      <c r="N711" s="3" t="n"/>
      <c r="U711" s="3" t="n"/>
    </row>
    <row r="712" ht="15.75" customHeight="1" s="307">
      <c r="N712" s="3" t="n"/>
      <c r="U712" s="3" t="n"/>
    </row>
    <row r="713" ht="15.75" customHeight="1" s="307">
      <c r="N713" s="3" t="n"/>
      <c r="U713" s="3" t="n"/>
    </row>
    <row r="714" ht="15.75" customHeight="1" s="307">
      <c r="N714" s="3" t="n"/>
      <c r="U714" s="3" t="n"/>
    </row>
    <row r="715" ht="15.75" customHeight="1" s="307">
      <c r="N715" s="3" t="n"/>
      <c r="U715" s="3" t="n"/>
    </row>
    <row r="716" ht="15.75" customHeight="1" s="307">
      <c r="N716" s="3" t="n"/>
      <c r="U716" s="3" t="n"/>
    </row>
    <row r="717" ht="15.75" customHeight="1" s="307">
      <c r="N717" s="3" t="n"/>
      <c r="U717" s="3" t="n"/>
    </row>
    <row r="718" ht="15.75" customHeight="1" s="307">
      <c r="N718" s="3" t="n"/>
      <c r="U718" s="3" t="n"/>
    </row>
    <row r="719" ht="15.75" customHeight="1" s="307">
      <c r="N719" s="3" t="n"/>
      <c r="U719" s="3" t="n"/>
    </row>
    <row r="720" ht="15.75" customHeight="1" s="307">
      <c r="N720" s="3" t="n"/>
      <c r="U720" s="3" t="n"/>
    </row>
    <row r="721" ht="15.75" customHeight="1" s="307">
      <c r="N721" s="3" t="n"/>
      <c r="U721" s="3" t="n"/>
    </row>
    <row r="722" ht="15.75" customHeight="1" s="307">
      <c r="N722" s="3" t="n"/>
      <c r="U722" s="3" t="n"/>
    </row>
    <row r="723" ht="15.75" customHeight="1" s="307">
      <c r="N723" s="3" t="n"/>
      <c r="U723" s="3" t="n"/>
    </row>
    <row r="724" ht="15.75" customHeight="1" s="307">
      <c r="N724" s="3" t="n"/>
      <c r="U724" s="3" t="n"/>
    </row>
    <row r="725" ht="15.75" customHeight="1" s="307">
      <c r="N725" s="3" t="n"/>
      <c r="U725" s="3" t="n"/>
    </row>
    <row r="726" ht="15.75" customHeight="1" s="307">
      <c r="N726" s="3" t="n"/>
      <c r="U726" s="3" t="n"/>
    </row>
    <row r="727" ht="15.75" customHeight="1" s="307">
      <c r="N727" s="3" t="n"/>
      <c r="U727" s="3" t="n"/>
    </row>
    <row r="728" ht="15.75" customHeight="1" s="307">
      <c r="N728" s="3" t="n"/>
      <c r="U728" s="3" t="n"/>
    </row>
    <row r="729" ht="15.75" customHeight="1" s="307">
      <c r="N729" s="3" t="n"/>
      <c r="U729" s="3" t="n"/>
    </row>
    <row r="730" ht="15.75" customHeight="1" s="307">
      <c r="N730" s="3" t="n"/>
      <c r="U730" s="3" t="n"/>
    </row>
    <row r="731" ht="15.75" customHeight="1" s="307">
      <c r="N731" s="3" t="n"/>
      <c r="U731" s="3" t="n"/>
    </row>
    <row r="732" ht="15.75" customHeight="1" s="307">
      <c r="N732" s="3" t="n"/>
      <c r="U732" s="3" t="n"/>
    </row>
    <row r="733" ht="15.75" customHeight="1" s="307">
      <c r="N733" s="3" t="n"/>
      <c r="U733" s="3" t="n"/>
    </row>
    <row r="734" ht="15.75" customHeight="1" s="307">
      <c r="N734" s="3" t="n"/>
      <c r="U734" s="3" t="n"/>
    </row>
    <row r="735" ht="15.75" customHeight="1" s="307">
      <c r="N735" s="3" t="n"/>
      <c r="U735" s="3" t="n"/>
    </row>
    <row r="736" ht="15.75" customHeight="1" s="307">
      <c r="N736" s="3" t="n"/>
      <c r="U736" s="3" t="n"/>
    </row>
    <row r="737" ht="15.75" customHeight="1" s="307">
      <c r="N737" s="3" t="n"/>
      <c r="U737" s="3" t="n"/>
    </row>
    <row r="738" ht="15.75" customHeight="1" s="307">
      <c r="N738" s="3" t="n"/>
      <c r="U738" s="3" t="n"/>
    </row>
    <row r="739" ht="15.75" customHeight="1" s="307">
      <c r="N739" s="3" t="n"/>
      <c r="U739" s="3" t="n"/>
    </row>
    <row r="740" ht="15.75" customHeight="1" s="307">
      <c r="N740" s="3" t="n"/>
      <c r="U740" s="3" t="n"/>
    </row>
    <row r="741" ht="15.75" customHeight="1" s="307">
      <c r="N741" s="3" t="n"/>
      <c r="U741" s="3" t="n"/>
    </row>
    <row r="742" ht="15.75" customHeight="1" s="307">
      <c r="N742" s="3" t="n"/>
      <c r="U742" s="3" t="n"/>
    </row>
    <row r="743" ht="15.75" customHeight="1" s="307">
      <c r="N743" s="3" t="n"/>
      <c r="U743" s="3" t="n"/>
    </row>
    <row r="744" ht="15.75" customHeight="1" s="307">
      <c r="N744" s="3" t="n"/>
      <c r="U744" s="3" t="n"/>
    </row>
    <row r="745" ht="15.75" customHeight="1" s="307">
      <c r="N745" s="3" t="n"/>
      <c r="U745" s="3" t="n"/>
    </row>
    <row r="746" ht="15.75" customHeight="1" s="307">
      <c r="N746" s="3" t="n"/>
      <c r="U746" s="3" t="n"/>
    </row>
    <row r="747" ht="15.75" customHeight="1" s="307">
      <c r="N747" s="3" t="n"/>
      <c r="U747" s="3" t="n"/>
    </row>
    <row r="748" ht="15.75" customHeight="1" s="307">
      <c r="N748" s="3" t="n"/>
      <c r="U748" s="3" t="n"/>
    </row>
    <row r="749" ht="15.75" customHeight="1" s="307">
      <c r="N749" s="3" t="n"/>
      <c r="U749" s="3" t="n"/>
    </row>
    <row r="750" ht="15.75" customHeight="1" s="307">
      <c r="N750" s="3" t="n"/>
      <c r="U750" s="3" t="n"/>
    </row>
    <row r="751" ht="15.75" customHeight="1" s="307">
      <c r="N751" s="3" t="n"/>
      <c r="U751" s="3" t="n"/>
    </row>
    <row r="752" ht="15.75" customHeight="1" s="307">
      <c r="N752" s="3" t="n"/>
      <c r="U752" s="3" t="n"/>
    </row>
    <row r="753" ht="15.75" customHeight="1" s="307">
      <c r="N753" s="3" t="n"/>
      <c r="U753" s="3" t="n"/>
    </row>
    <row r="754" ht="15.75" customHeight="1" s="307">
      <c r="N754" s="3" t="n"/>
      <c r="U754" s="3" t="n"/>
    </row>
    <row r="755" ht="15.75" customHeight="1" s="307">
      <c r="N755" s="3" t="n"/>
      <c r="U755" s="3" t="n"/>
    </row>
    <row r="756" ht="15.75" customHeight="1" s="307">
      <c r="N756" s="3" t="n"/>
      <c r="U756" s="3" t="n"/>
    </row>
    <row r="757" ht="15.75" customHeight="1" s="307">
      <c r="N757" s="3" t="n"/>
      <c r="U757" s="3" t="n"/>
    </row>
    <row r="758" ht="15.75" customHeight="1" s="307">
      <c r="N758" s="3" t="n"/>
      <c r="U758" s="3" t="n"/>
    </row>
    <row r="759" ht="15.75" customHeight="1" s="307">
      <c r="N759" s="3" t="n"/>
      <c r="U759" s="3" t="n"/>
    </row>
    <row r="760" ht="15.75" customHeight="1" s="307">
      <c r="N760" s="3" t="n"/>
      <c r="U760" s="3" t="n"/>
    </row>
    <row r="761" ht="15.75" customHeight="1" s="307">
      <c r="N761" s="3" t="n"/>
      <c r="U761" s="3" t="n"/>
    </row>
    <row r="762" ht="15.75" customHeight="1" s="307">
      <c r="N762" s="3" t="n"/>
      <c r="U762" s="3" t="n"/>
    </row>
    <row r="763" ht="15.75" customHeight="1" s="307">
      <c r="N763" s="3" t="n"/>
      <c r="U763" s="3" t="n"/>
    </row>
    <row r="764" ht="15.75" customHeight="1" s="307">
      <c r="N764" s="3" t="n"/>
      <c r="U764" s="3" t="n"/>
    </row>
    <row r="765" ht="15.75" customHeight="1" s="307">
      <c r="N765" s="3" t="n"/>
      <c r="U765" s="3" t="n"/>
    </row>
    <row r="766" ht="15.75" customHeight="1" s="307">
      <c r="N766" s="3" t="n"/>
      <c r="U766" s="3" t="n"/>
    </row>
    <row r="767" ht="15.75" customHeight="1" s="307">
      <c r="N767" s="3" t="n"/>
      <c r="U767" s="3" t="n"/>
    </row>
    <row r="768" ht="15.75" customHeight="1" s="307">
      <c r="N768" s="3" t="n"/>
      <c r="U768" s="3" t="n"/>
    </row>
    <row r="769" ht="15.75" customHeight="1" s="307">
      <c r="N769" s="3" t="n"/>
      <c r="U769" s="3" t="n"/>
    </row>
    <row r="770" ht="15.75" customHeight="1" s="307">
      <c r="N770" s="3" t="n"/>
      <c r="U770" s="3" t="n"/>
    </row>
    <row r="771" ht="15.75" customHeight="1" s="307">
      <c r="N771" s="3" t="n"/>
      <c r="U771" s="3" t="n"/>
    </row>
    <row r="772" ht="15.75" customHeight="1" s="307">
      <c r="N772" s="3" t="n"/>
      <c r="U772" s="3" t="n"/>
    </row>
    <row r="773" ht="15.75" customHeight="1" s="307">
      <c r="N773" s="3" t="n"/>
      <c r="U773" s="3" t="n"/>
    </row>
    <row r="774" ht="15.75" customHeight="1" s="307">
      <c r="N774" s="3" t="n"/>
      <c r="U774" s="3" t="n"/>
    </row>
    <row r="775" ht="15.75" customHeight="1" s="307">
      <c r="N775" s="3" t="n"/>
      <c r="U775" s="3" t="n"/>
    </row>
    <row r="776" ht="15.75" customHeight="1" s="307">
      <c r="N776" s="3" t="n"/>
      <c r="U776" s="3" t="n"/>
    </row>
    <row r="777" ht="15.75" customHeight="1" s="307">
      <c r="N777" s="3" t="n"/>
      <c r="U777" s="3" t="n"/>
    </row>
    <row r="778" ht="15.75" customHeight="1" s="307">
      <c r="N778" s="3" t="n"/>
      <c r="U778" s="3" t="n"/>
    </row>
    <row r="779" ht="15.75" customHeight="1" s="307">
      <c r="N779" s="3" t="n"/>
      <c r="U779" s="3" t="n"/>
    </row>
    <row r="780" ht="15.75" customHeight="1" s="307">
      <c r="N780" s="3" t="n"/>
      <c r="U780" s="3" t="n"/>
    </row>
    <row r="781" ht="15.75" customHeight="1" s="307">
      <c r="N781" s="3" t="n"/>
      <c r="U781" s="3" t="n"/>
    </row>
    <row r="782" ht="15.75" customHeight="1" s="307">
      <c r="N782" s="3" t="n"/>
      <c r="U782" s="3" t="n"/>
    </row>
    <row r="783" ht="15.75" customHeight="1" s="307">
      <c r="N783" s="3" t="n"/>
      <c r="U783" s="3" t="n"/>
    </row>
    <row r="784" ht="15.75" customHeight="1" s="307">
      <c r="N784" s="3" t="n"/>
      <c r="U784" s="3" t="n"/>
    </row>
    <row r="785" ht="15.75" customHeight="1" s="307">
      <c r="N785" s="3" t="n"/>
      <c r="U785" s="3" t="n"/>
    </row>
    <row r="786" ht="15.75" customHeight="1" s="307">
      <c r="N786" s="3" t="n"/>
      <c r="U786" s="3" t="n"/>
    </row>
    <row r="787" ht="15.75" customHeight="1" s="307">
      <c r="N787" s="3" t="n"/>
      <c r="U787" s="3" t="n"/>
    </row>
    <row r="788" ht="15.75" customHeight="1" s="307">
      <c r="N788" s="3" t="n"/>
      <c r="U788" s="3" t="n"/>
    </row>
    <row r="789" ht="15.75" customHeight="1" s="307">
      <c r="N789" s="3" t="n"/>
      <c r="U789" s="3" t="n"/>
    </row>
    <row r="790" ht="15.75" customHeight="1" s="307">
      <c r="N790" s="3" t="n"/>
      <c r="U790" s="3" t="n"/>
    </row>
    <row r="791" ht="15.75" customHeight="1" s="307">
      <c r="N791" s="3" t="n"/>
      <c r="U791" s="3" t="n"/>
    </row>
    <row r="792" ht="15.75" customHeight="1" s="307">
      <c r="N792" s="3" t="n"/>
      <c r="U792" s="3" t="n"/>
    </row>
    <row r="793" ht="15.75" customHeight="1" s="307">
      <c r="N793" s="3" t="n"/>
      <c r="U793" s="3" t="n"/>
    </row>
    <row r="794" ht="15.75" customHeight="1" s="307">
      <c r="N794" s="3" t="n"/>
      <c r="U794" s="3" t="n"/>
    </row>
    <row r="795" ht="15.75" customHeight="1" s="307">
      <c r="N795" s="3" t="n"/>
      <c r="U795" s="3" t="n"/>
    </row>
    <row r="796" ht="15.75" customHeight="1" s="307">
      <c r="N796" s="3" t="n"/>
      <c r="U796" s="3" t="n"/>
    </row>
    <row r="797" ht="15.75" customHeight="1" s="307">
      <c r="N797" s="3" t="n"/>
      <c r="U797" s="3" t="n"/>
    </row>
    <row r="798" ht="15.75" customHeight="1" s="307">
      <c r="N798" s="3" t="n"/>
      <c r="U798" s="3" t="n"/>
    </row>
    <row r="799" ht="15.75" customHeight="1" s="307">
      <c r="N799" s="3" t="n"/>
      <c r="U799" s="3" t="n"/>
    </row>
    <row r="800" ht="15.75" customHeight="1" s="307">
      <c r="N800" s="3" t="n"/>
      <c r="U800" s="3" t="n"/>
    </row>
    <row r="801" ht="15.75" customHeight="1" s="307">
      <c r="N801" s="3" t="n"/>
      <c r="U801" s="3" t="n"/>
    </row>
    <row r="802" ht="15.75" customHeight="1" s="307">
      <c r="N802" s="3" t="n"/>
      <c r="U802" s="3" t="n"/>
    </row>
    <row r="803" ht="15.75" customHeight="1" s="307">
      <c r="N803" s="3" t="n"/>
      <c r="U803" s="3" t="n"/>
    </row>
    <row r="804" ht="15.75" customHeight="1" s="307">
      <c r="N804" s="3" t="n"/>
      <c r="U804" s="3" t="n"/>
    </row>
    <row r="805" ht="15.75" customHeight="1" s="307">
      <c r="N805" s="3" t="n"/>
      <c r="U805" s="3" t="n"/>
    </row>
    <row r="806" ht="15.75" customHeight="1" s="307">
      <c r="N806" s="3" t="n"/>
      <c r="U806" s="3" t="n"/>
    </row>
    <row r="807" ht="15.75" customHeight="1" s="307">
      <c r="N807" s="3" t="n"/>
      <c r="U807" s="3" t="n"/>
    </row>
    <row r="808" ht="15.75" customHeight="1" s="307">
      <c r="N808" s="3" t="n"/>
      <c r="U808" s="3" t="n"/>
    </row>
    <row r="809" ht="15.75" customHeight="1" s="307">
      <c r="N809" s="3" t="n"/>
      <c r="U809" s="3" t="n"/>
    </row>
    <row r="810" ht="15.75" customHeight="1" s="307">
      <c r="N810" s="3" t="n"/>
      <c r="U810" s="3" t="n"/>
    </row>
    <row r="811" ht="15.75" customHeight="1" s="307">
      <c r="N811" s="3" t="n"/>
      <c r="U811" s="3" t="n"/>
    </row>
    <row r="812" ht="15.75" customHeight="1" s="307">
      <c r="N812" s="3" t="n"/>
      <c r="U812" s="3" t="n"/>
    </row>
    <row r="813" ht="15.75" customHeight="1" s="307">
      <c r="N813" s="3" t="n"/>
      <c r="U813" s="3" t="n"/>
    </row>
    <row r="814" ht="15.75" customHeight="1" s="307">
      <c r="N814" s="3" t="n"/>
      <c r="U814" s="3" t="n"/>
    </row>
    <row r="815" ht="15.75" customHeight="1" s="307">
      <c r="N815" s="3" t="n"/>
      <c r="U815" s="3" t="n"/>
    </row>
    <row r="816" ht="15.75" customHeight="1" s="307">
      <c r="N816" s="3" t="n"/>
      <c r="U816" s="3" t="n"/>
    </row>
    <row r="817" ht="15.75" customHeight="1" s="307">
      <c r="N817" s="3" t="n"/>
      <c r="U817" s="3" t="n"/>
    </row>
    <row r="818" ht="15.75" customHeight="1" s="307">
      <c r="N818" s="3" t="n"/>
      <c r="U818" s="3" t="n"/>
    </row>
    <row r="819" ht="15.75" customHeight="1" s="307">
      <c r="N819" s="3" t="n"/>
      <c r="U819" s="3" t="n"/>
    </row>
    <row r="820" ht="15.75" customHeight="1" s="307">
      <c r="N820" s="3" t="n"/>
      <c r="U820" s="3" t="n"/>
    </row>
    <row r="821" ht="15.75" customHeight="1" s="307">
      <c r="N821" s="3" t="n"/>
      <c r="U821" s="3" t="n"/>
    </row>
    <row r="822" ht="15.75" customHeight="1" s="307">
      <c r="N822" s="3" t="n"/>
      <c r="U822" s="3" t="n"/>
    </row>
    <row r="823" ht="15.75" customHeight="1" s="307">
      <c r="N823" s="3" t="n"/>
      <c r="U823" s="3" t="n"/>
    </row>
    <row r="824" ht="15.75" customHeight="1" s="307">
      <c r="N824" s="3" t="n"/>
      <c r="U824" s="3" t="n"/>
    </row>
    <row r="825" ht="15.75" customHeight="1" s="307">
      <c r="N825" s="3" t="n"/>
      <c r="U825" s="3" t="n"/>
    </row>
    <row r="826" ht="15.75" customHeight="1" s="307">
      <c r="N826" s="3" t="n"/>
      <c r="U826" s="3" t="n"/>
    </row>
    <row r="827" ht="15.75" customHeight="1" s="307">
      <c r="N827" s="3" t="n"/>
      <c r="U827" s="3" t="n"/>
    </row>
    <row r="828" ht="15.75" customHeight="1" s="307">
      <c r="N828" s="3" t="n"/>
      <c r="U828" s="3" t="n"/>
    </row>
    <row r="829" ht="15.75" customHeight="1" s="307">
      <c r="N829" s="3" t="n"/>
      <c r="U829" s="3" t="n"/>
    </row>
    <row r="830" ht="15.75" customHeight="1" s="307">
      <c r="N830" s="3" t="n"/>
      <c r="U830" s="3" t="n"/>
    </row>
    <row r="831" ht="15.75" customHeight="1" s="307">
      <c r="N831" s="3" t="n"/>
      <c r="U831" s="3" t="n"/>
    </row>
    <row r="832" ht="15.75" customHeight="1" s="307">
      <c r="N832" s="3" t="n"/>
      <c r="U832" s="3" t="n"/>
    </row>
    <row r="833" ht="15.75" customHeight="1" s="307">
      <c r="N833" s="3" t="n"/>
      <c r="U833" s="3" t="n"/>
    </row>
    <row r="834" ht="15.75" customHeight="1" s="307">
      <c r="N834" s="3" t="n"/>
      <c r="U834" s="3" t="n"/>
    </row>
    <row r="835" ht="15.75" customHeight="1" s="307">
      <c r="N835" s="3" t="n"/>
      <c r="U835" s="3" t="n"/>
    </row>
    <row r="836" ht="15.75" customHeight="1" s="307">
      <c r="N836" s="3" t="n"/>
      <c r="U836" s="3" t="n"/>
    </row>
    <row r="837" ht="15.75" customHeight="1" s="307">
      <c r="N837" s="3" t="n"/>
      <c r="U837" s="3" t="n"/>
    </row>
    <row r="838" ht="15.75" customHeight="1" s="307">
      <c r="N838" s="3" t="n"/>
      <c r="U838" s="3" t="n"/>
    </row>
    <row r="839" ht="15.75" customHeight="1" s="307">
      <c r="N839" s="3" t="n"/>
      <c r="U839" s="3" t="n"/>
    </row>
    <row r="840" ht="15.75" customHeight="1" s="307">
      <c r="N840" s="3" t="n"/>
      <c r="U840" s="3" t="n"/>
    </row>
    <row r="841" ht="15.75" customHeight="1" s="307">
      <c r="N841" s="3" t="n"/>
      <c r="U841" s="3" t="n"/>
    </row>
    <row r="842" ht="15.75" customHeight="1" s="307">
      <c r="N842" s="3" t="n"/>
      <c r="U842" s="3" t="n"/>
    </row>
    <row r="843" ht="15.75" customHeight="1" s="307">
      <c r="N843" s="3" t="n"/>
      <c r="U843" s="3" t="n"/>
    </row>
    <row r="844" ht="15.75" customHeight="1" s="307">
      <c r="N844" s="3" t="n"/>
      <c r="U844" s="3" t="n"/>
    </row>
    <row r="845" ht="15.75" customHeight="1" s="307">
      <c r="N845" s="3" t="n"/>
      <c r="U845" s="3" t="n"/>
    </row>
    <row r="846" ht="15.75" customHeight="1" s="307">
      <c r="N846" s="3" t="n"/>
      <c r="U846" s="3" t="n"/>
    </row>
    <row r="847" ht="15.75" customHeight="1" s="307">
      <c r="N847" s="3" t="n"/>
      <c r="U847" s="3" t="n"/>
    </row>
    <row r="848" ht="15.75" customHeight="1" s="307">
      <c r="N848" s="3" t="n"/>
      <c r="U848" s="3" t="n"/>
    </row>
    <row r="849" ht="15.75" customHeight="1" s="307">
      <c r="N849" s="3" t="n"/>
      <c r="U849" s="3" t="n"/>
    </row>
    <row r="850" ht="15.75" customHeight="1" s="307">
      <c r="N850" s="3" t="n"/>
      <c r="U850" s="3" t="n"/>
    </row>
    <row r="851" ht="15.75" customHeight="1" s="307">
      <c r="N851" s="3" t="n"/>
      <c r="U851" s="3" t="n"/>
    </row>
    <row r="852" ht="15.75" customHeight="1" s="307">
      <c r="N852" s="3" t="n"/>
      <c r="U852" s="3" t="n"/>
    </row>
    <row r="853" ht="15.75" customHeight="1" s="307">
      <c r="N853" s="3" t="n"/>
      <c r="U853" s="3" t="n"/>
    </row>
    <row r="854" ht="15.75" customHeight="1" s="307">
      <c r="N854" s="3" t="n"/>
      <c r="U854" s="3" t="n"/>
    </row>
    <row r="855" ht="15.75" customHeight="1" s="307">
      <c r="N855" s="3" t="n"/>
      <c r="U855" s="3" t="n"/>
    </row>
    <row r="856" ht="15.75" customHeight="1" s="307">
      <c r="N856" s="3" t="n"/>
      <c r="U856" s="3" t="n"/>
    </row>
    <row r="857" ht="15.75" customHeight="1" s="307">
      <c r="N857" s="3" t="n"/>
      <c r="U857" s="3" t="n"/>
    </row>
    <row r="858" ht="15.75" customHeight="1" s="307">
      <c r="N858" s="3" t="n"/>
      <c r="U858" s="3" t="n"/>
    </row>
    <row r="859" ht="15.75" customHeight="1" s="307">
      <c r="N859" s="3" t="n"/>
      <c r="U859" s="3" t="n"/>
    </row>
    <row r="860" ht="15.75" customHeight="1" s="307">
      <c r="N860" s="3" t="n"/>
      <c r="U860" s="3" t="n"/>
    </row>
    <row r="861" ht="15.75" customHeight="1" s="307">
      <c r="N861" s="3" t="n"/>
      <c r="U861" s="3" t="n"/>
    </row>
    <row r="862" ht="15.75" customHeight="1" s="307">
      <c r="N862" s="3" t="n"/>
      <c r="U862" s="3" t="n"/>
    </row>
    <row r="863" ht="15.75" customHeight="1" s="307">
      <c r="N863" s="3" t="n"/>
      <c r="U863" s="3" t="n"/>
    </row>
    <row r="864" ht="15.75" customHeight="1" s="307">
      <c r="N864" s="3" t="n"/>
      <c r="U864" s="3" t="n"/>
    </row>
    <row r="865" ht="15.75" customHeight="1" s="307">
      <c r="N865" s="3" t="n"/>
      <c r="U865" s="3" t="n"/>
    </row>
    <row r="866" ht="15.75" customHeight="1" s="307">
      <c r="N866" s="3" t="n"/>
      <c r="U866" s="3" t="n"/>
    </row>
    <row r="867" ht="15.75" customHeight="1" s="307">
      <c r="N867" s="3" t="n"/>
      <c r="U867" s="3" t="n"/>
    </row>
    <row r="868" ht="15.75" customHeight="1" s="307">
      <c r="N868" s="3" t="n"/>
      <c r="U868" s="3" t="n"/>
    </row>
    <row r="869" ht="15.75" customHeight="1" s="307">
      <c r="N869" s="3" t="n"/>
      <c r="U869" s="3" t="n"/>
    </row>
    <row r="870" ht="15.75" customHeight="1" s="307">
      <c r="N870" s="3" t="n"/>
      <c r="U870" s="3" t="n"/>
    </row>
    <row r="871" ht="15.75" customHeight="1" s="307">
      <c r="N871" s="3" t="n"/>
      <c r="U871" s="3" t="n"/>
    </row>
    <row r="872" ht="15.75" customHeight="1" s="307">
      <c r="N872" s="3" t="n"/>
      <c r="U872" s="3" t="n"/>
    </row>
    <row r="873" ht="15.75" customHeight="1" s="307">
      <c r="N873" s="3" t="n"/>
      <c r="U873" s="3" t="n"/>
    </row>
    <row r="874" ht="15.75" customHeight="1" s="307">
      <c r="N874" s="3" t="n"/>
      <c r="U874" s="3" t="n"/>
    </row>
    <row r="875" ht="15.75" customHeight="1" s="307">
      <c r="N875" s="3" t="n"/>
      <c r="U875" s="3" t="n"/>
    </row>
    <row r="876" ht="15.75" customHeight="1" s="307">
      <c r="N876" s="3" t="n"/>
      <c r="U876" s="3" t="n"/>
    </row>
    <row r="877" ht="15.75" customHeight="1" s="307">
      <c r="N877" s="3" t="n"/>
      <c r="U877" s="3" t="n"/>
    </row>
    <row r="878" ht="15.75" customHeight="1" s="307">
      <c r="N878" s="3" t="n"/>
      <c r="U878" s="3" t="n"/>
    </row>
    <row r="879" ht="15.75" customHeight="1" s="307">
      <c r="N879" s="3" t="n"/>
      <c r="U879" s="3" t="n"/>
    </row>
    <row r="880" ht="15.75" customHeight="1" s="307">
      <c r="N880" s="3" t="n"/>
      <c r="U880" s="3" t="n"/>
    </row>
    <row r="881" ht="15.75" customHeight="1" s="307">
      <c r="N881" s="3" t="n"/>
      <c r="U881" s="3" t="n"/>
    </row>
    <row r="882" ht="15.75" customHeight="1" s="307">
      <c r="N882" s="3" t="n"/>
      <c r="U882" s="3" t="n"/>
    </row>
    <row r="883" ht="15.75" customHeight="1" s="307">
      <c r="N883" s="3" t="n"/>
      <c r="U883" s="3" t="n"/>
    </row>
    <row r="884" ht="15.75" customHeight="1" s="307">
      <c r="N884" s="3" t="n"/>
      <c r="U884" s="3" t="n"/>
    </row>
    <row r="885" ht="15.75" customHeight="1" s="307">
      <c r="N885" s="3" t="n"/>
      <c r="U885" s="3" t="n"/>
    </row>
    <row r="886" ht="15.75" customHeight="1" s="307">
      <c r="N886" s="3" t="n"/>
      <c r="U886" s="3" t="n"/>
    </row>
    <row r="887" ht="15.75" customHeight="1" s="307">
      <c r="N887" s="3" t="n"/>
      <c r="U887" s="3" t="n"/>
    </row>
    <row r="888" ht="15.75" customHeight="1" s="307">
      <c r="N888" s="3" t="n"/>
      <c r="U888" s="3" t="n"/>
    </row>
    <row r="889" ht="15.75" customHeight="1" s="307">
      <c r="N889" s="3" t="n"/>
      <c r="U889" s="3" t="n"/>
    </row>
    <row r="890" ht="15.75" customHeight="1" s="307">
      <c r="N890" s="3" t="n"/>
      <c r="U890" s="3" t="n"/>
    </row>
    <row r="891" ht="15.75" customHeight="1" s="307">
      <c r="N891" s="3" t="n"/>
      <c r="U891" s="3" t="n"/>
    </row>
    <row r="892" ht="15.75" customHeight="1" s="307">
      <c r="N892" s="3" t="n"/>
      <c r="U892" s="3" t="n"/>
    </row>
    <row r="893" ht="15.75" customHeight="1" s="307">
      <c r="N893" s="3" t="n"/>
      <c r="U893" s="3" t="n"/>
    </row>
    <row r="894" ht="15.75" customHeight="1" s="307">
      <c r="N894" s="3" t="n"/>
      <c r="U894" s="3" t="n"/>
    </row>
    <row r="895" ht="15.75" customHeight="1" s="307">
      <c r="N895" s="3" t="n"/>
      <c r="U895" s="3" t="n"/>
    </row>
    <row r="896" ht="15.75" customHeight="1" s="307">
      <c r="N896" s="3" t="n"/>
      <c r="U896" s="3" t="n"/>
    </row>
    <row r="897" ht="15.75" customHeight="1" s="307">
      <c r="N897" s="3" t="n"/>
      <c r="U897" s="3" t="n"/>
    </row>
    <row r="898" ht="15.75" customHeight="1" s="307">
      <c r="N898" s="3" t="n"/>
      <c r="U898" s="3" t="n"/>
    </row>
    <row r="899" ht="15.75" customHeight="1" s="307">
      <c r="N899" s="3" t="n"/>
      <c r="U899" s="3" t="n"/>
    </row>
    <row r="900" ht="15.75" customHeight="1" s="307">
      <c r="N900" s="3" t="n"/>
      <c r="U900" s="3" t="n"/>
    </row>
    <row r="901" ht="15.75" customHeight="1" s="307">
      <c r="N901" s="3" t="n"/>
      <c r="U901" s="3" t="n"/>
    </row>
    <row r="902" ht="15.75" customHeight="1" s="307">
      <c r="N902" s="3" t="n"/>
      <c r="U902" s="3" t="n"/>
    </row>
    <row r="903" ht="15.75" customHeight="1" s="307">
      <c r="N903" s="3" t="n"/>
      <c r="U903" s="3" t="n"/>
    </row>
    <row r="904" ht="15.75" customHeight="1" s="307">
      <c r="N904" s="3" t="n"/>
      <c r="U904" s="3" t="n"/>
    </row>
    <row r="905" ht="15.75" customHeight="1" s="307">
      <c r="N905" s="3" t="n"/>
      <c r="U905" s="3" t="n"/>
    </row>
    <row r="906" ht="15.75" customHeight="1" s="307">
      <c r="N906" s="3" t="n"/>
      <c r="U906" s="3" t="n"/>
    </row>
    <row r="907" ht="15.75" customHeight="1" s="307">
      <c r="N907" s="3" t="n"/>
      <c r="U907" s="3" t="n"/>
    </row>
    <row r="908" ht="15.75" customHeight="1" s="307">
      <c r="N908" s="3" t="n"/>
      <c r="U908" s="3" t="n"/>
    </row>
    <row r="909" ht="15.75" customHeight="1" s="307">
      <c r="N909" s="3" t="n"/>
      <c r="U909" s="3" t="n"/>
    </row>
    <row r="910" ht="15.75" customHeight="1" s="307">
      <c r="N910" s="3" t="n"/>
      <c r="U910" s="3" t="n"/>
    </row>
    <row r="911" ht="15.75" customHeight="1" s="307">
      <c r="N911" s="3" t="n"/>
      <c r="U911" s="3" t="n"/>
    </row>
    <row r="912" ht="15.75" customHeight="1" s="307">
      <c r="N912" s="3" t="n"/>
      <c r="U912" s="3" t="n"/>
    </row>
    <row r="913" ht="15.75" customHeight="1" s="307">
      <c r="N913" s="3" t="n"/>
      <c r="U913" s="3" t="n"/>
    </row>
    <row r="914" ht="15.75" customHeight="1" s="307">
      <c r="N914" s="3" t="n"/>
      <c r="U914" s="3" t="n"/>
    </row>
    <row r="915" ht="15.75" customHeight="1" s="307">
      <c r="N915" s="3" t="n"/>
      <c r="U915" s="3" t="n"/>
    </row>
    <row r="916" ht="15.75" customHeight="1" s="307">
      <c r="N916" s="3" t="n"/>
      <c r="U916" s="3" t="n"/>
    </row>
    <row r="917" ht="15.75" customHeight="1" s="307">
      <c r="N917" s="3" t="n"/>
      <c r="U917" s="3" t="n"/>
    </row>
    <row r="918" ht="15.75" customHeight="1" s="307">
      <c r="N918" s="3" t="n"/>
      <c r="U918" s="3" t="n"/>
    </row>
    <row r="919" ht="15.75" customHeight="1" s="307">
      <c r="N919" s="3" t="n"/>
      <c r="U919" s="3" t="n"/>
    </row>
    <row r="920" ht="15.75" customHeight="1" s="307">
      <c r="N920" s="3" t="n"/>
      <c r="U920" s="3" t="n"/>
    </row>
    <row r="921" ht="15.75" customHeight="1" s="307">
      <c r="N921" s="3" t="n"/>
      <c r="U921" s="3" t="n"/>
    </row>
    <row r="922" ht="15.75" customHeight="1" s="307">
      <c r="N922" s="3" t="n"/>
      <c r="U922" s="3" t="n"/>
    </row>
    <row r="923" ht="15.75" customHeight="1" s="307">
      <c r="N923" s="3" t="n"/>
      <c r="U923" s="3" t="n"/>
    </row>
    <row r="924" ht="15.75" customHeight="1" s="307">
      <c r="N924" s="3" t="n"/>
      <c r="U924" s="3" t="n"/>
    </row>
    <row r="925" ht="15.75" customHeight="1" s="307">
      <c r="N925" s="3" t="n"/>
      <c r="U925" s="3" t="n"/>
    </row>
    <row r="926" ht="15.75" customHeight="1" s="307">
      <c r="N926" s="3" t="n"/>
      <c r="U926" s="3" t="n"/>
    </row>
    <row r="927" ht="15.75" customHeight="1" s="307">
      <c r="N927" s="3" t="n"/>
      <c r="U927" s="3" t="n"/>
    </row>
    <row r="928" ht="15.75" customHeight="1" s="307">
      <c r="N928" s="3" t="n"/>
      <c r="U928" s="3" t="n"/>
    </row>
    <row r="929" ht="15.75" customHeight="1" s="307">
      <c r="N929" s="3" t="n"/>
      <c r="U929" s="3" t="n"/>
    </row>
    <row r="930" ht="15.75" customHeight="1" s="307">
      <c r="N930" s="3" t="n"/>
      <c r="U930" s="3" t="n"/>
    </row>
    <row r="931" ht="15.75" customHeight="1" s="307">
      <c r="N931" s="3" t="n"/>
      <c r="U931" s="3" t="n"/>
    </row>
    <row r="932" ht="15.75" customHeight="1" s="307">
      <c r="N932" s="3" t="n"/>
      <c r="U932" s="3" t="n"/>
    </row>
    <row r="933" ht="15.75" customHeight="1" s="307">
      <c r="N933" s="3" t="n"/>
      <c r="U933" s="3" t="n"/>
    </row>
    <row r="934" ht="15.75" customHeight="1" s="307">
      <c r="N934" s="3" t="n"/>
      <c r="U934" s="3" t="n"/>
    </row>
    <row r="935" ht="15.75" customHeight="1" s="307">
      <c r="N935" s="3" t="n"/>
      <c r="U935" s="3" t="n"/>
    </row>
    <row r="936" ht="15.75" customHeight="1" s="307">
      <c r="N936" s="3" t="n"/>
      <c r="U936" s="3" t="n"/>
    </row>
    <row r="937" ht="15.75" customHeight="1" s="307">
      <c r="N937" s="3" t="n"/>
      <c r="U937" s="3" t="n"/>
    </row>
    <row r="938" ht="15.75" customHeight="1" s="307">
      <c r="N938" s="3" t="n"/>
      <c r="U938" s="3" t="n"/>
    </row>
    <row r="939" ht="15.75" customHeight="1" s="307">
      <c r="N939" s="3" t="n"/>
      <c r="U939" s="3" t="n"/>
    </row>
    <row r="940" ht="15.75" customHeight="1" s="307">
      <c r="N940" s="3" t="n"/>
      <c r="U940" s="3" t="n"/>
    </row>
    <row r="941" ht="15.75" customHeight="1" s="307">
      <c r="N941" s="3" t="n"/>
      <c r="U941" s="3" t="n"/>
    </row>
    <row r="942" ht="15.75" customHeight="1" s="307">
      <c r="N942" s="3" t="n"/>
      <c r="U942" s="3" t="n"/>
    </row>
    <row r="943" ht="15.75" customHeight="1" s="307">
      <c r="N943" s="3" t="n"/>
      <c r="U943" s="3" t="n"/>
    </row>
    <row r="944" ht="15.75" customHeight="1" s="307">
      <c r="N944" s="3" t="n"/>
      <c r="U944" s="3" t="n"/>
    </row>
    <row r="945" ht="15.75" customHeight="1" s="307">
      <c r="N945" s="3" t="n"/>
      <c r="U945" s="3" t="n"/>
    </row>
    <row r="946" ht="15.75" customHeight="1" s="307">
      <c r="N946" s="3" t="n"/>
      <c r="U946" s="3" t="n"/>
    </row>
    <row r="947" ht="15.75" customHeight="1" s="307">
      <c r="N947" s="3" t="n"/>
      <c r="U947" s="3" t="n"/>
    </row>
    <row r="948" ht="15.75" customHeight="1" s="307">
      <c r="N948" s="3" t="n"/>
      <c r="U948" s="3" t="n"/>
    </row>
    <row r="949" ht="15.75" customHeight="1" s="307">
      <c r="N949" s="3" t="n"/>
      <c r="U949" s="3" t="n"/>
    </row>
    <row r="950" ht="15.75" customHeight="1" s="307">
      <c r="N950" s="3" t="n"/>
      <c r="U950" s="3" t="n"/>
    </row>
    <row r="951" ht="15.75" customHeight="1" s="307">
      <c r="N951" s="3" t="n"/>
      <c r="U951" s="3" t="n"/>
    </row>
    <row r="952" ht="15.75" customHeight="1" s="307">
      <c r="N952" s="3" t="n"/>
      <c r="U952" s="3" t="n"/>
    </row>
    <row r="953" ht="15.75" customHeight="1" s="307">
      <c r="N953" s="3" t="n"/>
      <c r="U953" s="3" t="n"/>
    </row>
    <row r="954" ht="15.75" customHeight="1" s="307">
      <c r="N954" s="3" t="n"/>
      <c r="U954" s="3" t="n"/>
    </row>
    <row r="955" ht="15.75" customHeight="1" s="307">
      <c r="N955" s="3" t="n"/>
      <c r="U955" s="3" t="n"/>
    </row>
    <row r="956" ht="15.75" customHeight="1" s="307">
      <c r="N956" s="3" t="n"/>
      <c r="U956" s="3" t="n"/>
    </row>
    <row r="957" ht="15.75" customHeight="1" s="307">
      <c r="N957" s="3" t="n"/>
      <c r="U957" s="3" t="n"/>
    </row>
    <row r="958" ht="15.75" customHeight="1" s="307">
      <c r="N958" s="3" t="n"/>
      <c r="U958" s="3" t="n"/>
    </row>
    <row r="959" ht="15.75" customHeight="1" s="307">
      <c r="N959" s="3" t="n"/>
      <c r="U959" s="3" t="n"/>
    </row>
    <row r="960" ht="15.75" customHeight="1" s="307">
      <c r="N960" s="3" t="n"/>
      <c r="U960" s="3" t="n"/>
    </row>
    <row r="961" ht="15.75" customHeight="1" s="307">
      <c r="N961" s="3" t="n"/>
      <c r="U961" s="3" t="n"/>
    </row>
    <row r="962" ht="15.75" customHeight="1" s="307">
      <c r="N962" s="3" t="n"/>
      <c r="U962" s="3" t="n"/>
    </row>
    <row r="963" ht="15.75" customHeight="1" s="307">
      <c r="N963" s="3" t="n"/>
      <c r="U963" s="3" t="n"/>
    </row>
    <row r="964" ht="15.75" customHeight="1" s="307">
      <c r="N964" s="3" t="n"/>
      <c r="U964" s="3" t="n"/>
    </row>
    <row r="965" ht="15.75" customHeight="1" s="307">
      <c r="N965" s="3" t="n"/>
      <c r="U965" s="3" t="n"/>
    </row>
    <row r="966" ht="15.75" customHeight="1" s="307">
      <c r="N966" s="3" t="n"/>
      <c r="U966" s="3" t="n"/>
    </row>
    <row r="967" ht="15.75" customHeight="1" s="307">
      <c r="N967" s="3" t="n"/>
      <c r="U967" s="3" t="n"/>
    </row>
    <row r="968" ht="15.75" customHeight="1" s="307">
      <c r="N968" s="3" t="n"/>
      <c r="U968" s="3" t="n"/>
    </row>
    <row r="969" ht="15.75" customHeight="1" s="307">
      <c r="N969" s="3" t="n"/>
      <c r="U969" s="3" t="n"/>
    </row>
    <row r="970" ht="15.75" customHeight="1" s="307">
      <c r="N970" s="3" t="n"/>
      <c r="U970" s="3" t="n"/>
    </row>
    <row r="971" ht="15.75" customHeight="1" s="307">
      <c r="N971" s="3" t="n"/>
      <c r="U971" s="3" t="n"/>
    </row>
    <row r="972" ht="15.75" customHeight="1" s="307">
      <c r="N972" s="3" t="n"/>
      <c r="U972" s="3" t="n"/>
    </row>
    <row r="973" ht="15.75" customHeight="1" s="307">
      <c r="N973" s="3" t="n"/>
      <c r="U973" s="3" t="n"/>
    </row>
    <row r="974" ht="15.75" customHeight="1" s="307">
      <c r="N974" s="3" t="n"/>
      <c r="U974" s="3" t="n"/>
    </row>
    <row r="975" ht="15.75" customHeight="1" s="307">
      <c r="N975" s="3" t="n"/>
      <c r="U975" s="3" t="n"/>
    </row>
    <row r="976" ht="15.75" customHeight="1" s="307">
      <c r="N976" s="3" t="n"/>
      <c r="U976" s="3" t="n"/>
    </row>
    <row r="977" ht="15.75" customHeight="1" s="307">
      <c r="N977" s="3" t="n"/>
      <c r="U977" s="3" t="n"/>
    </row>
    <row r="978" ht="15.75" customHeight="1" s="307">
      <c r="N978" s="3" t="n"/>
      <c r="U978" s="3" t="n"/>
    </row>
    <row r="979" ht="15.75" customHeight="1" s="307">
      <c r="N979" s="3" t="n"/>
      <c r="U979" s="3" t="n"/>
    </row>
    <row r="980" ht="15.75" customHeight="1" s="307">
      <c r="N980" s="3" t="n"/>
      <c r="U980" s="3" t="n"/>
    </row>
    <row r="981" ht="15.75" customHeight="1" s="307">
      <c r="N981" s="3" t="n"/>
      <c r="U981" s="3" t="n"/>
    </row>
    <row r="982" ht="15.75" customHeight="1" s="307">
      <c r="N982" s="3" t="n"/>
      <c r="U982" s="3" t="n"/>
    </row>
    <row r="983" ht="15.75" customHeight="1" s="307">
      <c r="N983" s="3" t="n"/>
      <c r="U983" s="3" t="n"/>
    </row>
    <row r="984" ht="15.75" customHeight="1" s="307">
      <c r="N984" s="3" t="n"/>
      <c r="U984" s="3" t="n"/>
    </row>
    <row r="985" ht="15.75" customHeight="1" s="307">
      <c r="N985" s="3" t="n"/>
      <c r="U985" s="3" t="n"/>
    </row>
    <row r="986" ht="15.75" customHeight="1" s="307">
      <c r="N986" s="3" t="n"/>
      <c r="U986" s="3" t="n"/>
    </row>
    <row r="987" ht="15.75" customHeight="1" s="307">
      <c r="N987" s="3" t="n"/>
      <c r="U987" s="3" t="n"/>
    </row>
    <row r="988" ht="15.75" customHeight="1" s="307">
      <c r="N988" s="3" t="n"/>
      <c r="U988" s="3" t="n"/>
    </row>
    <row r="989" ht="15.75" customHeight="1" s="307">
      <c r="N989" s="3" t="n"/>
      <c r="U989" s="3" t="n"/>
    </row>
    <row r="990" ht="15.75" customHeight="1" s="307">
      <c r="N990" s="3" t="n"/>
      <c r="U990" s="3" t="n"/>
    </row>
    <row r="991" ht="15.75" customHeight="1" s="307">
      <c r="N991" s="3" t="n"/>
      <c r="U991" s="3" t="n"/>
    </row>
    <row r="992" ht="15.75" customHeight="1" s="307">
      <c r="N992" s="3" t="n"/>
      <c r="U992" s="3" t="n"/>
    </row>
    <row r="993" ht="15.75" customHeight="1" s="307">
      <c r="N993" s="3" t="n"/>
      <c r="U993" s="3" t="n"/>
    </row>
    <row r="994" ht="15.75" customHeight="1" s="307">
      <c r="N994" s="3" t="n"/>
      <c r="U994" s="3" t="n"/>
    </row>
    <row r="995" ht="15.75" customHeight="1" s="307">
      <c r="N995" s="3" t="n"/>
      <c r="U995" s="3" t="n"/>
    </row>
    <row r="996" ht="15.75" customHeight="1" s="307">
      <c r="N996" s="3" t="n"/>
      <c r="U996" s="3" t="n"/>
    </row>
    <row r="997" ht="15.75" customHeight="1" s="307">
      <c r="N997" s="3" t="n"/>
      <c r="U997" s="3" t="n"/>
    </row>
    <row r="998" ht="15.75" customHeight="1" s="307">
      <c r="N998" s="3" t="n"/>
      <c r="U998" s="3" t="n"/>
    </row>
    <row r="999" ht="15.75" customHeight="1" s="307">
      <c r="N999" s="3" t="n"/>
      <c r="U999" s="3" t="n"/>
    </row>
    <row r="1000" ht="15.75" customHeight="1" s="307">
      <c r="N1000" s="3" t="n"/>
      <c r="U1000" s="3" t="n"/>
    </row>
  </sheetData>
  <mergeCells count="18">
    <mergeCell ref="P7:R7"/>
    <mergeCell ref="P15:R15"/>
    <mergeCell ref="P11:R11"/>
    <mergeCell ref="P8:R8"/>
    <mergeCell ref="P10:R10"/>
    <mergeCell ref="P3:T3"/>
    <mergeCell ref="P5:R5"/>
    <mergeCell ref="P14:R14"/>
    <mergeCell ref="P13:R13"/>
    <mergeCell ref="P18:R18"/>
    <mergeCell ref="P9:R9"/>
    <mergeCell ref="P6:R6"/>
    <mergeCell ref="P17:R17"/>
    <mergeCell ref="P12:R12"/>
    <mergeCell ref="P4:R4"/>
    <mergeCell ref="S4:T4"/>
    <mergeCell ref="P16:R16"/>
    <mergeCell ref="J3:O3"/>
  </mergeCells>
  <pageMargins left="0.736219378827647" right="0.2" top="0.748030402449694" bottom="0" header="0" footer="0"/>
  <pageSetup orientation="portrait" paperSize="9"/>
  <colBreaks count="1" manualBreakCount="1">
    <brk id="13" min="0" max="16383" man="1"/>
  </colBreaks>
</worksheet>
</file>

<file path=xl/worksheets/sheet2.xml><?xml version="1.0" encoding="utf-8"?>
<worksheet xmlns="http://schemas.openxmlformats.org/spreadsheetml/2006/main">
  <sheetPr>
    <tabColor rgb="FFFF0000"/>
    <outlinePr summaryBelow="1" summaryRight="1"/>
    <pageSetUpPr/>
  </sheetPr>
  <dimension ref="A1:AI1000"/>
  <sheetViews>
    <sheetView tabSelected="1" workbookViewId="0">
      <selection activeCell="F14" sqref="F14"/>
    </sheetView>
  </sheetViews>
  <sheetFormatPr baseColWidth="8" defaultColWidth="14.44140625" defaultRowHeight="15" customHeight="1"/>
  <cols>
    <col width="6" customWidth="1" style="307" min="1" max="1"/>
    <col width="40.5546875" customWidth="1" style="307" min="2" max="2"/>
    <col width="13.5546875" customWidth="1" style="307" min="3" max="3"/>
    <col width="10.88671875" customWidth="1" style="307" min="4" max="4"/>
    <col width="10.5546875" customWidth="1" style="307" min="5" max="5"/>
    <col width="9.109375" customWidth="1" style="307" min="6" max="6"/>
    <col width="9.6640625" customWidth="1" style="307" min="7" max="7"/>
    <col width="15.33203125" customWidth="1" style="307" min="8" max="8"/>
    <col width="7.109375" customWidth="1" style="307" min="9" max="9"/>
    <col width="8.6640625" customWidth="1" style="307" min="10" max="10"/>
    <col width="35.6640625" customWidth="1" style="307" min="11" max="11"/>
    <col width="8.5546875" customWidth="1" style="307" min="12" max="12"/>
    <col width="5.33203125" customWidth="1" style="307" min="13" max="13"/>
    <col width="6.6640625" customWidth="1" style="307" min="14" max="14"/>
    <col width="9.109375" customWidth="1" style="307" min="15" max="15"/>
    <col width="9.6640625" customWidth="1" style="307" min="16" max="16"/>
    <col width="15.33203125" customWidth="1" style="307" min="17" max="17"/>
    <col width="3.109375" customWidth="1" style="307" min="18" max="18"/>
    <col width="6" customWidth="1" style="307" min="19" max="19"/>
    <col width="39" customWidth="1" style="307" min="20" max="20"/>
    <col width="5.5546875" customWidth="1" style="307" min="21" max="21"/>
    <col width="5.44140625" customWidth="1" style="307" min="22" max="22"/>
    <col width="6.6640625" customWidth="1" style="307" min="23" max="23"/>
    <col width="9.44140625" customWidth="1" style="307" min="24" max="24"/>
    <col width="9.88671875" customWidth="1" style="307" min="25" max="25"/>
    <col width="15.5546875" customWidth="1" style="307" min="26" max="26"/>
    <col width="4" customWidth="1" style="307" min="27" max="27"/>
    <col width="6" customWidth="1" style="307" min="28" max="28"/>
    <col width="47.5546875" customWidth="1" style="307" min="29" max="29"/>
    <col width="6.6640625" customWidth="1" style="307" min="30" max="30"/>
    <col width="5.44140625" customWidth="1" style="307" min="31" max="31"/>
    <col width="6.6640625" customWidth="1" style="307" min="32" max="32"/>
    <col width="9.44140625" customWidth="1" style="307" min="33" max="33"/>
    <col width="9.88671875" customWidth="1" style="307" min="34" max="34"/>
    <col width="15.5546875" customWidth="1" style="307" min="35" max="35"/>
  </cols>
  <sheetData>
    <row r="1" ht="23.25" customHeight="1" s="307">
      <c r="A1" s="399" t="inlineStr">
        <is>
          <t>BURNER PARTS-2A/3A</t>
        </is>
      </c>
      <c r="B1" s="400" t="n"/>
      <c r="C1" s="400" t="n"/>
      <c r="D1" s="400" t="n"/>
      <c r="E1" s="400" t="n"/>
      <c r="F1" s="400" t="n"/>
      <c r="G1" s="400" t="n"/>
      <c r="H1" s="401" t="n"/>
      <c r="I1" s="3" t="n"/>
      <c r="J1" s="326" t="inlineStr">
        <is>
          <t>BURNER PARTS-4A</t>
        </is>
      </c>
      <c r="K1" s="390" t="n"/>
      <c r="L1" s="390" t="n"/>
      <c r="M1" s="390" t="n"/>
      <c r="N1" s="390" t="n"/>
      <c r="O1" s="390" t="n"/>
      <c r="P1" s="390" t="n"/>
      <c r="Q1" s="390" t="n"/>
      <c r="R1" s="3" t="n"/>
      <c r="S1" s="402" t="inlineStr">
        <is>
          <t>BURNER PARTS-5A/6A</t>
        </is>
      </c>
      <c r="T1" s="390" t="n"/>
      <c r="U1" s="390" t="n"/>
      <c r="V1" s="390" t="n"/>
      <c r="W1" s="390" t="n"/>
      <c r="X1" s="390" t="n"/>
      <c r="Y1" s="390" t="n"/>
      <c r="Z1" s="391" t="n"/>
      <c r="AA1" s="3" t="n"/>
      <c r="AB1" s="402" t="inlineStr">
        <is>
          <t>BURNER PARTS-7A</t>
        </is>
      </c>
      <c r="AC1" s="390" t="n"/>
      <c r="AD1" s="390" t="n"/>
      <c r="AE1" s="390" t="n"/>
      <c r="AF1" s="390" t="n"/>
      <c r="AG1" s="390" t="n"/>
      <c r="AH1" s="390" t="n"/>
      <c r="AI1" s="391" t="n"/>
    </row>
    <row r="2" ht="14.4" customHeight="1" s="307">
      <c r="A2" s="29" t="inlineStr">
        <is>
          <t>S.NO.</t>
        </is>
      </c>
      <c r="B2" s="26" t="inlineStr">
        <is>
          <t>PARTICULARS</t>
        </is>
      </c>
      <c r="C2" s="30" t="inlineStr">
        <is>
          <t>QTY</t>
        </is>
      </c>
      <c r="D2" s="26" t="inlineStr">
        <is>
          <t>UNIT</t>
        </is>
      </c>
      <c r="E2" s="30" t="inlineStr">
        <is>
          <t>RATE</t>
        </is>
      </c>
      <c r="F2" s="30" t="inlineStr">
        <is>
          <t>AMOUNT</t>
        </is>
      </c>
      <c r="G2" s="30" t="inlineStr">
        <is>
          <t>M/C COST</t>
        </is>
      </c>
      <c r="H2" s="31" t="inlineStr">
        <is>
          <t>TOTAL AMOUNT</t>
        </is>
      </c>
      <c r="I2" s="3" t="n"/>
      <c r="J2" s="7" t="inlineStr">
        <is>
          <t>S.NO.</t>
        </is>
      </c>
      <c r="K2" s="26" t="inlineStr">
        <is>
          <t>PARTICULARS</t>
        </is>
      </c>
      <c r="L2" s="30" t="inlineStr">
        <is>
          <t>QTY</t>
        </is>
      </c>
      <c r="M2" s="26" t="inlineStr">
        <is>
          <t>UNIT</t>
        </is>
      </c>
      <c r="N2" s="30" t="inlineStr">
        <is>
          <t>RATE</t>
        </is>
      </c>
      <c r="O2" s="30" t="inlineStr">
        <is>
          <t>AMOUNT</t>
        </is>
      </c>
      <c r="P2" s="30" t="inlineStr">
        <is>
          <t>M/C COST</t>
        </is>
      </c>
      <c r="Q2" s="30" t="inlineStr">
        <is>
          <t>TOTAL AMOUNT</t>
        </is>
      </c>
      <c r="R2" s="3" t="n"/>
      <c r="S2" s="32" t="inlineStr">
        <is>
          <t>S.NO.</t>
        </is>
      </c>
      <c r="T2" s="33" t="inlineStr">
        <is>
          <t>PARTICULARS</t>
        </is>
      </c>
      <c r="U2" s="34" t="inlineStr">
        <is>
          <t>QTY</t>
        </is>
      </c>
      <c r="V2" s="33" t="inlineStr">
        <is>
          <t>UNIT</t>
        </is>
      </c>
      <c r="W2" s="34" t="inlineStr">
        <is>
          <t>RATE</t>
        </is>
      </c>
      <c r="X2" s="34" t="inlineStr">
        <is>
          <t>AMOUNT</t>
        </is>
      </c>
      <c r="Y2" s="34" t="inlineStr">
        <is>
          <t>M/C COST</t>
        </is>
      </c>
      <c r="Z2" s="34" t="inlineStr">
        <is>
          <t>TOTAL AMOUNT</t>
        </is>
      </c>
      <c r="AA2" s="3" t="n"/>
      <c r="AB2" s="32" t="inlineStr">
        <is>
          <t>S.NO.</t>
        </is>
      </c>
      <c r="AC2" s="33" t="inlineStr">
        <is>
          <t>PARTICULARS</t>
        </is>
      </c>
      <c r="AD2" s="34" t="inlineStr">
        <is>
          <t>QTY</t>
        </is>
      </c>
      <c r="AE2" s="33" t="inlineStr">
        <is>
          <t>UNIT</t>
        </is>
      </c>
      <c r="AF2" s="34" t="inlineStr">
        <is>
          <t>RATE</t>
        </is>
      </c>
      <c r="AG2" s="34" t="inlineStr">
        <is>
          <t>AMOUNT</t>
        </is>
      </c>
      <c r="AH2" s="34" t="inlineStr">
        <is>
          <t>M/C COST</t>
        </is>
      </c>
      <c r="AI2" s="34" t="inlineStr">
        <is>
          <t>TOTAL AMOUNT</t>
        </is>
      </c>
    </row>
    <row r="3" ht="14.4" customHeight="1" s="307">
      <c r="A3" s="29" t="n"/>
      <c r="B3" s="26" t="n"/>
      <c r="C3" s="30" t="n"/>
      <c r="D3" s="26" t="n"/>
      <c r="E3" s="30" t="n"/>
      <c r="F3" s="30" t="n"/>
      <c r="G3" s="30" t="n"/>
      <c r="H3" s="31" t="n"/>
      <c r="I3" s="3" t="n"/>
      <c r="J3" s="7" t="n"/>
      <c r="K3" s="26" t="n"/>
      <c r="L3" s="30" t="n"/>
      <c r="M3" s="26" t="n"/>
      <c r="N3" s="30" t="n"/>
      <c r="O3" s="30" t="n"/>
      <c r="P3" s="30" t="n"/>
      <c r="Q3" s="30" t="n"/>
      <c r="R3" s="3" t="n"/>
      <c r="S3" s="7" t="n"/>
      <c r="T3" s="26" t="n"/>
      <c r="U3" s="30" t="n"/>
      <c r="V3" s="26" t="n"/>
      <c r="W3" s="30" t="n"/>
      <c r="X3" s="30" t="n"/>
      <c r="Y3" s="30" t="n"/>
      <c r="Z3" s="30" t="n"/>
      <c r="AA3" s="3" t="n"/>
      <c r="AB3" s="7" t="n"/>
      <c r="AC3" s="26" t="n"/>
      <c r="AD3" s="30" t="n"/>
      <c r="AE3" s="26" t="n"/>
      <c r="AF3" s="30" t="n"/>
      <c r="AG3" s="30" t="n"/>
      <c r="AH3" s="30" t="n"/>
      <c r="AI3" s="30" t="n"/>
    </row>
    <row r="4" ht="14.4" customHeight="1" s="307">
      <c r="A4" s="29" t="n">
        <v>1</v>
      </c>
      <c r="B4" s="26" t="inlineStr">
        <is>
          <t>ENCON-2A/3A BASE PLATE</t>
        </is>
      </c>
      <c r="C4" s="30" t="n">
        <v>10.5</v>
      </c>
      <c r="D4" s="26" t="inlineStr">
        <is>
          <t>Kgs</t>
        </is>
      </c>
      <c r="E4" s="30">
        <f>Rates!$K$5</f>
        <v/>
      </c>
      <c r="F4" s="30">
        <f>C4*E4</f>
        <v/>
      </c>
      <c r="G4" s="30" t="n">
        <v>500</v>
      </c>
      <c r="H4" s="31">
        <f>F4+G4</f>
        <v/>
      </c>
      <c r="I4" s="3" t="n"/>
      <c r="J4" s="7" t="n">
        <v>1</v>
      </c>
      <c r="K4" s="26" t="inlineStr">
        <is>
          <t>ENCON-4A BASE PLATE</t>
        </is>
      </c>
      <c r="L4" s="30" t="n">
        <v>13.5</v>
      </c>
      <c r="M4" s="26" t="inlineStr">
        <is>
          <t>Kgs</t>
        </is>
      </c>
      <c r="N4" s="30">
        <f>Rates!$K$5</f>
        <v/>
      </c>
      <c r="O4" s="30">
        <f>L4*N4</f>
        <v/>
      </c>
      <c r="P4" s="30" t="n">
        <v>500</v>
      </c>
      <c r="Q4" s="30">
        <f>O4+P4</f>
        <v/>
      </c>
      <c r="R4" s="3" t="n"/>
      <c r="S4" s="7" t="n">
        <v>1</v>
      </c>
      <c r="T4" s="26" t="inlineStr">
        <is>
          <t>ENCON-5A/6A BASE PLATE</t>
        </is>
      </c>
      <c r="U4" s="30" t="n">
        <v>24</v>
      </c>
      <c r="V4" s="26" t="inlineStr">
        <is>
          <t>Kgs</t>
        </is>
      </c>
      <c r="W4" s="30">
        <f>Rates!$K$5</f>
        <v/>
      </c>
      <c r="X4" s="30">
        <f>U4*W4</f>
        <v/>
      </c>
      <c r="Y4" s="30" t="n">
        <v>550</v>
      </c>
      <c r="Z4" s="30">
        <f>X4+Y4</f>
        <v/>
      </c>
      <c r="AA4" s="3" t="n"/>
      <c r="AB4" s="7" t="n">
        <v>1</v>
      </c>
      <c r="AC4" s="26" t="inlineStr">
        <is>
          <t>ENCON-7A AIR TUBE-205(dia)*180(I.D)*375(Lenth)</t>
        </is>
      </c>
      <c r="AD4" s="30" t="n">
        <v>22.24</v>
      </c>
      <c r="AE4" s="26" t="inlineStr">
        <is>
          <t>Kgs</t>
        </is>
      </c>
      <c r="AF4" s="30" t="n">
        <v>80</v>
      </c>
      <c r="AG4" s="30">
        <f>AD4*AF4</f>
        <v/>
      </c>
      <c r="AH4" s="30" t="n"/>
      <c r="AI4" s="30">
        <f>AG4+AH4</f>
        <v/>
      </c>
    </row>
    <row r="5" ht="14.4" customHeight="1" s="307">
      <c r="A5" s="29" t="n">
        <v>2</v>
      </c>
      <c r="B5" s="26" t="inlineStr">
        <is>
          <t>ENCON-2A/3AAIR TUBE</t>
        </is>
      </c>
      <c r="C5" s="30" t="n">
        <v>3.9</v>
      </c>
      <c r="D5" s="26" t="inlineStr">
        <is>
          <t>Kgs</t>
        </is>
      </c>
      <c r="E5" s="30">
        <f>Rates!$K$5</f>
        <v/>
      </c>
      <c r="F5" s="30">
        <f>C5*E5</f>
        <v/>
      </c>
      <c r="G5" s="30" t="n">
        <v>500</v>
      </c>
      <c r="H5" s="31">
        <f>F5+G5</f>
        <v/>
      </c>
      <c r="I5" s="3" t="n"/>
      <c r="J5" s="7" t="n">
        <v>2</v>
      </c>
      <c r="K5" s="26" t="inlineStr">
        <is>
          <t>ENCON-4A AIR TUBE</t>
        </is>
      </c>
      <c r="L5" s="30" t="n">
        <v>6.8</v>
      </c>
      <c r="M5" s="26" t="inlineStr">
        <is>
          <t>Kgs</t>
        </is>
      </c>
      <c r="N5" s="30">
        <f>Rates!$K$5</f>
        <v/>
      </c>
      <c r="O5" s="30">
        <f>L5*N5</f>
        <v/>
      </c>
      <c r="P5" s="30" t="n">
        <v>500</v>
      </c>
      <c r="Q5" s="35">
        <f>O5+P5</f>
        <v/>
      </c>
      <c r="R5" s="3" t="n"/>
      <c r="S5" s="7" t="n">
        <v>2</v>
      </c>
      <c r="T5" s="26" t="inlineStr">
        <is>
          <t>ENCON-5A/6AAIR TUBE</t>
        </is>
      </c>
      <c r="U5" s="30" t="n">
        <v>16.8</v>
      </c>
      <c r="V5" s="26" t="inlineStr">
        <is>
          <t>Kgs</t>
        </is>
      </c>
      <c r="W5" s="30">
        <f>Rates!$K$5</f>
        <v/>
      </c>
      <c r="X5" s="30">
        <f>U5*W5</f>
        <v/>
      </c>
      <c r="Y5" s="30" t="n">
        <v>500</v>
      </c>
      <c r="Z5" s="30">
        <f>X5+Y5</f>
        <v/>
      </c>
      <c r="AA5" s="3" t="n"/>
      <c r="AB5" s="7" t="n">
        <v>2</v>
      </c>
      <c r="AC5" s="26" t="inlineStr">
        <is>
          <t>M.S.FLANGE-300 (dia)* 195 (I.D)*12MM Thick</t>
        </is>
      </c>
      <c r="AD5" s="30" t="n">
        <v>7.68</v>
      </c>
      <c r="AE5" s="26" t="inlineStr">
        <is>
          <t>Kgs</t>
        </is>
      </c>
      <c r="AF5" s="30" t="n">
        <v>72</v>
      </c>
      <c r="AG5" s="30">
        <f>AD5*AF5</f>
        <v/>
      </c>
      <c r="AH5" s="30" t="n">
        <v>1500</v>
      </c>
      <c r="AI5" s="30">
        <f>AG5+AH5</f>
        <v/>
      </c>
    </row>
    <row r="6" ht="14.4" customHeight="1" s="307">
      <c r="A6" s="29" t="n">
        <v>3</v>
      </c>
      <c r="B6" s="26" t="inlineStr">
        <is>
          <t>ENCON-2A/3AS.G.HOLDER</t>
        </is>
      </c>
      <c r="C6" s="30" t="n">
        <v>2.6</v>
      </c>
      <c r="D6" s="26" t="inlineStr">
        <is>
          <t>Kgs</t>
        </is>
      </c>
      <c r="E6" s="30">
        <f>Rates!$K$5</f>
        <v/>
      </c>
      <c r="F6" s="30">
        <f>C6*E6</f>
        <v/>
      </c>
      <c r="G6" s="30" t="n">
        <v>200</v>
      </c>
      <c r="H6" s="31">
        <f>F6+G6</f>
        <v/>
      </c>
      <c r="I6" s="3" t="n"/>
      <c r="J6" s="7" t="n">
        <v>3</v>
      </c>
      <c r="K6" s="26" t="inlineStr">
        <is>
          <t>ENCON-4AS.G.HOLDER</t>
        </is>
      </c>
      <c r="L6" s="30" t="n">
        <v>4.3</v>
      </c>
      <c r="M6" s="26" t="inlineStr">
        <is>
          <t>Kgs</t>
        </is>
      </c>
      <c r="N6" s="30">
        <f>Rates!$K$5</f>
        <v/>
      </c>
      <c r="O6" s="30">
        <f>L6*N6</f>
        <v/>
      </c>
      <c r="P6" s="30" t="n">
        <v>200</v>
      </c>
      <c r="Q6" s="35">
        <f>O6+P6</f>
        <v/>
      </c>
      <c r="R6" s="3" t="n"/>
      <c r="S6" s="7" t="n">
        <v>3</v>
      </c>
      <c r="T6" s="26" t="inlineStr">
        <is>
          <t>ENCON-5A/6AS.G.HOLDER</t>
        </is>
      </c>
      <c r="U6" s="30" t="n">
        <v>8.4</v>
      </c>
      <c r="V6" s="26" t="inlineStr">
        <is>
          <t>Kgs</t>
        </is>
      </c>
      <c r="W6" s="30">
        <f>Rates!$K$5</f>
        <v/>
      </c>
      <c r="X6" s="30">
        <f>U6*W6</f>
        <v/>
      </c>
      <c r="Y6" s="30" t="n">
        <v>300</v>
      </c>
      <c r="Z6" s="30">
        <f>X6+Y6</f>
        <v/>
      </c>
      <c r="AA6" s="3" t="n"/>
      <c r="AB6" s="7" t="n">
        <v>3</v>
      </c>
      <c r="AC6" s="26" t="inlineStr">
        <is>
          <t>M.S. PIPE-100NB*125MM</t>
        </is>
      </c>
      <c r="AD6" s="30" t="n">
        <v>1</v>
      </c>
      <c r="AE6" s="26" t="inlineStr">
        <is>
          <t>NO</t>
        </is>
      </c>
      <c r="AF6" s="30">
        <f>Rates!C22</f>
        <v/>
      </c>
      <c r="AG6" s="30">
        <f>AD6*AF6</f>
        <v/>
      </c>
      <c r="AH6" s="30" t="n"/>
      <c r="AI6" s="30">
        <f>AG6+AH6</f>
        <v/>
      </c>
    </row>
    <row r="7" ht="14.4" customHeight="1" s="307">
      <c r="A7" s="29" t="n">
        <v>4</v>
      </c>
      <c r="B7" s="26" t="inlineStr">
        <is>
          <t>ENCON-2A/3A AIR ADJUSTER</t>
        </is>
      </c>
      <c r="C7" s="30" t="n">
        <v>3</v>
      </c>
      <c r="D7" s="26" t="inlineStr">
        <is>
          <t>Kgs</t>
        </is>
      </c>
      <c r="E7" s="30">
        <f>Rates!$K$5</f>
        <v/>
      </c>
      <c r="F7" s="30">
        <f>C7*E7</f>
        <v/>
      </c>
      <c r="G7" s="30" t="n">
        <v>100</v>
      </c>
      <c r="H7" s="31">
        <f>F7+G7</f>
        <v/>
      </c>
      <c r="I7" s="3" t="n"/>
      <c r="J7" s="7" t="n">
        <v>4</v>
      </c>
      <c r="K7" s="26" t="inlineStr">
        <is>
          <t>ENCON-4A AIR ADJUSTER</t>
        </is>
      </c>
      <c r="L7" s="30" t="n">
        <v>3.8</v>
      </c>
      <c r="M7" s="26" t="inlineStr">
        <is>
          <t>Kgs</t>
        </is>
      </c>
      <c r="N7" s="30">
        <f>Rates!$K$5</f>
        <v/>
      </c>
      <c r="O7" s="30">
        <f>L7*N7</f>
        <v/>
      </c>
      <c r="P7" s="30" t="n">
        <v>100</v>
      </c>
      <c r="Q7" s="30">
        <f>O7+P7</f>
        <v/>
      </c>
      <c r="R7" s="3" t="n"/>
      <c r="S7" s="7" t="n">
        <v>4</v>
      </c>
      <c r="T7" s="26" t="inlineStr">
        <is>
          <t>ENCON-5A/6A AIR ADJUSTER</t>
        </is>
      </c>
      <c r="U7" s="30" t="n">
        <v>4.7</v>
      </c>
      <c r="V7" s="26" t="inlineStr">
        <is>
          <t>Kgs</t>
        </is>
      </c>
      <c r="W7" s="30">
        <f>Rates!$K$5</f>
        <v/>
      </c>
      <c r="X7" s="30">
        <f>U7*W7</f>
        <v/>
      </c>
      <c r="Y7" s="30" t="n">
        <v>100</v>
      </c>
      <c r="Z7" s="30">
        <f>X7+Y7</f>
        <v/>
      </c>
      <c r="AA7" s="3" t="n"/>
      <c r="AB7" s="7" t="n">
        <v>4</v>
      </c>
      <c r="AC7" s="26" t="inlineStr">
        <is>
          <t>ENCON-7A AIR MIXER-86(dia)*72(I.D)*385(Lenth)</t>
        </is>
      </c>
      <c r="AD7" s="30" t="n">
        <v>5.24</v>
      </c>
      <c r="AE7" s="26" t="inlineStr">
        <is>
          <t>Kgs</t>
        </is>
      </c>
      <c r="AF7" s="30" t="n">
        <v>80</v>
      </c>
      <c r="AG7" s="30">
        <f>AD7*AF7</f>
        <v/>
      </c>
      <c r="AH7" s="30" t="n"/>
      <c r="AI7" s="30">
        <f>AG7+AH7</f>
        <v/>
      </c>
    </row>
    <row r="8" ht="14.4" customHeight="1" s="307">
      <c r="A8" s="29" t="n">
        <v>5</v>
      </c>
      <c r="B8" s="26" t="inlineStr">
        <is>
          <t>ENCON-2A/3A S.S.ASSY.</t>
        </is>
      </c>
      <c r="C8" s="30" t="n">
        <v>1</v>
      </c>
      <c r="D8" s="26" t="inlineStr">
        <is>
          <t>SET</t>
        </is>
      </c>
      <c r="E8" s="30">
        <f>Rates!K6</f>
        <v/>
      </c>
      <c r="F8" s="30">
        <f>C8*E8</f>
        <v/>
      </c>
      <c r="G8" s="30" t="n"/>
      <c r="H8" s="31">
        <f>F8+G8</f>
        <v/>
      </c>
      <c r="I8" s="3" t="n"/>
      <c r="J8" s="7" t="n">
        <v>5</v>
      </c>
      <c r="K8" s="26" t="inlineStr">
        <is>
          <t>ENCON-4A S.S.ASSY.</t>
        </is>
      </c>
      <c r="L8" s="30" t="n">
        <v>1</v>
      </c>
      <c r="M8" s="26" t="inlineStr">
        <is>
          <t>SET</t>
        </is>
      </c>
      <c r="N8" s="30">
        <f>Rates!K7</f>
        <v/>
      </c>
      <c r="O8" s="30">
        <f>L8*N8</f>
        <v/>
      </c>
      <c r="P8" s="30" t="n"/>
      <c r="Q8" s="30">
        <f>O8+P8</f>
        <v/>
      </c>
      <c r="R8" s="3" t="n"/>
      <c r="S8" s="7" t="n">
        <v>5</v>
      </c>
      <c r="T8" s="26" t="inlineStr">
        <is>
          <t>ENCON-5A/6A S.S.ASSY.</t>
        </is>
      </c>
      <c r="U8" s="30" t="n">
        <v>1</v>
      </c>
      <c r="V8" s="26" t="inlineStr">
        <is>
          <t>SET</t>
        </is>
      </c>
      <c r="W8" s="30">
        <f>Rates!K8</f>
        <v/>
      </c>
      <c r="X8" s="30">
        <f>U8*W8</f>
        <v/>
      </c>
      <c r="Y8" s="30" t="n"/>
      <c r="Z8" s="30">
        <f>X8+Y8</f>
        <v/>
      </c>
      <c r="AA8" s="3" t="n"/>
      <c r="AB8" s="7" t="n">
        <v>5</v>
      </c>
      <c r="AC8" s="26" t="inlineStr">
        <is>
          <t>M.S.TIKKY-300(dia)*80(I.D)*40MM Thick</t>
        </is>
      </c>
      <c r="AD8" s="30" t="n">
        <v>20.6</v>
      </c>
      <c r="AE8" s="26" t="inlineStr">
        <is>
          <t>Kgs</t>
        </is>
      </c>
      <c r="AF8" s="30" t="n">
        <v>72</v>
      </c>
      <c r="AG8" s="30">
        <f>AD8*AF8</f>
        <v/>
      </c>
      <c r="AH8" s="30" t="n"/>
      <c r="AI8" s="30">
        <f>AG8+AH8</f>
        <v/>
      </c>
    </row>
    <row r="9" ht="14.4" customHeight="1" s="307">
      <c r="A9" s="29" t="n">
        <v>6</v>
      </c>
      <c r="B9" s="26" t="inlineStr">
        <is>
          <t>ENCON-2A/3A BUTTERFLY VALVE-2.5 (INCH )</t>
        </is>
      </c>
      <c r="C9" s="30" t="n">
        <v>1</v>
      </c>
      <c r="D9" s="26" t="inlineStr">
        <is>
          <t>NO</t>
        </is>
      </c>
      <c r="E9" s="30">
        <f>Rates!K21</f>
        <v/>
      </c>
      <c r="F9" s="30">
        <f>C9*E9</f>
        <v/>
      </c>
      <c r="G9" s="30" t="n"/>
      <c r="H9" s="31">
        <f>F9+G9</f>
        <v/>
      </c>
      <c r="I9" s="3" t="n"/>
      <c r="J9" s="7" t="n">
        <v>6</v>
      </c>
      <c r="K9" s="26" t="inlineStr">
        <is>
          <t>ENCON-4A BUTTERFLY VALVE-4 (INCH )</t>
        </is>
      </c>
      <c r="L9" s="30" t="n">
        <v>1</v>
      </c>
      <c r="M9" s="26" t="inlineStr">
        <is>
          <t>NO</t>
        </is>
      </c>
      <c r="N9" s="30">
        <f>Rates!K22</f>
        <v/>
      </c>
      <c r="O9" s="30">
        <f>L9*N9</f>
        <v/>
      </c>
      <c r="P9" s="30" t="n"/>
      <c r="Q9" s="30">
        <f>O9+P9</f>
        <v/>
      </c>
      <c r="R9" s="3" t="n"/>
      <c r="S9" s="7" t="n">
        <v>6</v>
      </c>
      <c r="T9" s="26" t="inlineStr">
        <is>
          <t>ENCON-5A/6A BUTTERFLY VALVE-4 (INCH )</t>
        </is>
      </c>
      <c r="U9" s="30" t="n">
        <v>1</v>
      </c>
      <c r="V9" s="26" t="inlineStr">
        <is>
          <t>NO</t>
        </is>
      </c>
      <c r="W9" s="30">
        <f>Rates!K22</f>
        <v/>
      </c>
      <c r="X9" s="30">
        <f>U9*W9</f>
        <v/>
      </c>
      <c r="Y9" s="30" t="n"/>
      <c r="Z9" s="30">
        <f>X9+Y9</f>
        <v/>
      </c>
      <c r="AA9" s="3" t="n"/>
      <c r="AB9" s="7" t="n">
        <v>6</v>
      </c>
      <c r="AC9" s="26" t="inlineStr">
        <is>
          <t>ENCON-7A AIR TUBE-88(dia)*72(I.D)*135MM(Lenth)</t>
        </is>
      </c>
      <c r="AD9" s="30" t="n">
        <v>2.12</v>
      </c>
      <c r="AE9" s="26" t="inlineStr">
        <is>
          <t>Kgs</t>
        </is>
      </c>
      <c r="AF9" s="30" t="n">
        <v>80</v>
      </c>
      <c r="AG9" s="30">
        <f>AD9*AF9</f>
        <v/>
      </c>
      <c r="AH9" s="30" t="n"/>
      <c r="AI9" s="30">
        <f>AG9+AH9</f>
        <v/>
      </c>
    </row>
    <row r="10" ht="14.4" customHeight="1" s="307">
      <c r="A10" s="29" t="n">
        <v>7</v>
      </c>
      <c r="B10" s="26" t="inlineStr">
        <is>
          <t>ENCON-2A/3A Y-STRAINER 20NB</t>
        </is>
      </c>
      <c r="C10" s="30" t="n">
        <v>1</v>
      </c>
      <c r="D10" s="26" t="inlineStr">
        <is>
          <t>NO</t>
        </is>
      </c>
      <c r="E10" s="30">
        <f>Rates!K24</f>
        <v/>
      </c>
      <c r="F10" s="30">
        <f>C10*E10</f>
        <v/>
      </c>
      <c r="G10" s="30" t="n"/>
      <c r="H10" s="31">
        <f>F10+G10</f>
        <v/>
      </c>
      <c r="I10" s="3" t="n"/>
      <c r="J10" s="7" t="n">
        <v>7</v>
      </c>
      <c r="K10" s="26" t="inlineStr">
        <is>
          <t>ENCON-4A Y-STRAINER 20NB</t>
        </is>
      </c>
      <c r="L10" s="30" t="n">
        <v>1</v>
      </c>
      <c r="M10" s="26" t="inlineStr">
        <is>
          <t>NO</t>
        </is>
      </c>
      <c r="N10" s="30">
        <f>Rates!K24</f>
        <v/>
      </c>
      <c r="O10" s="30">
        <f>L10*N10</f>
        <v/>
      </c>
      <c r="P10" s="30" t="n"/>
      <c r="Q10" s="30">
        <f>O10+P10</f>
        <v/>
      </c>
      <c r="R10" s="3" t="n"/>
      <c r="S10" s="7" t="n">
        <v>7</v>
      </c>
      <c r="T10" s="26" t="inlineStr">
        <is>
          <t>ENCON-5A/6AY-STRAINER 20NB</t>
        </is>
      </c>
      <c r="U10" s="30" t="n">
        <v>1</v>
      </c>
      <c r="V10" s="26" t="inlineStr">
        <is>
          <t>NO</t>
        </is>
      </c>
      <c r="W10" s="30">
        <f>N10</f>
        <v/>
      </c>
      <c r="X10" s="30">
        <f>U10*W10</f>
        <v/>
      </c>
      <c r="Y10" s="30" t="n"/>
      <c r="Z10" s="30">
        <f>X10+Y10</f>
        <v/>
      </c>
      <c r="AA10" s="3" t="n"/>
      <c r="AB10" s="7" t="n">
        <v>7</v>
      </c>
      <c r="AC10" s="26" t="inlineStr">
        <is>
          <t>M.S.TIKKY- 175(dia)*80(I.D)*16MM Thick</t>
        </is>
      </c>
      <c r="AD10" s="30" t="n">
        <v>2.38</v>
      </c>
      <c r="AE10" s="26" t="inlineStr">
        <is>
          <t>Kgs</t>
        </is>
      </c>
      <c r="AF10" s="30" t="n">
        <v>72</v>
      </c>
      <c r="AG10" s="30">
        <f>AD10*AF10</f>
        <v/>
      </c>
      <c r="AH10" s="30" t="n"/>
      <c r="AI10" s="30">
        <f>AG10+AH10</f>
        <v/>
      </c>
    </row>
    <row r="11" ht="14.4" customHeight="1" s="307">
      <c r="A11" s="29" t="n">
        <v>8</v>
      </c>
      <c r="B11" s="26" t="inlineStr">
        <is>
          <t>FLEXIBLE HOSE-15NB*750MM (OIL )</t>
        </is>
      </c>
      <c r="C11" s="30" t="n">
        <v>1</v>
      </c>
      <c r="D11" s="26" t="inlineStr">
        <is>
          <t>NO</t>
        </is>
      </c>
      <c r="E11" s="30">
        <f>Rates!K14</f>
        <v/>
      </c>
      <c r="F11" s="30">
        <f>C11*E11</f>
        <v/>
      </c>
      <c r="G11" s="30" t="n"/>
      <c r="H11" s="31">
        <f>F11+G11</f>
        <v/>
      </c>
      <c r="I11" s="3" t="n"/>
      <c r="J11" s="7" t="n">
        <v>8</v>
      </c>
      <c r="K11" s="26" t="inlineStr">
        <is>
          <t>FLEXIBLE HOSE-15NB*750MM (OIL )</t>
        </is>
      </c>
      <c r="L11" s="30" t="n">
        <v>1</v>
      </c>
      <c r="M11" s="26" t="inlineStr">
        <is>
          <t>NO</t>
        </is>
      </c>
      <c r="N11" s="30">
        <f>E11</f>
        <v/>
      </c>
      <c r="O11" s="30">
        <f>L11*N11</f>
        <v/>
      </c>
      <c r="P11" s="30" t="n"/>
      <c r="Q11" s="30">
        <f>O11+P11</f>
        <v/>
      </c>
      <c r="R11" s="3" t="n"/>
      <c r="S11" s="7" t="n">
        <v>8</v>
      </c>
      <c r="T11" s="26" t="inlineStr">
        <is>
          <t>FLEXIBLE HOSE-15NB*1000MM(OIL )</t>
        </is>
      </c>
      <c r="U11" s="30" t="n">
        <v>1</v>
      </c>
      <c r="V11" s="26" t="inlineStr">
        <is>
          <t>NO</t>
        </is>
      </c>
      <c r="W11" s="30">
        <f>Rates!K15</f>
        <v/>
      </c>
      <c r="X11" s="30">
        <f>U11*W11</f>
        <v/>
      </c>
      <c r="Y11" s="30" t="n"/>
      <c r="Z11" s="35">
        <f>X11+Y11</f>
        <v/>
      </c>
      <c r="AA11" s="3" t="n"/>
      <c r="AB11" s="7" t="n">
        <v>8</v>
      </c>
      <c r="AC11" s="26" t="inlineStr">
        <is>
          <t>M.S. TIKKY-90(dia)*40(I.D)*40MM Thick</t>
        </is>
      </c>
      <c r="AD11" s="30" t="n">
        <v>1.6</v>
      </c>
      <c r="AE11" s="26" t="inlineStr">
        <is>
          <t>Kgs</t>
        </is>
      </c>
      <c r="AF11" s="30" t="n">
        <v>72</v>
      </c>
      <c r="AG11" s="30">
        <f>AD11*AF11</f>
        <v/>
      </c>
      <c r="AH11" s="30" t="n"/>
      <c r="AI11" s="30">
        <f>AG11+AH11</f>
        <v/>
      </c>
    </row>
    <row r="12" ht="14.4" customHeight="1" s="307">
      <c r="A12" s="29" t="n">
        <v>9</v>
      </c>
      <c r="B12" s="26" t="inlineStr">
        <is>
          <t>FLEXIBLE HOSE-15NB*750MM (AIR )</t>
        </is>
      </c>
      <c r="C12" s="30" t="n">
        <v>1</v>
      </c>
      <c r="D12" s="26" t="inlineStr">
        <is>
          <t>NO</t>
        </is>
      </c>
      <c r="E12" s="30">
        <f>E11</f>
        <v/>
      </c>
      <c r="F12" s="30">
        <f>C12*E12</f>
        <v/>
      </c>
      <c r="G12" s="30" t="n"/>
      <c r="H12" s="31">
        <f>F12+G12</f>
        <v/>
      </c>
      <c r="I12" s="3" t="n"/>
      <c r="J12" s="7" t="n">
        <v>9</v>
      </c>
      <c r="K12" s="26" t="inlineStr">
        <is>
          <t>FLEXIBLE HOSE-15NB*750MM (AIR )</t>
        </is>
      </c>
      <c r="L12" s="30" t="n">
        <v>1</v>
      </c>
      <c r="M12" s="26" t="inlineStr">
        <is>
          <t>NO</t>
        </is>
      </c>
      <c r="N12" s="30">
        <f>N11</f>
        <v/>
      </c>
      <c r="O12" s="30">
        <f>L12*N12</f>
        <v/>
      </c>
      <c r="P12" s="30" t="n"/>
      <c r="Q12" s="30">
        <f>O12+P12</f>
        <v/>
      </c>
      <c r="R12" s="3" t="n"/>
      <c r="S12" s="7" t="n">
        <v>9</v>
      </c>
      <c r="T12" s="26" t="inlineStr">
        <is>
          <t>FLEXIBLE HOSE-20NB*1000MM (AIR )</t>
        </is>
      </c>
      <c r="U12" s="30" t="n">
        <v>1</v>
      </c>
      <c r="V12" s="26" t="inlineStr">
        <is>
          <t>NO</t>
        </is>
      </c>
      <c r="W12" s="30">
        <f>Rates!K16</f>
        <v/>
      </c>
      <c r="X12" s="30">
        <f>U12*W12</f>
        <v/>
      </c>
      <c r="Y12" s="30" t="n"/>
      <c r="Z12" s="35">
        <f>X12+Y12</f>
        <v/>
      </c>
      <c r="AA12" s="3" t="n"/>
      <c r="AB12" s="7" t="n">
        <v>9</v>
      </c>
      <c r="AC12" s="26" t="inlineStr">
        <is>
          <t>ENCON-7A SPACER-80(dia)*40(I.D)*35MM(Lenth)</t>
        </is>
      </c>
      <c r="AD12" s="30" t="n">
        <v>1</v>
      </c>
      <c r="AE12" s="26" t="inlineStr">
        <is>
          <t>Kgs</t>
        </is>
      </c>
      <c r="AF12" s="30" t="n">
        <v>72</v>
      </c>
      <c r="AG12" s="30">
        <f>AD12*AF12</f>
        <v/>
      </c>
      <c r="AH12" s="30" t="n"/>
      <c r="AI12" s="30">
        <f>AG12+AH12</f>
        <v/>
      </c>
    </row>
    <row r="13" ht="14.4" customHeight="1" s="307">
      <c r="A13" s="29" t="n">
        <v>10</v>
      </c>
      <c r="B13" s="26" t="inlineStr">
        <is>
          <t>GUN METAL MICRO VALVE -2A/3A</t>
        </is>
      </c>
      <c r="C13" s="30" t="n">
        <v>1</v>
      </c>
      <c r="D13" s="26" t="inlineStr">
        <is>
          <t>NO</t>
        </is>
      </c>
      <c r="E13" s="30">
        <f>Rates!K10</f>
        <v/>
      </c>
      <c r="F13" s="30" t="n">
        <v>2500</v>
      </c>
      <c r="G13" s="30" t="n"/>
      <c r="H13" s="31">
        <f>F13+G13</f>
        <v/>
      </c>
      <c r="I13" s="3" t="n"/>
      <c r="J13" s="7" t="n">
        <v>10</v>
      </c>
      <c r="K13" s="26" t="inlineStr">
        <is>
          <t>GUN METAL MICRO VALVE -4A</t>
        </is>
      </c>
      <c r="L13" s="30" t="n">
        <v>1</v>
      </c>
      <c r="M13" s="26" t="inlineStr">
        <is>
          <t>NO</t>
        </is>
      </c>
      <c r="N13" s="30">
        <f>Rates!K11</f>
        <v/>
      </c>
      <c r="O13" s="30">
        <f>L13*N13</f>
        <v/>
      </c>
      <c r="P13" s="30" t="n"/>
      <c r="Q13" s="30">
        <f>O13+P13</f>
        <v/>
      </c>
      <c r="R13" s="3" t="n"/>
      <c r="S13" s="7" t="n">
        <v>10</v>
      </c>
      <c r="T13" s="26" t="inlineStr">
        <is>
          <t>GUN METAL MICRO VALVE -5A/6A</t>
        </is>
      </c>
      <c r="U13" s="30" t="n">
        <v>1</v>
      </c>
      <c r="V13" s="26" t="inlineStr">
        <is>
          <t>NO</t>
        </is>
      </c>
      <c r="W13" s="30">
        <f>Rates!K12</f>
        <v/>
      </c>
      <c r="X13" s="30">
        <f>U13*W13</f>
        <v/>
      </c>
      <c r="Y13" s="30" t="n"/>
      <c r="Z13" s="35">
        <f>X13+Y13</f>
        <v/>
      </c>
      <c r="AA13" s="3" t="n"/>
      <c r="AB13" s="7" t="n">
        <v>10</v>
      </c>
      <c r="AC13" s="26" t="inlineStr">
        <is>
          <t>ENCON-7A S.S ASSY.</t>
        </is>
      </c>
      <c r="AD13" s="30" t="n">
        <v>1</v>
      </c>
      <c r="AE13" s="26" t="inlineStr">
        <is>
          <t>Set</t>
        </is>
      </c>
      <c r="AF13" s="30">
        <f>Rates!K9</f>
        <v/>
      </c>
      <c r="AG13" s="30">
        <f>AD13*AF13</f>
        <v/>
      </c>
      <c r="AH13" s="30" t="n"/>
      <c r="AI13" s="30">
        <f>AG13+AH13</f>
        <v/>
      </c>
    </row>
    <row r="14" ht="14.4" customHeight="1" s="307">
      <c r="A14" s="29" t="n">
        <v>11</v>
      </c>
      <c r="B14" s="26" t="inlineStr">
        <is>
          <t>ADOPTER 15NB*20NB (OIL)</t>
        </is>
      </c>
      <c r="C14" s="30" t="n">
        <v>1</v>
      </c>
      <c r="D14" s="26" t="inlineStr">
        <is>
          <t>NO</t>
        </is>
      </c>
      <c r="E14" s="30" t="n">
        <v>30</v>
      </c>
      <c r="F14" s="30">
        <f>C14*E14</f>
        <v/>
      </c>
      <c r="G14" s="30" t="n"/>
      <c r="H14" s="31">
        <f>F14+G14</f>
        <v/>
      </c>
      <c r="I14" s="3" t="n"/>
      <c r="J14" s="7" t="n">
        <v>11</v>
      </c>
      <c r="K14" s="26" t="inlineStr">
        <is>
          <t>ADOPTER 15NB*20NB (OIL)</t>
        </is>
      </c>
      <c r="L14" s="30" t="n">
        <v>1</v>
      </c>
      <c r="M14" s="26" t="inlineStr">
        <is>
          <t>NO</t>
        </is>
      </c>
      <c r="N14" s="30" t="n">
        <v>30</v>
      </c>
      <c r="O14" s="30">
        <f>L14*N14</f>
        <v/>
      </c>
      <c r="P14" s="30" t="n"/>
      <c r="Q14" s="30">
        <f>O14+P14</f>
        <v/>
      </c>
      <c r="R14" s="3" t="n"/>
      <c r="S14" s="7" t="n">
        <v>11</v>
      </c>
      <c r="T14" s="26" t="inlineStr">
        <is>
          <t>ADOPTER 15NB*20NB (OIL)</t>
        </is>
      </c>
      <c r="U14" s="30" t="n">
        <v>1</v>
      </c>
      <c r="V14" s="26" t="inlineStr">
        <is>
          <t>NO</t>
        </is>
      </c>
      <c r="W14" s="30" t="n">
        <v>30</v>
      </c>
      <c r="X14" s="30">
        <f>U14*W14</f>
        <v/>
      </c>
      <c r="Y14" s="30" t="n"/>
      <c r="Z14" s="35">
        <f>X14+Y14</f>
        <v/>
      </c>
      <c r="AA14" s="3" t="n"/>
      <c r="AB14" s="7" t="n">
        <v>11</v>
      </c>
      <c r="AC14" s="26" t="inlineStr">
        <is>
          <t>ENCON-7A MICRO VALVE</t>
        </is>
      </c>
      <c r="AD14" s="30" t="n">
        <v>1</v>
      </c>
      <c r="AE14" s="26" t="inlineStr">
        <is>
          <t>NO</t>
        </is>
      </c>
      <c r="AF14" s="30">
        <f>Rates!K13</f>
        <v/>
      </c>
      <c r="AG14" s="30">
        <f>AD14*AF14</f>
        <v/>
      </c>
      <c r="AH14" s="30" t="n"/>
      <c r="AI14" s="35">
        <f>AG14+AH14</f>
        <v/>
      </c>
    </row>
    <row r="15" ht="14.4" customHeight="1" s="307">
      <c r="A15" s="29" t="n">
        <v>12</v>
      </c>
      <c r="B15" s="26" t="inlineStr">
        <is>
          <t>ADOPTER 15NB*15NB (AIR)</t>
        </is>
      </c>
      <c r="C15" s="30" t="n">
        <v>2</v>
      </c>
      <c r="D15" s="26" t="inlineStr">
        <is>
          <t>Nos</t>
        </is>
      </c>
      <c r="E15" s="30" t="n">
        <v>30</v>
      </c>
      <c r="F15" s="30">
        <f>C15*E15</f>
        <v/>
      </c>
      <c r="G15" s="30" t="n"/>
      <c r="H15" s="31">
        <f>F15+G15</f>
        <v/>
      </c>
      <c r="I15" s="3" t="n"/>
      <c r="J15" s="7" t="n">
        <v>12</v>
      </c>
      <c r="K15" s="26" t="inlineStr">
        <is>
          <t>ADOPTER 20NB*20NB (AIR)</t>
        </is>
      </c>
      <c r="L15" s="30" t="n">
        <v>2</v>
      </c>
      <c r="M15" s="26" t="inlineStr">
        <is>
          <t>Nos</t>
        </is>
      </c>
      <c r="N15" s="30" t="n">
        <v>30</v>
      </c>
      <c r="O15" s="30">
        <f>L15*N15</f>
        <v/>
      </c>
      <c r="P15" s="30" t="n"/>
      <c r="Q15" s="30">
        <f>O15+P15</f>
        <v/>
      </c>
      <c r="R15" s="3" t="n"/>
      <c r="S15" s="7" t="n">
        <v>12</v>
      </c>
      <c r="T15" s="26" t="inlineStr">
        <is>
          <t>ADOPTER 20NB*20NB (AIR)</t>
        </is>
      </c>
      <c r="U15" s="30" t="n">
        <v>2</v>
      </c>
      <c r="V15" s="26" t="inlineStr">
        <is>
          <t>Nos</t>
        </is>
      </c>
      <c r="W15" s="30" t="n">
        <v>30</v>
      </c>
      <c r="X15" s="30">
        <f>U15*W15</f>
        <v/>
      </c>
      <c r="Y15" s="30" t="n"/>
      <c r="Z15" s="35">
        <f>X15+Y15</f>
        <v/>
      </c>
      <c r="AA15" s="3" t="n"/>
      <c r="AB15" s="7" t="n">
        <v>12</v>
      </c>
      <c r="AC15" s="26" t="inlineStr">
        <is>
          <t>FLEXIBLE HOSE-20NB*1000MM (OIL )</t>
        </is>
      </c>
      <c r="AD15" s="30" t="n">
        <v>1</v>
      </c>
      <c r="AE15" s="26" t="inlineStr">
        <is>
          <t>set</t>
        </is>
      </c>
      <c r="AF15" s="30">
        <f>Rates!K16</f>
        <v/>
      </c>
      <c r="AG15" s="30">
        <f>AD15*AF15</f>
        <v/>
      </c>
      <c r="AH15" s="30" t="n"/>
      <c r="AI15" s="35">
        <f>AG15+AH15</f>
        <v/>
      </c>
    </row>
    <row r="16" ht="14.4" customHeight="1" s="307">
      <c r="A16" s="29" t="n">
        <v>13</v>
      </c>
      <c r="B16" s="26" t="inlineStr">
        <is>
          <t>ENCON-2A/3ABURNER PLATE</t>
        </is>
      </c>
      <c r="C16" s="30" t="n">
        <v>30.1</v>
      </c>
      <c r="D16" s="26" t="inlineStr">
        <is>
          <t>Kgs</t>
        </is>
      </c>
      <c r="E16" s="30">
        <f>Rates!$K$5</f>
        <v/>
      </c>
      <c r="F16" s="30">
        <f>C16*E16</f>
        <v/>
      </c>
      <c r="G16" s="30" t="n"/>
      <c r="H16" s="31">
        <f>F16+G16</f>
        <v/>
      </c>
      <c r="I16" s="3" t="n"/>
      <c r="J16" s="7" t="n">
        <v>13</v>
      </c>
      <c r="K16" s="26" t="inlineStr">
        <is>
          <t>ENCON-4ABURNER PLATE</t>
        </is>
      </c>
      <c r="L16" s="30" t="n">
        <v>41.4</v>
      </c>
      <c r="M16" s="26" t="inlineStr">
        <is>
          <t>Kgs</t>
        </is>
      </c>
      <c r="N16" s="30">
        <f>Rates!$K$5</f>
        <v/>
      </c>
      <c r="O16" s="30">
        <f>L16*N16</f>
        <v/>
      </c>
      <c r="P16" s="30" t="n"/>
      <c r="Q16" s="30">
        <f>O16+P16</f>
        <v/>
      </c>
      <c r="R16" s="3" t="n"/>
      <c r="S16" s="7" t="n">
        <v>13</v>
      </c>
      <c r="T16" s="26" t="inlineStr">
        <is>
          <t>ENCON-5A/6ABURNER PLATE</t>
        </is>
      </c>
      <c r="U16" s="30" t="n">
        <v>50</v>
      </c>
      <c r="V16" s="26" t="inlineStr">
        <is>
          <t>Kgs</t>
        </is>
      </c>
      <c r="W16" s="30">
        <f>Rates!$K$5</f>
        <v/>
      </c>
      <c r="X16" s="30">
        <f>U16*W16</f>
        <v/>
      </c>
      <c r="Y16" s="30" t="n"/>
      <c r="Z16" s="35">
        <f>X16+Y16</f>
        <v/>
      </c>
      <c r="AA16" s="3" t="n"/>
      <c r="AB16" s="7" t="n">
        <v>13</v>
      </c>
      <c r="AC16" s="26" t="inlineStr">
        <is>
          <t>FLEXIBLE HOSE-25NB*1000MM (AIR )</t>
        </is>
      </c>
      <c r="AD16" s="30" t="n">
        <v>1</v>
      </c>
      <c r="AE16" s="26" t="inlineStr">
        <is>
          <t>No</t>
        </is>
      </c>
      <c r="AF16" s="30">
        <f>Rates!K17</f>
        <v/>
      </c>
      <c r="AG16" s="30">
        <f>AD16*AF16</f>
        <v/>
      </c>
      <c r="AH16" s="30" t="n"/>
      <c r="AI16" s="35">
        <f>AG16+AH16</f>
        <v/>
      </c>
    </row>
    <row r="17" ht="14.4" customHeight="1" s="307">
      <c r="A17" s="29" t="n">
        <v>14</v>
      </c>
      <c r="B17" s="26" t="inlineStr">
        <is>
          <t>ENCON-2A/3A BURNER BLOCK</t>
        </is>
      </c>
      <c r="C17" s="30" t="n">
        <v>50</v>
      </c>
      <c r="D17" s="26" t="inlineStr">
        <is>
          <t>Kgs</t>
        </is>
      </c>
      <c r="E17" s="30">
        <f>Rates!K25</f>
        <v/>
      </c>
      <c r="F17" s="30">
        <f>C17*E17</f>
        <v/>
      </c>
      <c r="G17" s="30" t="n">
        <v>100</v>
      </c>
      <c r="H17" s="31">
        <f>F17+G17</f>
        <v/>
      </c>
      <c r="I17" s="3" t="n"/>
      <c r="J17" s="7" t="n">
        <v>14</v>
      </c>
      <c r="K17" s="26" t="inlineStr">
        <is>
          <t>ENCON-4A BURNER BLOCK</t>
        </is>
      </c>
      <c r="L17" s="30" t="n">
        <v>65</v>
      </c>
      <c r="M17" s="26" t="inlineStr">
        <is>
          <t>Kgs</t>
        </is>
      </c>
      <c r="N17" s="30">
        <f>E17</f>
        <v/>
      </c>
      <c r="O17" s="30">
        <f>L17*N17</f>
        <v/>
      </c>
      <c r="P17" s="30" t="n">
        <v>100</v>
      </c>
      <c r="Q17" s="30">
        <f>O17+P17</f>
        <v/>
      </c>
      <c r="R17" s="3" t="n"/>
      <c r="S17" s="7" t="n">
        <v>14</v>
      </c>
      <c r="T17" s="26" t="inlineStr">
        <is>
          <t>ENCON-5A/6A BURNER BLOCK</t>
        </is>
      </c>
      <c r="U17" s="30" t="n">
        <v>110</v>
      </c>
      <c r="V17" s="26" t="inlineStr">
        <is>
          <t>Kgs</t>
        </is>
      </c>
      <c r="W17" s="30">
        <f>N17</f>
        <v/>
      </c>
      <c r="X17" s="30">
        <f>U17*W17</f>
        <v/>
      </c>
      <c r="Y17" s="30" t="n">
        <v>250</v>
      </c>
      <c r="Z17" s="35">
        <f>X17+Y17</f>
        <v/>
      </c>
      <c r="AA17" s="3" t="n"/>
      <c r="AB17" s="7" t="n">
        <v>14</v>
      </c>
      <c r="AC17" s="26" t="inlineStr">
        <is>
          <t>Butterfly valve</t>
        </is>
      </c>
      <c r="AD17" s="30" t="n">
        <v>1</v>
      </c>
      <c r="AE17" s="26" t="inlineStr">
        <is>
          <t>No</t>
        </is>
      </c>
      <c r="AF17" s="30">
        <f>Rates!K23</f>
        <v/>
      </c>
      <c r="AG17" s="30">
        <f>AD17*AF17</f>
        <v/>
      </c>
      <c r="AH17" s="30" t="n"/>
      <c r="AI17" s="35">
        <f>AG17+AH17</f>
        <v/>
      </c>
    </row>
    <row r="18" ht="14.4" customHeight="1" s="307">
      <c r="A18" s="29" t="n">
        <v>15</v>
      </c>
      <c r="B18" s="26" t="inlineStr">
        <is>
          <t>PAINT PRIMER,BOLT</t>
        </is>
      </c>
      <c r="C18" s="30" t="n"/>
      <c r="D18" s="26" t="n"/>
      <c r="E18" s="30" t="n"/>
      <c r="F18" s="30" t="n"/>
      <c r="G18" s="30" t="n"/>
      <c r="H18" s="31" t="n">
        <v>250</v>
      </c>
      <c r="I18" s="3" t="n"/>
      <c r="J18" s="7" t="n"/>
      <c r="K18" s="26" t="inlineStr">
        <is>
          <t>labour charge</t>
        </is>
      </c>
      <c r="L18" s="30" t="n"/>
      <c r="M18" s="26" t="n"/>
      <c r="N18" s="30" t="n"/>
      <c r="O18" s="30" t="n"/>
      <c r="P18" s="30" t="n"/>
      <c r="Q18" s="30" t="n">
        <v>500</v>
      </c>
      <c r="R18" s="3" t="n"/>
      <c r="S18" s="7" t="n"/>
      <c r="T18" s="26" t="inlineStr">
        <is>
          <t>labour charge</t>
        </is>
      </c>
      <c r="U18" s="30" t="n"/>
      <c r="V18" s="26" t="n"/>
      <c r="W18" s="30" t="n"/>
      <c r="X18" s="30" t="n"/>
      <c r="Y18" s="30" t="n"/>
      <c r="Z18" s="30" t="n">
        <v>500</v>
      </c>
      <c r="AA18" s="3" t="n"/>
      <c r="AB18" s="7" t="n">
        <v>15</v>
      </c>
      <c r="AC18" s="26" t="inlineStr">
        <is>
          <t>Y-STRAINER 25NB</t>
        </is>
      </c>
      <c r="AD18" s="30" t="n">
        <v>1</v>
      </c>
      <c r="AE18" s="26" t="inlineStr">
        <is>
          <t>No</t>
        </is>
      </c>
      <c r="AF18" s="30">
        <f>Rates!K24</f>
        <v/>
      </c>
      <c r="AG18" s="30">
        <f>AD18*AF18</f>
        <v/>
      </c>
      <c r="AH18" s="30" t="n"/>
      <c r="AI18" s="35">
        <f>AG18+AH18</f>
        <v/>
      </c>
    </row>
    <row r="19" ht="14.4" customHeight="1" s="307">
      <c r="A19" s="29" t="n"/>
      <c r="B19" s="26" t="inlineStr">
        <is>
          <t>labour charge</t>
        </is>
      </c>
      <c r="C19" s="30" t="n"/>
      <c r="D19" s="26" t="n"/>
      <c r="E19" s="30" t="n"/>
      <c r="F19" s="30" t="n"/>
      <c r="G19" s="30" t="n"/>
      <c r="H19" s="31" t="n">
        <v>400</v>
      </c>
      <c r="I19" s="3" t="n"/>
      <c r="J19" s="7" t="n"/>
      <c r="K19" s="26" t="inlineStr">
        <is>
          <t>PAINT PRIMER,BOLT</t>
        </is>
      </c>
      <c r="L19" s="30" t="n"/>
      <c r="M19" s="26" t="n"/>
      <c r="N19" s="30" t="n"/>
      <c r="O19" s="30" t="n">
        <v>300</v>
      </c>
      <c r="P19" s="30" t="n"/>
      <c r="Q19" s="30" t="n">
        <v>300</v>
      </c>
      <c r="R19" s="3" t="n"/>
      <c r="S19" s="7" t="n">
        <v>15</v>
      </c>
      <c r="T19" s="26" t="inlineStr">
        <is>
          <t>PAINT  PRIMER,BOLT</t>
        </is>
      </c>
      <c r="U19" s="30" t="n"/>
      <c r="V19" s="26" t="n"/>
      <c r="W19" s="30" t="n"/>
      <c r="X19" s="30" t="n">
        <v>350</v>
      </c>
      <c r="Y19" s="30" t="n"/>
      <c r="Z19" s="30" t="n">
        <v>400</v>
      </c>
      <c r="AA19" s="3" t="n"/>
      <c r="AB19" s="7" t="n">
        <v>16</v>
      </c>
      <c r="AC19" s="26" t="inlineStr">
        <is>
          <t>ENCON-7A BURNER BLOCK</t>
        </is>
      </c>
      <c r="AD19" s="30" t="n">
        <v>150</v>
      </c>
      <c r="AE19" s="26" t="inlineStr">
        <is>
          <t>Kgs</t>
        </is>
      </c>
      <c r="AF19" s="30">
        <f>W17</f>
        <v/>
      </c>
      <c r="AG19" s="30">
        <f>AD19*AF19</f>
        <v/>
      </c>
      <c r="AH19" s="30" t="n">
        <v>300</v>
      </c>
      <c r="AI19" s="35">
        <f>AG19+AH19</f>
        <v/>
      </c>
    </row>
    <row r="20" ht="14.4" customHeight="1" s="307">
      <c r="A20" s="29" t="n"/>
      <c r="B20" s="3" t="n"/>
      <c r="C20" s="30" t="n"/>
      <c r="D20" s="26" t="n"/>
      <c r="E20" s="30" t="n"/>
      <c r="F20" s="30" t="n"/>
      <c r="G20" s="30" t="inlineStr">
        <is>
          <t>TOTAL</t>
        </is>
      </c>
      <c r="H20" s="31">
        <f>SUM(H4:H19)</f>
        <v/>
      </c>
      <c r="I20" s="3" t="n"/>
      <c r="J20" s="7" t="n"/>
      <c r="K20" s="26" t="n"/>
      <c r="L20" s="30" t="n"/>
      <c r="M20" s="26" t="n"/>
      <c r="N20" s="34" t="inlineStr">
        <is>
          <t>TOTAL</t>
        </is>
      </c>
      <c r="O20" s="30" t="n"/>
      <c r="P20" s="30" t="n"/>
      <c r="Q20" s="30">
        <f>SUM(Q4:Q19)</f>
        <v/>
      </c>
      <c r="R20" s="3" t="n"/>
      <c r="S20" s="7" t="n"/>
      <c r="T20" s="26" t="n"/>
      <c r="U20" s="30" t="n"/>
      <c r="V20" s="26" t="n"/>
      <c r="W20" s="34" t="inlineStr">
        <is>
          <t>TOTAL</t>
        </is>
      </c>
      <c r="X20" s="30" t="n"/>
      <c r="Y20" s="30" t="n"/>
      <c r="Z20" s="30">
        <f>SUM(Z4:Z19)</f>
        <v/>
      </c>
      <c r="AA20" s="3" t="n"/>
      <c r="AB20" s="7" t="n">
        <v>17</v>
      </c>
      <c r="AC20" s="26" t="inlineStr">
        <is>
          <t>Burner plate</t>
        </is>
      </c>
      <c r="AD20" s="30" t="n">
        <v>50</v>
      </c>
      <c r="AE20" s="26" t="inlineStr">
        <is>
          <t>Kgs</t>
        </is>
      </c>
      <c r="AF20" s="30">
        <f>Rates!K5</f>
        <v/>
      </c>
      <c r="AG20" s="30">
        <f>AD20*AF20</f>
        <v/>
      </c>
      <c r="AH20" s="30" t="n"/>
      <c r="AI20" s="35">
        <f>AG20+AH20</f>
        <v/>
      </c>
    </row>
    <row r="21" ht="15.75" customHeight="1" s="307">
      <c r="A21" s="29" t="n"/>
      <c r="B21" s="26" t="n"/>
      <c r="C21" s="30" t="n"/>
      <c r="D21" s="26" t="n"/>
      <c r="E21" s="34" t="n"/>
      <c r="F21" s="34" t="n"/>
      <c r="G21" s="30" t="n"/>
      <c r="H21" s="31" t="n"/>
      <c r="I21" s="3" t="n"/>
      <c r="J21" s="7" t="n">
        <v>1</v>
      </c>
      <c r="K21" s="26" t="inlineStr">
        <is>
          <t>H.V. BURNER-4A</t>
        </is>
      </c>
      <c r="L21" s="30" t="n">
        <v>1</v>
      </c>
      <c r="M21" s="26" t="inlineStr">
        <is>
          <t>NO</t>
        </is>
      </c>
      <c r="N21" s="30" t="n"/>
      <c r="O21" s="30" t="n"/>
      <c r="P21" s="30" t="n"/>
      <c r="Q21" s="30" t="n">
        <v>17311</v>
      </c>
      <c r="R21" s="3" t="n"/>
      <c r="S21" s="7" t="n">
        <v>1</v>
      </c>
      <c r="T21" s="26" t="inlineStr">
        <is>
          <t>H.V. BURNER -5A/6A</t>
        </is>
      </c>
      <c r="U21" s="30" t="n">
        <v>1</v>
      </c>
      <c r="V21" s="26" t="inlineStr">
        <is>
          <t>NO</t>
        </is>
      </c>
      <c r="W21" s="30" t="n"/>
      <c r="X21" s="30" t="n"/>
      <c r="Y21" s="30" t="n"/>
      <c r="Z21" s="30" t="n">
        <v>25968</v>
      </c>
      <c r="AA21" s="3" t="n"/>
      <c r="AB21" s="7" t="n">
        <v>18</v>
      </c>
      <c r="AC21" s="26" t="inlineStr">
        <is>
          <t>M.S.PIPE-50NB*100MM</t>
        </is>
      </c>
      <c r="AD21" s="30" t="n">
        <v>1</v>
      </c>
      <c r="AE21" s="26" t="inlineStr">
        <is>
          <t>NO</t>
        </is>
      </c>
      <c r="AF21" s="30" t="n">
        <v>80</v>
      </c>
      <c r="AG21" s="30">
        <f>AD21*AF21</f>
        <v/>
      </c>
      <c r="AH21" s="30" t="n"/>
      <c r="AI21" s="30">
        <f>AG21+AH21</f>
        <v/>
      </c>
    </row>
    <row r="22" ht="15.75" customHeight="1" s="307">
      <c r="A22" s="29" t="n">
        <v>1</v>
      </c>
      <c r="B22" s="26" t="inlineStr">
        <is>
          <t>H.V. BURNER-2A/3A</t>
        </is>
      </c>
      <c r="C22" s="30" t="n">
        <v>1</v>
      </c>
      <c r="D22" s="26" t="inlineStr">
        <is>
          <t>NO</t>
        </is>
      </c>
      <c r="E22" s="30" t="n"/>
      <c r="F22" s="30" t="n"/>
      <c r="G22" s="30" t="n"/>
      <c r="H22" s="31" t="n">
        <v>14800</v>
      </c>
      <c r="I22" s="3" t="n"/>
      <c r="J22" s="7" t="n"/>
      <c r="K22" s="26" t="n"/>
      <c r="L22" s="30" t="n"/>
      <c r="M22" s="26" t="n"/>
      <c r="N22" s="30" t="n"/>
      <c r="O22" s="30" t="n"/>
      <c r="P22" s="30" t="n"/>
      <c r="Q22" s="30" t="n"/>
      <c r="R22" s="3" t="n"/>
      <c r="S22" s="7" t="n"/>
      <c r="T22" s="26" t="n"/>
      <c r="U22" s="30" t="n"/>
      <c r="V22" s="26" t="n"/>
      <c r="W22" s="30" t="n"/>
      <c r="X22" s="30" t="n"/>
      <c r="Y22" s="30" t="n"/>
      <c r="Z22" s="30" t="n"/>
      <c r="AA22" s="3" t="n"/>
      <c r="AB22" s="7" t="n">
        <v>19</v>
      </c>
      <c r="AC22" s="26" t="inlineStr">
        <is>
          <t>Labour charge</t>
        </is>
      </c>
      <c r="AD22" s="30" t="n"/>
      <c r="AE22" s="26" t="n"/>
      <c r="AF22" s="30" t="n"/>
      <c r="AG22" s="30" t="n"/>
      <c r="AH22" s="30" t="n"/>
      <c r="AI22" s="30" t="n">
        <v>5000</v>
      </c>
    </row>
    <row r="23" ht="15.75" customHeight="1" s="307">
      <c r="A23" s="29" t="n"/>
      <c r="B23" s="26" t="n"/>
      <c r="C23" s="30" t="n"/>
      <c r="D23" s="26" t="n"/>
      <c r="E23" s="30" t="n"/>
      <c r="F23" s="30" t="n"/>
      <c r="G23" s="30" t="n"/>
      <c r="H23" s="31" t="n"/>
      <c r="I23" s="3" t="n"/>
      <c r="J23" s="7" t="n"/>
      <c r="K23" s="26" t="n"/>
      <c r="L23" s="30" t="n"/>
      <c r="M23" s="26" t="n"/>
      <c r="N23" s="30" t="n"/>
      <c r="O23" s="30" t="n"/>
      <c r="P23" s="30" t="n"/>
      <c r="Q23" s="30" t="n"/>
      <c r="R23" s="3" t="n"/>
      <c r="S23" s="7" t="n"/>
      <c r="T23" s="26" t="n"/>
      <c r="U23" s="30" t="n"/>
      <c r="V23" s="26" t="n"/>
      <c r="W23" s="30" t="n"/>
      <c r="X23" s="30" t="n"/>
      <c r="Y23" s="30" t="n"/>
      <c r="Z23" s="30" t="n"/>
      <c r="AA23" s="3" t="n"/>
      <c r="AB23" s="7" t="n"/>
      <c r="AC23" s="26" t="inlineStr">
        <is>
          <t>PAINT PRIMER,BOLT</t>
        </is>
      </c>
      <c r="AD23" s="30" t="n"/>
      <c r="AE23" s="26" t="n"/>
      <c r="AF23" s="30" t="n"/>
      <c r="AG23" s="30" t="n">
        <v>500</v>
      </c>
      <c r="AH23" s="30" t="n"/>
      <c r="AI23" s="30">
        <f>AG23+AH23</f>
        <v/>
      </c>
    </row>
    <row r="24" ht="15.75" customHeight="1" s="307">
      <c r="A24" s="29" t="n"/>
      <c r="B24" s="26" t="n"/>
      <c r="C24" s="30" t="n"/>
      <c r="D24" s="26" t="n"/>
      <c r="E24" s="30" t="n"/>
      <c r="F24" s="30" t="n"/>
      <c r="G24" s="30" t="n"/>
      <c r="H24" s="31" t="n"/>
      <c r="I24" s="3" t="n"/>
      <c r="J24" s="7" t="n"/>
      <c r="K24" s="26" t="n"/>
      <c r="L24" s="30" t="n"/>
      <c r="M24" s="26" t="n"/>
      <c r="N24" s="30" t="n"/>
      <c r="O24" s="30" t="n"/>
      <c r="P24" s="30" t="n"/>
      <c r="Q24" s="30" t="n"/>
      <c r="R24" s="3" t="n"/>
      <c r="S24" s="7" t="n"/>
      <c r="T24" s="26" t="n"/>
      <c r="U24" s="30" t="n"/>
      <c r="V24" s="26" t="n"/>
      <c r="W24" s="30" t="n"/>
      <c r="X24" s="30" t="n"/>
      <c r="Y24" s="30" t="n"/>
      <c r="Z24" s="30" t="n"/>
      <c r="AA24" s="3" t="n"/>
      <c r="AB24" s="7" t="n"/>
      <c r="AC24" s="26" t="n"/>
      <c r="AD24" s="30" t="n"/>
      <c r="AE24" s="26" t="n"/>
      <c r="AF24" s="34" t="inlineStr">
        <is>
          <t>TOTAL</t>
        </is>
      </c>
      <c r="AG24" s="30" t="n"/>
      <c r="AH24" s="30" t="n"/>
      <c r="AI24" s="30">
        <f>SUM(AI4:AI23)</f>
        <v/>
      </c>
    </row>
    <row r="25" ht="15.75" customHeight="1" s="307">
      <c r="A25" s="29" t="n"/>
      <c r="B25" s="26" t="n"/>
      <c r="C25" s="30" t="n"/>
      <c r="D25" s="26" t="n"/>
      <c r="E25" s="30" t="n"/>
      <c r="F25" s="30" t="n"/>
      <c r="G25" s="30" t="n"/>
      <c r="H25" s="31" t="n"/>
      <c r="I25" s="3" t="n"/>
      <c r="J25" s="7" t="n"/>
      <c r="K25" s="26" t="n"/>
      <c r="L25" s="30" t="n"/>
      <c r="M25" s="26" t="n"/>
      <c r="N25" s="30" t="n"/>
      <c r="O25" s="30" t="n"/>
      <c r="P25" s="30" t="n"/>
      <c r="Q25" s="30" t="n"/>
      <c r="R25" s="3" t="n"/>
      <c r="S25" s="7" t="n"/>
      <c r="T25" s="26" t="n"/>
      <c r="U25" s="30" t="n"/>
      <c r="V25" s="26" t="n"/>
      <c r="W25" s="30" t="n"/>
      <c r="X25" s="30" t="n"/>
      <c r="Y25" s="30" t="n"/>
      <c r="Z25" s="30" t="n"/>
      <c r="AA25" s="3" t="n"/>
      <c r="AB25" s="7" t="n"/>
      <c r="AC25" s="26" t="n"/>
      <c r="AD25" s="30" t="n"/>
      <c r="AE25" s="26" t="n"/>
      <c r="AF25" s="30" t="n"/>
      <c r="AG25" s="30" t="n"/>
      <c r="AH25" s="30" t="n"/>
      <c r="AI25" s="30" t="n"/>
    </row>
    <row r="26" ht="15.75" customHeight="1" s="307">
      <c r="A26" s="29" t="n"/>
      <c r="B26" s="26" t="n"/>
      <c r="C26" s="30" t="n"/>
      <c r="D26" s="26" t="n"/>
      <c r="E26" s="30" t="n"/>
      <c r="F26" s="30" t="n"/>
      <c r="G26" s="30" t="n"/>
      <c r="H26" s="31" t="n"/>
      <c r="I26" s="3" t="n"/>
      <c r="J26" s="7" t="n"/>
      <c r="K26" s="26" t="n"/>
      <c r="L26" s="30" t="n"/>
      <c r="M26" s="26" t="n"/>
      <c r="N26" s="30" t="n"/>
      <c r="O26" s="30" t="n"/>
      <c r="P26" s="30" t="n"/>
      <c r="Q26" s="30" t="n"/>
      <c r="R26" s="3" t="n"/>
      <c r="S26" s="7" t="n"/>
      <c r="T26" s="26" t="n"/>
      <c r="U26" s="30" t="n"/>
      <c r="V26" s="26" t="n"/>
      <c r="W26" s="30" t="n"/>
      <c r="X26" s="30" t="n"/>
      <c r="Y26" s="30" t="n"/>
      <c r="Z26" s="30" t="n"/>
      <c r="AA26" s="3" t="n"/>
      <c r="AB26" s="7" t="n"/>
      <c r="AC26" s="26" t="n"/>
      <c r="AD26" s="30" t="n"/>
      <c r="AE26" s="26" t="n"/>
      <c r="AF26" s="30" t="n"/>
      <c r="AG26" s="30" t="n"/>
      <c r="AH26" s="30" t="n"/>
      <c r="AI26" s="30" t="n"/>
    </row>
    <row r="27" ht="15.75" customHeight="1" s="307">
      <c r="A27" s="29" t="n"/>
      <c r="B27" s="26" t="n"/>
      <c r="C27" s="30" t="n"/>
      <c r="D27" s="26" t="n"/>
      <c r="E27" s="30" t="n"/>
      <c r="F27" s="30" t="n"/>
      <c r="G27" s="30" t="n"/>
      <c r="H27" s="31" t="n"/>
      <c r="I27" s="3" t="n"/>
      <c r="J27" s="7" t="n"/>
      <c r="K27" s="26" t="n"/>
      <c r="L27" s="30" t="n"/>
      <c r="M27" s="26" t="n"/>
      <c r="N27" s="30" t="n"/>
      <c r="O27" s="30" t="n"/>
      <c r="P27" s="30" t="n"/>
      <c r="Q27" s="30" t="n"/>
      <c r="R27" s="3" t="n"/>
      <c r="S27" s="7" t="n"/>
      <c r="T27" s="26" t="n"/>
      <c r="U27" s="30" t="n"/>
      <c r="V27" s="26" t="n"/>
      <c r="W27" s="30" t="n"/>
      <c r="X27" s="30" t="n"/>
      <c r="Y27" s="30" t="n"/>
      <c r="Z27" s="30" t="n"/>
      <c r="AA27" s="3" t="n"/>
      <c r="AB27" s="7" t="n"/>
      <c r="AC27" s="26" t="n"/>
      <c r="AD27" s="30" t="n"/>
      <c r="AE27" s="26" t="n"/>
      <c r="AF27" s="30" t="n"/>
      <c r="AG27" s="30" t="n"/>
      <c r="AH27" s="30" t="n"/>
      <c r="AI27" s="30" t="n"/>
    </row>
    <row r="28" ht="15.75" customHeight="1" s="307">
      <c r="A28" s="29" t="n"/>
      <c r="B28" s="26" t="n"/>
      <c r="C28" s="30" t="n"/>
      <c r="D28" s="26" t="n"/>
      <c r="E28" s="30" t="n"/>
      <c r="F28" s="30" t="n"/>
      <c r="G28" s="30" t="n"/>
      <c r="H28" s="31" t="n"/>
      <c r="I28" s="3" t="n"/>
      <c r="J28" s="7" t="n"/>
      <c r="K28" s="26" t="n"/>
      <c r="L28" s="30" t="n"/>
      <c r="M28" s="26" t="n"/>
      <c r="N28" s="30" t="n"/>
      <c r="O28" s="30" t="n"/>
      <c r="P28" s="30" t="n"/>
      <c r="Q28" s="30" t="n"/>
      <c r="R28" s="3" t="n"/>
      <c r="S28" s="7" t="n"/>
      <c r="T28" s="26" t="n"/>
      <c r="U28" s="30" t="n"/>
      <c r="V28" s="26" t="n"/>
      <c r="W28" s="30" t="n"/>
      <c r="X28" s="30" t="n"/>
      <c r="Y28" s="30" t="n"/>
      <c r="Z28" s="30" t="n"/>
      <c r="AA28" s="3" t="n"/>
      <c r="AB28" s="7" t="n"/>
      <c r="AC28" s="26" t="n"/>
      <c r="AD28" s="30" t="n"/>
      <c r="AE28" s="26" t="n"/>
      <c r="AF28" s="30" t="n"/>
      <c r="AG28" s="30" t="n"/>
      <c r="AH28" s="30" t="n"/>
      <c r="AI28" s="30" t="n"/>
    </row>
    <row r="29" ht="15.75" customHeight="1" s="307">
      <c r="A29" s="29" t="n"/>
      <c r="B29" s="26" t="n"/>
      <c r="C29" s="30" t="n"/>
      <c r="D29" s="26" t="n"/>
      <c r="E29" s="30" t="n"/>
      <c r="F29" s="30" t="n"/>
      <c r="G29" s="30" t="n"/>
      <c r="H29" s="31" t="n"/>
      <c r="I29" s="3" t="n"/>
      <c r="J29" s="7" t="n"/>
      <c r="K29" s="26" t="n"/>
      <c r="L29" s="30" t="n"/>
      <c r="M29" s="26" t="n"/>
      <c r="N29" s="30" t="n"/>
      <c r="O29" s="30" t="n"/>
      <c r="P29" s="30" t="n"/>
      <c r="Q29" s="30" t="n"/>
      <c r="R29" s="3" t="n"/>
      <c r="S29" s="7" t="n"/>
      <c r="T29" s="26" t="n"/>
      <c r="U29" s="30" t="n"/>
      <c r="V29" s="26" t="n"/>
      <c r="W29" s="30" t="n"/>
      <c r="X29" s="30" t="n"/>
      <c r="Y29" s="30" t="n"/>
      <c r="Z29" s="30" t="n"/>
      <c r="AA29" s="3" t="n"/>
      <c r="AB29" s="7" t="n"/>
      <c r="AC29" s="26" t="n"/>
      <c r="AD29" s="30" t="n"/>
      <c r="AE29" s="26" t="n"/>
      <c r="AF29" s="30" t="n"/>
      <c r="AG29" s="30" t="n"/>
      <c r="AH29" s="30" t="n"/>
      <c r="AI29" s="30" t="n"/>
    </row>
    <row r="30" ht="15.75" customHeight="1" s="307">
      <c r="A30" s="29" t="n"/>
      <c r="B30" s="26" t="n"/>
      <c r="C30" s="30" t="n"/>
      <c r="D30" s="26" t="n"/>
      <c r="E30" s="30" t="n"/>
      <c r="F30" s="30" t="n"/>
      <c r="G30" s="30" t="n"/>
      <c r="H30" s="31" t="n"/>
      <c r="I30" s="3" t="n"/>
      <c r="J30" s="7" t="n"/>
      <c r="K30" s="26" t="n"/>
      <c r="L30" s="30" t="n"/>
      <c r="M30" s="26" t="n"/>
      <c r="N30" s="30" t="n"/>
      <c r="O30" s="30" t="n"/>
      <c r="P30" s="30" t="n"/>
      <c r="Q30" s="30" t="n"/>
      <c r="R30" s="3" t="n"/>
      <c r="S30" s="7" t="n"/>
      <c r="T30" s="26" t="n"/>
      <c r="U30" s="30" t="n"/>
      <c r="V30" s="26" t="n"/>
      <c r="W30" s="30" t="n"/>
      <c r="X30" s="30" t="n"/>
      <c r="Y30" s="30" t="n"/>
      <c r="Z30" s="30" t="n"/>
      <c r="AA30" s="3" t="n"/>
      <c r="AB30" s="7" t="n"/>
      <c r="AC30" s="26" t="n"/>
      <c r="AD30" s="30" t="n"/>
      <c r="AE30" s="26" t="n"/>
      <c r="AF30" s="30" t="n"/>
      <c r="AG30" s="30" t="n"/>
      <c r="AH30" s="30" t="n"/>
      <c r="AI30" s="30" t="n"/>
    </row>
    <row r="31" ht="15.75" customHeight="1" s="307">
      <c r="A31" s="29" t="n"/>
      <c r="B31" s="26" t="n"/>
      <c r="C31" s="30" t="n"/>
      <c r="D31" s="26" t="n"/>
      <c r="E31" s="30" t="n"/>
      <c r="F31" s="30" t="n"/>
      <c r="G31" s="30" t="n"/>
      <c r="H31" s="31" t="n"/>
      <c r="I31" s="3" t="n"/>
      <c r="J31" s="7" t="n"/>
      <c r="K31" s="26" t="n"/>
      <c r="L31" s="30" t="n"/>
      <c r="M31" s="26" t="n"/>
      <c r="N31" s="30" t="n"/>
      <c r="O31" s="30" t="n"/>
      <c r="P31" s="30" t="n"/>
      <c r="Q31" s="30" t="n"/>
      <c r="R31" s="3" t="n"/>
      <c r="S31" s="7" t="n"/>
      <c r="T31" s="26" t="n"/>
      <c r="U31" s="30" t="n"/>
      <c r="V31" s="26" t="n"/>
      <c r="W31" s="30" t="n"/>
      <c r="X31" s="30" t="n"/>
      <c r="Y31" s="30" t="n"/>
      <c r="Z31" s="30" t="n"/>
      <c r="AA31" s="3" t="n"/>
      <c r="AB31" s="7" t="n"/>
      <c r="AC31" s="26" t="n"/>
      <c r="AD31" s="30" t="n"/>
      <c r="AE31" s="26" t="n"/>
      <c r="AF31" s="30" t="n"/>
      <c r="AG31" s="30" t="n"/>
      <c r="AH31" s="30" t="n"/>
      <c r="AI31" s="30" t="n"/>
    </row>
    <row r="32" ht="15.75" customHeight="1" s="307">
      <c r="A32" s="29" t="n"/>
      <c r="B32" s="26" t="n"/>
      <c r="C32" s="30" t="n"/>
      <c r="D32" s="26" t="n"/>
      <c r="E32" s="30" t="n"/>
      <c r="F32" s="30" t="n"/>
      <c r="G32" s="30" t="n"/>
      <c r="H32" s="31" t="n"/>
      <c r="I32" s="3" t="n"/>
      <c r="J32" s="7" t="n"/>
      <c r="K32" s="26" t="n"/>
      <c r="L32" s="30" t="n"/>
      <c r="M32" s="26" t="n"/>
      <c r="N32" s="30" t="n"/>
      <c r="O32" s="30" t="n"/>
      <c r="P32" s="30" t="n"/>
      <c r="Q32" s="30" t="n"/>
      <c r="R32" s="3" t="n"/>
      <c r="S32" s="7" t="n"/>
      <c r="T32" s="26" t="n"/>
      <c r="U32" s="30" t="n"/>
      <c r="V32" s="26" t="n"/>
      <c r="W32" s="30" t="n"/>
      <c r="X32" s="30" t="n"/>
      <c r="Y32" s="30" t="n"/>
      <c r="Z32" s="30" t="n"/>
      <c r="AA32" s="3" t="n"/>
      <c r="AB32" s="7" t="n"/>
      <c r="AC32" s="26" t="n"/>
      <c r="AD32" s="30" t="n"/>
      <c r="AE32" s="26" t="n"/>
      <c r="AF32" s="30" t="n"/>
      <c r="AG32" s="30" t="n"/>
      <c r="AH32" s="30" t="n"/>
      <c r="AI32" s="30" t="n"/>
    </row>
    <row r="33" ht="15.75" customHeight="1" s="307">
      <c r="A33" s="29" t="n"/>
      <c r="B33" s="26" t="n"/>
      <c r="C33" s="30" t="n"/>
      <c r="D33" s="26" t="n"/>
      <c r="E33" s="30" t="n"/>
      <c r="F33" s="30" t="n"/>
      <c r="G33" s="30" t="n"/>
      <c r="H33" s="31" t="n"/>
      <c r="I33" s="3" t="n"/>
      <c r="J33" s="7" t="n"/>
      <c r="K33" s="26" t="n"/>
      <c r="L33" s="30" t="n"/>
      <c r="M33" s="26" t="n"/>
      <c r="N33" s="30" t="n"/>
      <c r="O33" s="30" t="n"/>
      <c r="P33" s="30" t="n"/>
      <c r="Q33" s="30" t="n"/>
      <c r="R33" s="3" t="n"/>
      <c r="S33" s="7" t="n"/>
      <c r="T33" s="26" t="n"/>
      <c r="U33" s="30" t="n"/>
      <c r="V33" s="26" t="n"/>
      <c r="W33" s="30" t="n"/>
      <c r="X33" s="30" t="n"/>
      <c r="Y33" s="30" t="n"/>
      <c r="Z33" s="30" t="n"/>
      <c r="AA33" s="3" t="n"/>
      <c r="AB33" s="7" t="n"/>
      <c r="AC33" s="26" t="n"/>
      <c r="AD33" s="30" t="n"/>
      <c r="AE33" s="26" t="n"/>
      <c r="AF33" s="30" t="n"/>
      <c r="AG33" s="30" t="n"/>
      <c r="AH33" s="30" t="n"/>
      <c r="AI33" s="30" t="n"/>
    </row>
    <row r="34" ht="15.75" customHeight="1" s="307">
      <c r="A34" s="36" t="n"/>
      <c r="B34" s="37" t="n"/>
      <c r="C34" s="38" t="n"/>
      <c r="D34" s="37" t="n"/>
      <c r="E34" s="38" t="n"/>
      <c r="F34" s="38" t="n"/>
      <c r="G34" s="38" t="n"/>
      <c r="H34" s="39" t="n"/>
      <c r="I34" s="3" t="n"/>
      <c r="J34" s="3" t="n"/>
      <c r="K34" s="3" t="n"/>
      <c r="L34" s="3" t="n"/>
      <c r="M34" s="3" t="n"/>
      <c r="N34" s="3" t="n"/>
      <c r="O34" s="3" t="n"/>
      <c r="P34" s="3" t="n"/>
      <c r="Q34" s="3" t="n"/>
      <c r="R34" s="3" t="n"/>
      <c r="S34" s="3" t="n"/>
      <c r="T34" s="3" t="n"/>
      <c r="U34" s="3" t="n"/>
      <c r="V34" s="3" t="n"/>
      <c r="W34" s="3" t="n"/>
      <c r="X34" s="3" t="n"/>
      <c r="Y34" s="3" t="n"/>
      <c r="Z34" s="3" t="n"/>
      <c r="AA34" s="3" t="n"/>
      <c r="AB34" s="3" t="n"/>
      <c r="AC34" s="3" t="n"/>
      <c r="AD34" s="3" t="n"/>
      <c r="AE34" s="3" t="n"/>
      <c r="AF34" s="3" t="n"/>
      <c r="AG34" s="3" t="n"/>
      <c r="AH34" s="3" t="n"/>
      <c r="AI34" s="3" t="n"/>
    </row>
    <row r="35" ht="15.75" customHeight="1" s="307">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c r="AB35" s="3" t="n"/>
      <c r="AC35" s="3" t="n"/>
      <c r="AD35" s="3" t="n"/>
      <c r="AE35" s="3" t="n"/>
      <c r="AF35" s="3" t="n"/>
      <c r="AG35" s="3" t="n"/>
      <c r="AH35" s="3" t="n"/>
      <c r="AI35" s="3" t="n"/>
    </row>
    <row r="36" ht="15.75" customHeight="1" s="307">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c r="AC36" s="3" t="n"/>
      <c r="AD36" s="3" t="n"/>
      <c r="AE36" s="3" t="n"/>
      <c r="AF36" s="3" t="n"/>
      <c r="AG36" s="3" t="n"/>
      <c r="AH36" s="3" t="n"/>
      <c r="AI36" s="3" t="n"/>
    </row>
    <row r="37" ht="15.75" customHeight="1" s="307">
      <c r="A37" s="3" t="n"/>
      <c r="B37" s="40" t="inlineStr">
        <is>
          <t>Burner Size</t>
        </is>
      </c>
      <c r="C37" s="41" t="inlineStr">
        <is>
          <t>S.G. Assembly</t>
        </is>
      </c>
      <c r="D37" s="41" t="inlineStr">
        <is>
          <t>S.G. Holder</t>
        </is>
      </c>
      <c r="E37" s="42" t="inlineStr">
        <is>
          <t>Inner Tube</t>
        </is>
      </c>
      <c r="F37" s="42" t="inlineStr">
        <is>
          <t>Outer Tube</t>
        </is>
      </c>
      <c r="G37" s="42" t="inlineStr">
        <is>
          <t>Lock Nut</t>
        </is>
      </c>
      <c r="H37" s="42" t="inlineStr">
        <is>
          <t>Check Nut</t>
        </is>
      </c>
      <c r="I37" s="42" t="inlineStr">
        <is>
          <t>Swirler</t>
        </is>
      </c>
      <c r="J37" s="42" t="inlineStr">
        <is>
          <t>Base Plate</t>
        </is>
      </c>
      <c r="K37" s="42" t="inlineStr">
        <is>
          <t>Air Tube</t>
        </is>
      </c>
      <c r="L37" s="43" t="inlineStr">
        <is>
          <t>Air Adjuster</t>
        </is>
      </c>
      <c r="M37" s="3" t="n"/>
      <c r="N37" s="3" t="n"/>
      <c r="O37" s="3" t="n"/>
      <c r="P37" s="3" t="n"/>
      <c r="Q37" s="3" t="n"/>
      <c r="R37" s="3" t="n"/>
      <c r="S37" s="3" t="n"/>
      <c r="T37" s="3" t="n"/>
      <c r="U37" s="3" t="n"/>
      <c r="V37" s="3" t="n"/>
      <c r="W37" s="3" t="n"/>
      <c r="X37" s="3" t="n"/>
      <c r="Y37" s="3" t="n"/>
      <c r="Z37" s="3" t="n"/>
      <c r="AA37" s="3" t="n"/>
      <c r="AB37" s="3" t="n"/>
      <c r="AC37" s="3" t="n"/>
      <c r="AD37" s="44" t="n"/>
      <c r="AE37" s="3" t="n"/>
      <c r="AF37" s="44" t="n"/>
      <c r="AG37" s="44" t="n"/>
      <c r="AH37" s="44" t="n"/>
      <c r="AI37" s="44" t="n"/>
    </row>
    <row r="38" ht="15.75" customHeight="1" s="307">
      <c r="A38" s="3" t="n"/>
      <c r="B38" s="45" t="inlineStr">
        <is>
          <t>ENCON-2A</t>
        </is>
      </c>
      <c r="C38" s="46" t="n">
        <v>2282</v>
      </c>
      <c r="D38" s="46" t="n">
        <v>382</v>
      </c>
      <c r="E38" s="46" t="n">
        <v>850</v>
      </c>
      <c r="F38" s="46" t="n">
        <v>600</v>
      </c>
      <c r="G38" s="46" t="n">
        <v>200</v>
      </c>
      <c r="H38" s="46" t="n">
        <v>125</v>
      </c>
      <c r="I38" s="46" t="n">
        <v>125</v>
      </c>
      <c r="J38" s="46" t="n">
        <v>1235</v>
      </c>
      <c r="K38" s="46" t="n">
        <v>573</v>
      </c>
      <c r="L38" s="46" t="n">
        <v>310</v>
      </c>
      <c r="M38" s="3" t="n"/>
      <c r="N38" s="3" t="n"/>
      <c r="O38" s="3" t="n"/>
      <c r="P38" s="3" t="n"/>
      <c r="Q38" s="3" t="n"/>
      <c r="R38" s="3" t="n"/>
      <c r="S38" s="3" t="n"/>
      <c r="T38" s="3" t="n"/>
      <c r="U38" s="3" t="n"/>
      <c r="V38" s="3" t="n"/>
      <c r="W38" s="3" t="n"/>
      <c r="X38" s="3" t="n"/>
      <c r="Y38" s="3" t="n"/>
      <c r="Z38" s="3" t="n"/>
      <c r="AA38" s="3" t="n"/>
      <c r="AB38" s="3" t="n"/>
      <c r="AC38" s="3" t="n"/>
      <c r="AD38" s="3" t="n"/>
      <c r="AE38" s="3" t="n"/>
      <c r="AF38" s="3" t="n"/>
      <c r="AG38" s="3" t="n"/>
      <c r="AH38" s="3" t="n"/>
      <c r="AI38" s="3" t="n"/>
    </row>
    <row r="39" ht="15.75" customHeight="1" s="307">
      <c r="A39" s="3" t="n"/>
      <c r="B39" s="45" t="inlineStr">
        <is>
          <t>ENCON-3A</t>
        </is>
      </c>
      <c r="C39" s="46" t="n">
        <v>2282</v>
      </c>
      <c r="D39" s="46" t="n">
        <v>382</v>
      </c>
      <c r="E39" s="46" t="n">
        <v>850</v>
      </c>
      <c r="F39" s="46" t="n">
        <v>600</v>
      </c>
      <c r="G39" s="46" t="n">
        <v>200</v>
      </c>
      <c r="H39" s="46" t="n">
        <v>125</v>
      </c>
      <c r="I39" s="46" t="n">
        <v>125</v>
      </c>
      <c r="J39" s="46" t="n">
        <v>1235</v>
      </c>
      <c r="K39" s="46" t="n">
        <v>573</v>
      </c>
      <c r="L39" s="46" t="n">
        <v>310</v>
      </c>
      <c r="M39" s="3" t="n"/>
      <c r="N39" s="3" t="n"/>
      <c r="O39" s="3" t="n"/>
      <c r="P39" s="3" t="n"/>
      <c r="Q39" s="3" t="n"/>
      <c r="R39" s="3" t="n"/>
      <c r="S39" s="3" t="n"/>
      <c r="T39" s="3" t="n"/>
      <c r="U39" s="3" t="n"/>
      <c r="V39" s="3" t="n"/>
      <c r="W39" s="3" t="n"/>
      <c r="X39" s="3" t="n"/>
      <c r="Y39" s="3" t="n"/>
      <c r="Z39" s="3" t="n"/>
      <c r="AA39" s="3" t="n"/>
      <c r="AB39" s="3" t="n"/>
      <c r="AC39" s="3" t="n"/>
      <c r="AD39" s="3" t="n"/>
      <c r="AE39" s="3" t="n"/>
      <c r="AF39" s="3" t="n"/>
      <c r="AG39" s="3" t="n"/>
      <c r="AH39" s="3" t="n"/>
      <c r="AI39" s="3" t="n"/>
    </row>
    <row r="40" ht="15.75" customHeight="1" s="307">
      <c r="A40" s="3" t="n"/>
      <c r="B40" s="45" t="inlineStr">
        <is>
          <t>ENCON-4A</t>
        </is>
      </c>
      <c r="C40" s="46" t="n">
        <v>2551</v>
      </c>
      <c r="D40" s="46" t="n">
        <v>501</v>
      </c>
      <c r="E40" s="46" t="n">
        <v>950</v>
      </c>
      <c r="F40" s="46" t="n">
        <v>650</v>
      </c>
      <c r="G40" s="46" t="n">
        <v>200</v>
      </c>
      <c r="H40" s="46" t="n">
        <v>125</v>
      </c>
      <c r="I40" s="46" t="n">
        <v>125</v>
      </c>
      <c r="J40" s="46" t="n">
        <v>1445</v>
      </c>
      <c r="K40" s="46" t="n">
        <v>776</v>
      </c>
      <c r="L40" s="46" t="n">
        <v>366</v>
      </c>
      <c r="M40" s="3" t="n"/>
      <c r="N40" s="3" t="n"/>
      <c r="O40" s="3" t="n"/>
      <c r="P40" s="3" t="n"/>
      <c r="Q40" s="3" t="n"/>
      <c r="R40" s="3" t="n"/>
      <c r="S40" s="3" t="n"/>
      <c r="T40" s="3" t="n"/>
      <c r="U40" s="3" t="n"/>
      <c r="V40" s="3" t="n"/>
      <c r="W40" s="3" t="n"/>
      <c r="X40" s="3" t="n"/>
      <c r="Y40" s="3" t="n"/>
      <c r="Z40" s="3" t="n"/>
      <c r="AA40" s="3" t="n"/>
      <c r="AB40" s="3" t="n"/>
      <c r="AC40" s="3" t="n"/>
      <c r="AD40" s="3" t="n"/>
      <c r="AE40" s="3" t="n"/>
      <c r="AF40" s="3" t="n"/>
      <c r="AG40" s="3" t="n"/>
      <c r="AH40" s="3" t="n"/>
      <c r="AI40" s="3" t="n"/>
    </row>
    <row r="41" ht="15.75" customHeight="1" s="307">
      <c r="A41" s="3" t="n"/>
      <c r="B41" s="45" t="inlineStr">
        <is>
          <t>ENCON-5A</t>
        </is>
      </c>
      <c r="C41" s="46" t="n">
        <v>4788</v>
      </c>
      <c r="D41" s="46" t="n">
        <v>888</v>
      </c>
      <c r="E41" s="46" t="n">
        <v>2100</v>
      </c>
      <c r="F41" s="46" t="n">
        <v>1200</v>
      </c>
      <c r="G41" s="46" t="n">
        <v>250</v>
      </c>
      <c r="H41" s="46" t="n">
        <v>150</v>
      </c>
      <c r="I41" s="46" t="n">
        <v>200</v>
      </c>
      <c r="J41" s="46" t="n">
        <v>2230</v>
      </c>
      <c r="K41" s="46" t="n">
        <v>1576</v>
      </c>
      <c r="L41" s="46" t="n">
        <v>429</v>
      </c>
      <c r="M41" s="3" t="n"/>
      <c r="N41" s="3" t="n"/>
      <c r="O41" s="3" t="n"/>
      <c r="P41" s="3" t="n"/>
      <c r="Q41" s="3" t="n"/>
      <c r="R41" s="3" t="n"/>
      <c r="S41" s="3" t="n"/>
      <c r="T41" s="3" t="n"/>
      <c r="U41" s="3" t="n"/>
      <c r="V41" s="3" t="n"/>
      <c r="W41" s="3" t="n"/>
      <c r="X41" s="3" t="n"/>
      <c r="Y41" s="3" t="n"/>
      <c r="Z41" s="3" t="n"/>
      <c r="AA41" s="3" t="n"/>
      <c r="AB41" s="3" t="n"/>
      <c r="AC41" s="3" t="n"/>
      <c r="AD41" s="3" t="n"/>
      <c r="AE41" s="3" t="n"/>
      <c r="AF41" s="3" t="n"/>
      <c r="AG41" s="3" t="n"/>
      <c r="AH41" s="3" t="n"/>
      <c r="AI41" s="3" t="n"/>
    </row>
    <row r="42" ht="15.75" customHeight="1" s="307">
      <c r="A42" s="3" t="n"/>
      <c r="B42" s="45" t="inlineStr">
        <is>
          <t>ENCON-6A</t>
        </is>
      </c>
      <c r="C42" s="46" t="n">
        <v>4388</v>
      </c>
      <c r="D42" s="46" t="n">
        <v>888</v>
      </c>
      <c r="E42" s="46" t="n">
        <v>2100</v>
      </c>
      <c r="F42" s="46" t="n">
        <v>1200</v>
      </c>
      <c r="G42" s="46" t="n">
        <v>250</v>
      </c>
      <c r="H42" s="46" t="n">
        <v>150</v>
      </c>
      <c r="I42" s="46" t="n">
        <v>200</v>
      </c>
      <c r="J42" s="46" t="n">
        <v>2230</v>
      </c>
      <c r="K42" s="46" t="n">
        <v>1576</v>
      </c>
      <c r="L42" s="46" t="n">
        <v>429</v>
      </c>
      <c r="M42" s="3" t="n"/>
      <c r="N42" s="3" t="n"/>
      <c r="O42" s="3" t="n"/>
      <c r="P42" s="3" t="n"/>
      <c r="Q42" s="3" t="n"/>
      <c r="R42" s="3" t="n"/>
      <c r="S42" s="3" t="n"/>
      <c r="T42" s="3" t="n"/>
      <c r="U42" s="3" t="n"/>
      <c r="V42" s="3" t="n"/>
      <c r="W42" s="3" t="n"/>
      <c r="X42" s="3" t="n"/>
      <c r="Y42" s="3" t="n"/>
      <c r="Z42" s="3" t="n"/>
      <c r="AA42" s="3" t="n"/>
      <c r="AB42" s="3" t="n"/>
      <c r="AC42" s="3" t="n"/>
      <c r="AD42" s="3" t="n"/>
      <c r="AE42" s="3" t="n"/>
      <c r="AF42" s="3" t="n"/>
      <c r="AG42" s="3" t="n"/>
      <c r="AH42" s="3" t="n"/>
      <c r="AI42" s="3" t="n"/>
    </row>
    <row r="43" ht="15.75" customHeight="1" s="307">
      <c r="A43" s="3" t="n"/>
      <c r="B43" s="45" t="inlineStr">
        <is>
          <t>ENCON-7A</t>
        </is>
      </c>
      <c r="C43" s="46" t="n">
        <v>17000</v>
      </c>
      <c r="D43" s="46" t="n"/>
      <c r="E43" s="46" t="n">
        <v>10800</v>
      </c>
      <c r="F43" s="46" t="n">
        <v>5800</v>
      </c>
      <c r="G43" s="46" t="n"/>
      <c r="H43" s="46" t="n">
        <v>250</v>
      </c>
      <c r="I43" s="46" t="n">
        <v>150</v>
      </c>
      <c r="J43" s="46" t="n">
        <v>3500</v>
      </c>
      <c r="K43" s="46" t="n"/>
      <c r="L43" s="46" t="n"/>
      <c r="M43" s="3" t="n"/>
      <c r="N43" s="3" t="n"/>
      <c r="O43" s="3" t="n"/>
      <c r="P43" s="3" t="n"/>
      <c r="Q43" s="3" t="n"/>
      <c r="R43" s="3" t="n"/>
      <c r="S43" s="3" t="n"/>
      <c r="T43" s="3" t="n"/>
      <c r="U43" s="3" t="n"/>
      <c r="V43" s="3" t="n"/>
      <c r="W43" s="3" t="n"/>
      <c r="X43" s="3" t="n"/>
      <c r="Y43" s="3" t="n"/>
      <c r="Z43" s="3" t="n"/>
      <c r="AA43" s="3" t="n"/>
      <c r="AB43" s="3" t="n"/>
      <c r="AC43" s="3" t="n"/>
      <c r="AD43" s="3" t="n"/>
      <c r="AE43" s="3" t="n"/>
      <c r="AF43" s="3" t="n"/>
      <c r="AG43" s="3" t="n"/>
      <c r="AH43" s="3" t="n"/>
      <c r="AI43" s="3" t="n"/>
    </row>
    <row r="44" ht="15.75" customHeight="1" s="307">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c r="AC44" s="3" t="n"/>
      <c r="AD44" s="3" t="n"/>
      <c r="AE44" s="3" t="n"/>
      <c r="AF44" s="3" t="n"/>
      <c r="AG44" s="3" t="n"/>
      <c r="AH44" s="3" t="n"/>
      <c r="AI44" s="3" t="n"/>
    </row>
    <row r="45" ht="15.75" customHeight="1" s="307">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c r="AC45" s="3" t="n"/>
      <c r="AD45" s="3" t="n"/>
      <c r="AE45" s="3" t="n"/>
      <c r="AF45" s="3" t="n"/>
      <c r="AG45" s="3" t="n"/>
      <c r="AH45" s="3" t="n"/>
      <c r="AI45" s="3" t="n"/>
    </row>
    <row r="46" ht="15.75" customHeight="1" s="307">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c r="AC46" s="3" t="n"/>
      <c r="AD46" s="3" t="n"/>
      <c r="AE46" s="3" t="n"/>
      <c r="AF46" s="3" t="n"/>
      <c r="AG46" s="3" t="n"/>
      <c r="AH46" s="3" t="n"/>
      <c r="AI46" s="3" t="n"/>
    </row>
    <row r="47" ht="15.75" customHeight="1" s="30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row>
    <row r="48" ht="15.75" customHeight="1" s="307">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c r="AC48" s="3" t="n"/>
      <c r="AD48" s="3" t="n"/>
      <c r="AE48" s="3" t="n"/>
      <c r="AF48" s="3" t="n"/>
      <c r="AG48" s="3" t="n"/>
      <c r="AH48" s="3" t="n"/>
      <c r="AI48" s="3" t="n"/>
    </row>
    <row r="49" ht="15.75" customHeight="1" s="307">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c r="AC49" s="3" t="n"/>
      <c r="AD49" s="3" t="n"/>
      <c r="AE49" s="3" t="n"/>
      <c r="AF49" s="3" t="n"/>
      <c r="AG49" s="3" t="n"/>
      <c r="AH49" s="3" t="n"/>
      <c r="AI49" s="3" t="n"/>
    </row>
    <row r="50" ht="15.75" customHeight="1" s="307">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c r="AC50" s="3" t="n"/>
      <c r="AD50" s="3" t="n"/>
      <c r="AE50" s="3" t="n"/>
      <c r="AF50" s="3" t="n"/>
      <c r="AG50" s="3" t="n"/>
      <c r="AH50" s="3" t="n"/>
      <c r="AI50" s="3" t="n"/>
    </row>
    <row r="51" ht="15.75" customHeight="1" s="307">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c r="AH51" s="3" t="n"/>
      <c r="AI51" s="3" t="n"/>
    </row>
    <row r="52" ht="15.75" customHeight="1" s="307">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c r="AC52" s="3" t="n"/>
      <c r="AD52" s="3" t="n"/>
      <c r="AE52" s="3" t="n"/>
      <c r="AF52" s="3" t="n"/>
      <c r="AG52" s="3" t="n"/>
      <c r="AH52" s="3" t="n"/>
      <c r="AI52" s="3" t="n"/>
    </row>
    <row r="53" ht="15.75" customHeight="1" s="307">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c r="AH53" s="3" t="n"/>
      <c r="AI53" s="3" t="n"/>
    </row>
    <row r="54" ht="15.75" customHeight="1" s="307">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c r="AC54" s="3" t="n"/>
      <c r="AD54" s="3" t="n"/>
      <c r="AE54" s="3" t="n"/>
      <c r="AF54" s="3" t="n"/>
      <c r="AG54" s="3" t="n"/>
      <c r="AH54" s="3" t="n"/>
      <c r="AI54" s="3" t="n"/>
    </row>
    <row r="55" ht="15.75" customHeight="1" s="307">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c r="AH55" s="3" t="n"/>
      <c r="AI55" s="3" t="n"/>
    </row>
    <row r="56" ht="15.75" customHeight="1" s="307">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c r="AC56" s="3" t="n"/>
      <c r="AD56" s="3" t="n"/>
      <c r="AE56" s="3" t="n"/>
      <c r="AF56" s="3" t="n"/>
      <c r="AG56" s="3" t="n"/>
      <c r="AH56" s="3" t="n"/>
      <c r="AI56" s="3" t="n"/>
    </row>
    <row r="57" ht="15.75" customHeight="1" s="30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c r="AH57" s="3" t="n"/>
      <c r="AI57" s="3" t="n"/>
    </row>
    <row r="58" ht="15.75" customHeight="1" s="307">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C58" s="3" t="n"/>
      <c r="AD58" s="3" t="n"/>
      <c r="AE58" s="3" t="n"/>
      <c r="AF58" s="3" t="n"/>
      <c r="AG58" s="3" t="n"/>
      <c r="AH58" s="3" t="n"/>
      <c r="AI58" s="3" t="n"/>
    </row>
    <row r="59" ht="15.75" customHeight="1" s="307">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c r="AC59" s="3" t="n"/>
      <c r="AD59" s="3" t="n"/>
      <c r="AE59" s="3" t="n"/>
      <c r="AF59" s="3" t="n"/>
      <c r="AG59" s="3" t="n"/>
      <c r="AH59" s="3" t="n"/>
      <c r="AI59" s="3" t="n"/>
    </row>
    <row r="60" ht="15.75" customHeight="1" s="307">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c r="AC60" s="3" t="n"/>
      <c r="AD60" s="3" t="n"/>
      <c r="AE60" s="3" t="n"/>
      <c r="AF60" s="3" t="n"/>
      <c r="AG60" s="3" t="n"/>
      <c r="AH60" s="3" t="n"/>
      <c r="AI60" s="3" t="n"/>
    </row>
    <row r="61" ht="15.75" customHeight="1" s="307">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c r="AH61" s="3" t="n"/>
      <c r="AI61" s="3" t="n"/>
    </row>
    <row r="62" ht="15.75" customHeight="1" s="307">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c r="AC62" s="3" t="n"/>
      <c r="AD62" s="3" t="n"/>
      <c r="AE62" s="3" t="n"/>
      <c r="AF62" s="3" t="n"/>
      <c r="AG62" s="3" t="n"/>
      <c r="AH62" s="3" t="n"/>
      <c r="AI62" s="3" t="n"/>
    </row>
    <row r="63" ht="15.75" customHeight="1" s="307">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c r="AD63" s="3" t="n"/>
      <c r="AE63" s="3" t="n"/>
      <c r="AF63" s="3" t="n"/>
      <c r="AG63" s="3" t="n"/>
      <c r="AH63" s="3" t="n"/>
      <c r="AI63" s="3" t="n"/>
    </row>
    <row r="64" ht="15.75" customHeight="1" s="307">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c r="AC64" s="3" t="n"/>
      <c r="AD64" s="3" t="n"/>
      <c r="AE64" s="3" t="n"/>
      <c r="AF64" s="3" t="n"/>
      <c r="AG64" s="3" t="n"/>
      <c r="AH64" s="3" t="n"/>
      <c r="AI64" s="3" t="n"/>
    </row>
    <row r="65" ht="15.75" customHeight="1" s="307">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3" t="n"/>
      <c r="AD65" s="3" t="n"/>
      <c r="AE65" s="3" t="n"/>
      <c r="AF65" s="3" t="n"/>
      <c r="AG65" s="3" t="n"/>
      <c r="AH65" s="3" t="n"/>
      <c r="AI65" s="3" t="n"/>
    </row>
    <row r="66" ht="15.75" customHeight="1" s="307">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c r="AC66" s="3" t="n"/>
      <c r="AD66" s="3" t="n"/>
      <c r="AE66" s="3" t="n"/>
      <c r="AF66" s="3" t="n"/>
      <c r="AG66" s="3" t="n"/>
      <c r="AH66" s="3" t="n"/>
      <c r="AI66" s="3" t="n"/>
    </row>
    <row r="67" ht="15.75" customHeight="1" s="30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3" t="n"/>
      <c r="AD67" s="3" t="n"/>
      <c r="AE67" s="3" t="n"/>
      <c r="AF67" s="3" t="n"/>
      <c r="AG67" s="3" t="n"/>
      <c r="AH67" s="3" t="n"/>
      <c r="AI67" s="3" t="n"/>
    </row>
    <row r="68" ht="15.75" customHeight="1" s="307">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row>
    <row r="69" ht="15.75" customHeight="1" s="307">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3" t="n"/>
      <c r="AD69" s="3" t="n"/>
      <c r="AE69" s="3" t="n"/>
      <c r="AF69" s="3" t="n"/>
      <c r="AG69" s="3" t="n"/>
      <c r="AH69" s="3" t="n"/>
      <c r="AI69" s="3" t="n"/>
    </row>
    <row r="70" ht="15.75" customHeight="1" s="307">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c r="AC70" s="3" t="n"/>
      <c r="AD70" s="3" t="n"/>
      <c r="AE70" s="3" t="n"/>
      <c r="AF70" s="3" t="n"/>
      <c r="AG70" s="3" t="n"/>
      <c r="AH70" s="3" t="n"/>
      <c r="AI70" s="3" t="n"/>
    </row>
    <row r="71" ht="15.75" customHeight="1" s="307">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3" t="n"/>
      <c r="AD71" s="3" t="n"/>
      <c r="AE71" s="3" t="n"/>
      <c r="AF71" s="3" t="n"/>
      <c r="AG71" s="3" t="n"/>
      <c r="AH71" s="3" t="n"/>
      <c r="AI71" s="3" t="n"/>
    </row>
    <row r="72" ht="15.75" customHeight="1" s="307">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c r="AC72" s="3" t="n"/>
      <c r="AD72" s="3" t="n"/>
      <c r="AE72" s="3" t="n"/>
      <c r="AF72" s="3" t="n"/>
      <c r="AG72" s="3" t="n"/>
      <c r="AH72" s="3" t="n"/>
      <c r="AI72" s="3" t="n"/>
    </row>
    <row r="73" ht="15.75" customHeight="1" s="307">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c r="AH73" s="3" t="n"/>
      <c r="AI73" s="3" t="n"/>
    </row>
    <row r="74" ht="15.75" customHeight="1" s="307">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c r="AC74" s="3" t="n"/>
      <c r="AD74" s="3" t="n"/>
      <c r="AE74" s="3" t="n"/>
      <c r="AF74" s="3" t="n"/>
      <c r="AG74" s="3" t="n"/>
      <c r="AH74" s="3" t="n"/>
      <c r="AI74" s="3" t="n"/>
    </row>
    <row r="75" ht="15.75" customHeight="1" s="307">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c r="AH75" s="3" t="n"/>
      <c r="AI75" s="3" t="n"/>
    </row>
    <row r="76" ht="15.75" customHeight="1" s="307">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row>
    <row r="77" ht="15.75" customHeight="1" s="30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c r="AC77" s="3" t="n"/>
      <c r="AD77" s="3" t="n"/>
      <c r="AE77" s="3" t="n"/>
      <c r="AF77" s="3" t="n"/>
      <c r="AG77" s="3" t="n"/>
      <c r="AH77" s="3" t="n"/>
      <c r="AI77" s="3" t="n"/>
    </row>
    <row r="78" ht="15.75" customHeight="1" s="307">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c r="AC78" s="3" t="n"/>
      <c r="AD78" s="3" t="n"/>
      <c r="AE78" s="3" t="n"/>
      <c r="AF78" s="3" t="n"/>
      <c r="AG78" s="3" t="n"/>
      <c r="AH78" s="3" t="n"/>
      <c r="AI78" s="3" t="n"/>
    </row>
    <row r="79" ht="15.75" customHeight="1" s="307">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c r="AD79" s="3" t="n"/>
      <c r="AE79" s="3" t="n"/>
      <c r="AF79" s="3" t="n"/>
      <c r="AG79" s="3" t="n"/>
      <c r="AH79" s="3" t="n"/>
      <c r="AI79" s="3" t="n"/>
    </row>
    <row r="80" ht="15.75" customHeight="1" s="307">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c r="AC80" s="3" t="n"/>
      <c r="AD80" s="3" t="n"/>
      <c r="AE80" s="3" t="n"/>
      <c r="AF80" s="3" t="n"/>
      <c r="AG80" s="3" t="n"/>
      <c r="AH80" s="3" t="n"/>
      <c r="AI80" s="3" t="n"/>
    </row>
    <row r="81" ht="15.75" customHeight="1" s="307">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c r="AC81" s="3" t="n"/>
      <c r="AD81" s="3" t="n"/>
      <c r="AE81" s="3" t="n"/>
      <c r="AF81" s="3" t="n"/>
      <c r="AG81" s="3" t="n"/>
      <c r="AH81" s="3" t="n"/>
      <c r="AI81" s="3" t="n"/>
    </row>
    <row r="82" ht="15.75" customHeight="1" s="307">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c r="AC82" s="3" t="n"/>
      <c r="AD82" s="3" t="n"/>
      <c r="AE82" s="3" t="n"/>
      <c r="AF82" s="3" t="n"/>
      <c r="AG82" s="3" t="n"/>
      <c r="AH82" s="3" t="n"/>
      <c r="AI82" s="3" t="n"/>
    </row>
    <row r="83" ht="15.75" customHeight="1" s="307">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c r="AD83" s="3" t="n"/>
      <c r="AE83" s="3" t="n"/>
      <c r="AF83" s="3" t="n"/>
      <c r="AG83" s="3" t="n"/>
      <c r="AH83" s="3" t="n"/>
      <c r="AI83" s="3" t="n"/>
    </row>
    <row r="84" ht="15.75" customHeight="1" s="307">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c r="AC84" s="3" t="n"/>
      <c r="AD84" s="3" t="n"/>
      <c r="AE84" s="3" t="n"/>
      <c r="AF84" s="3" t="n"/>
      <c r="AG84" s="3" t="n"/>
      <c r="AH84" s="3" t="n"/>
      <c r="AI84" s="3" t="n"/>
    </row>
    <row r="85" ht="15.75" customHeight="1" s="307">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c r="AC85" s="3" t="n"/>
      <c r="AD85" s="3" t="n"/>
      <c r="AE85" s="3" t="n"/>
      <c r="AF85" s="3" t="n"/>
      <c r="AG85" s="3" t="n"/>
      <c r="AH85" s="3" t="n"/>
      <c r="AI85" s="3" t="n"/>
    </row>
    <row r="86" ht="15.75" customHeight="1" s="307">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c r="AC86" s="3" t="n"/>
      <c r="AD86" s="3" t="n"/>
      <c r="AE86" s="3" t="n"/>
      <c r="AF86" s="3" t="n"/>
      <c r="AG86" s="3" t="n"/>
      <c r="AH86" s="3" t="n"/>
      <c r="AI86" s="3" t="n"/>
    </row>
    <row r="87" ht="15.75" customHeight="1" s="30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c r="AC87" s="3" t="n"/>
      <c r="AD87" s="3" t="n"/>
      <c r="AE87" s="3" t="n"/>
      <c r="AF87" s="3" t="n"/>
      <c r="AG87" s="3" t="n"/>
      <c r="AH87" s="3" t="n"/>
      <c r="AI87" s="3" t="n"/>
    </row>
    <row r="88" ht="15.75" customHeight="1" s="307">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c r="AD88" s="3" t="n"/>
      <c r="AE88" s="3" t="n"/>
      <c r="AF88" s="3" t="n"/>
      <c r="AG88" s="3" t="n"/>
      <c r="AH88" s="3" t="n"/>
      <c r="AI88" s="3" t="n"/>
    </row>
    <row r="89" ht="15.75" customHeight="1" s="307">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c r="AD89" s="3" t="n"/>
      <c r="AE89" s="3" t="n"/>
      <c r="AF89" s="3" t="n"/>
      <c r="AG89" s="3" t="n"/>
      <c r="AH89" s="3" t="n"/>
      <c r="AI89" s="3" t="n"/>
    </row>
    <row r="90" ht="15.75" customHeight="1" s="307">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c r="AC90" s="3" t="n"/>
      <c r="AD90" s="3" t="n"/>
      <c r="AE90" s="3" t="n"/>
      <c r="AF90" s="3" t="n"/>
      <c r="AG90" s="3" t="n"/>
      <c r="AH90" s="3" t="n"/>
      <c r="AI90" s="3" t="n"/>
    </row>
    <row r="91" ht="15.75" customHeight="1" s="307">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c r="AD91" s="3" t="n"/>
      <c r="AE91" s="3" t="n"/>
      <c r="AF91" s="3" t="n"/>
      <c r="AG91" s="3" t="n"/>
      <c r="AH91" s="3" t="n"/>
      <c r="AI91" s="3" t="n"/>
    </row>
    <row r="92" ht="15.75" customHeight="1" s="307">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c r="AF92" s="3" t="n"/>
      <c r="AG92" s="3" t="n"/>
      <c r="AH92" s="3" t="n"/>
      <c r="AI92" s="3" t="n"/>
    </row>
    <row r="93" ht="15.75" customHeight="1" s="307">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c r="AD93" s="3" t="n"/>
      <c r="AE93" s="3" t="n"/>
      <c r="AF93" s="3" t="n"/>
      <c r="AG93" s="3" t="n"/>
      <c r="AH93" s="3" t="n"/>
      <c r="AI93" s="3" t="n"/>
    </row>
    <row r="94" ht="15.75" customHeight="1" s="307">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c r="AC94" s="3" t="n"/>
      <c r="AD94" s="3" t="n"/>
      <c r="AE94" s="3" t="n"/>
      <c r="AF94" s="3" t="n"/>
      <c r="AG94" s="3" t="n"/>
      <c r="AH94" s="3" t="n"/>
      <c r="AI94" s="3" t="n"/>
    </row>
    <row r="95" ht="15.75" customHeight="1" s="307">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row>
    <row r="96" ht="15.75" customHeight="1" s="307">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c r="AC96" s="3" t="n"/>
      <c r="AD96" s="3" t="n"/>
      <c r="AE96" s="3" t="n"/>
      <c r="AF96" s="3" t="n"/>
      <c r="AG96" s="3" t="n"/>
      <c r="AH96" s="3" t="n"/>
      <c r="AI96" s="3" t="n"/>
    </row>
    <row r="97" ht="15.75" customHeight="1" s="30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c r="AD97" s="3" t="n"/>
      <c r="AE97" s="3" t="n"/>
      <c r="AF97" s="3" t="n"/>
      <c r="AG97" s="3" t="n"/>
      <c r="AH97" s="3" t="n"/>
      <c r="AI97" s="3" t="n"/>
    </row>
    <row r="98" ht="15.75" customHeight="1" s="307">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c r="AC98" s="3" t="n"/>
      <c r="AD98" s="3" t="n"/>
      <c r="AE98" s="3" t="n"/>
      <c r="AF98" s="3" t="n"/>
      <c r="AG98" s="3" t="n"/>
      <c r="AH98" s="3" t="n"/>
      <c r="AI98" s="3" t="n"/>
    </row>
    <row r="99" ht="15.75" customHeight="1" s="307">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c r="AC99" s="3" t="n"/>
      <c r="AD99" s="3" t="n"/>
      <c r="AE99" s="3" t="n"/>
      <c r="AF99" s="3" t="n"/>
      <c r="AG99" s="3" t="n"/>
      <c r="AH99" s="3" t="n"/>
      <c r="AI99" s="3" t="n"/>
    </row>
    <row r="100" ht="15.75" customHeight="1" s="307">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row>
    <row r="101" ht="15.75" customHeight="1" s="307">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row>
    <row r="102" ht="15.75" customHeight="1" s="307">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row>
    <row r="103" ht="15.75" customHeight="1" s="307">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row>
    <row r="104" ht="15.75" customHeight="1" s="307">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row>
    <row r="105" ht="15.75" customHeight="1" s="307">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row>
    <row r="106" ht="15.75" customHeight="1" s="307">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row>
    <row r="107" ht="15.75" customHeight="1" s="3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row>
    <row r="108" ht="15.75" customHeight="1" s="307">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row>
    <row r="109" ht="15.75" customHeight="1" s="307">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row>
    <row r="110" ht="15.75" customHeight="1" s="307">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row>
    <row r="111" ht="15.75" customHeight="1" s="307">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row>
    <row r="112" ht="15.75" customHeight="1" s="307">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row>
    <row r="113" ht="15.75" customHeight="1" s="307">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row>
    <row r="114" ht="15.75" customHeight="1" s="307">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row>
    <row r="115" ht="15.75" customHeight="1" s="307">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row>
    <row r="116" ht="15.75" customHeight="1" s="307">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row>
    <row r="117" ht="15.75" customHeight="1" s="30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row>
    <row r="118" ht="15.75" customHeight="1" s="307">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row>
    <row r="119" ht="15.75" customHeight="1" s="307">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row>
    <row r="120" ht="15.75" customHeight="1" s="307">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row>
    <row r="121" ht="15.75" customHeight="1" s="307">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row>
    <row r="122" ht="15.75" customHeight="1" s="307">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row>
    <row r="123" ht="15.75" customHeight="1" s="307">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row>
    <row r="124" ht="15.75" customHeight="1" s="307">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row>
    <row r="125" ht="15.75" customHeight="1" s="307">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row>
    <row r="126" ht="15.75" customHeight="1" s="307">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row>
    <row r="127" ht="15.75" customHeight="1" s="30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row>
    <row r="128" ht="15.75" customHeight="1" s="307">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row>
    <row r="129" ht="15.75" customHeight="1" s="307">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row>
    <row r="130" ht="15.75" customHeight="1" s="307">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row>
    <row r="131" ht="15.75" customHeight="1" s="307">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row>
    <row r="132" ht="15.75" customHeight="1" s="307">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row>
    <row r="133" ht="15.75" customHeight="1" s="307">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row>
    <row r="134" ht="15.75" customHeight="1" s="307">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row>
    <row r="135" ht="15.75" customHeight="1" s="307">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row>
    <row r="136" ht="15.75" customHeight="1" s="307">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row>
    <row r="137" ht="15.75" customHeight="1" s="30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row>
    <row r="138" ht="15.75" customHeight="1" s="307">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row>
    <row r="139" ht="15.75" customHeight="1" s="307">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row>
    <row r="140" ht="15.75" customHeight="1" s="307">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row>
    <row r="141" ht="15.75" customHeight="1" s="307">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row>
    <row r="142" ht="15.75" customHeight="1" s="307">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row>
    <row r="143" ht="15.75" customHeight="1" s="307">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row>
    <row r="144" ht="15.75" customHeight="1" s="307">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row>
    <row r="145" ht="15.75" customHeight="1" s="307">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row>
    <row r="146" ht="15.75" customHeight="1" s="307">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row>
    <row r="147" ht="15.75" customHeight="1" s="30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row>
    <row r="148" ht="15.75" customHeight="1" s="307">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row>
    <row r="149" ht="15.75" customHeight="1" s="307">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row>
    <row r="150" ht="15.75" customHeight="1" s="307">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row>
    <row r="151" ht="15.75" customHeight="1" s="307">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row>
    <row r="152" ht="15.75" customHeight="1" s="307">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row>
    <row r="153" ht="15.75" customHeight="1" s="307">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row>
    <row r="154" ht="15.75" customHeight="1" s="307">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row>
    <row r="155" ht="15.75" customHeight="1" s="307">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row>
    <row r="156" ht="15.75" customHeight="1" s="307">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row>
    <row r="157" ht="15.75" customHeight="1" s="30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row>
    <row r="158" ht="15.75" customHeight="1" s="307">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row>
    <row r="159" ht="15.75" customHeight="1" s="307">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row>
    <row r="160" ht="15.75" customHeight="1" s="307">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row>
    <row r="161" ht="15.75" customHeight="1" s="307">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row>
    <row r="162" ht="15.75" customHeight="1" s="307">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row>
    <row r="163" ht="15.75" customHeight="1" s="307">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row>
    <row r="164" ht="15.75" customHeight="1" s="307">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row>
    <row r="165" ht="15.75" customHeight="1" s="307">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row>
    <row r="166" ht="15.75" customHeight="1" s="307">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row>
    <row r="167" ht="15.75" customHeight="1" s="30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row>
    <row r="168" ht="15.75" customHeight="1" s="307">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row>
    <row r="169" ht="15.75" customHeight="1" s="307">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row>
    <row r="170" ht="15.75" customHeight="1" s="307">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row>
    <row r="171" ht="15.75" customHeight="1" s="307">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row>
    <row r="172" ht="15.75" customHeight="1" s="307">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row>
    <row r="173" ht="15.75" customHeight="1" s="307">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row>
    <row r="174" ht="15.75" customHeight="1" s="307">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row>
    <row r="175" ht="15.75" customHeight="1" s="307">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row>
    <row r="176" ht="15.75" customHeight="1" s="307">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row>
    <row r="177" ht="15.75" customHeight="1" s="30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row>
    <row r="178" ht="15.75" customHeight="1" s="307">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row>
    <row r="179" ht="15.75" customHeight="1" s="307">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row>
    <row r="180" ht="15.75" customHeight="1" s="307">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row>
    <row r="181" ht="15.75" customHeight="1" s="307">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row>
    <row r="182" ht="15.75" customHeight="1" s="307">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row>
    <row r="183" ht="15.75" customHeight="1" s="307">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row>
    <row r="184" ht="15.75" customHeight="1" s="307">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row>
    <row r="185" ht="15.75" customHeight="1" s="307">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row>
    <row r="186" ht="15.75" customHeight="1" s="307">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row>
    <row r="187" ht="15.75" customHeight="1" s="30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row>
    <row r="188" ht="15.75" customHeight="1" s="307">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row>
    <row r="189" ht="15.75" customHeight="1" s="307">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row>
    <row r="190" ht="15.75" customHeight="1" s="307">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row>
    <row r="191" ht="15.75" customHeight="1" s="307">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row>
    <row r="192" ht="15.75" customHeight="1" s="307">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row>
    <row r="193" ht="15.75" customHeight="1" s="307">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row>
    <row r="194" ht="15.75" customHeight="1" s="307">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row>
    <row r="195" ht="15.75" customHeight="1" s="307">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row>
    <row r="196" ht="15.75" customHeight="1" s="307">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row>
    <row r="197" ht="15.75" customHeight="1" s="30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row>
    <row r="198" ht="15.75" customHeight="1" s="307">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row>
    <row r="199" ht="15.75" customHeight="1" s="307">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row>
    <row r="200" ht="15.75" customHeight="1" s="307">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row>
    <row r="201" ht="15.75" customHeight="1" s="307">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row>
    <row r="202" ht="15.75" customHeight="1" s="307">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row>
    <row r="203" ht="15.75" customHeight="1" s="307">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row>
    <row r="204" ht="15.75" customHeight="1" s="307">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row>
    <row r="205" ht="15.75" customHeight="1" s="307">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row>
    <row r="206" ht="15.75" customHeight="1" s="307">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row>
    <row r="207" ht="15.75" customHeight="1" s="3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row>
    <row r="208" ht="15.75" customHeight="1" s="307">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row>
    <row r="209" ht="15.75" customHeight="1" s="307">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row>
    <row r="210" ht="15.75" customHeight="1" s="307">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row>
    <row r="211" ht="15.75" customHeight="1" s="307">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row>
    <row r="212" ht="15.75" customHeight="1" s="307">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row>
    <row r="213" ht="15.75" customHeight="1" s="307">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row>
    <row r="214" ht="15.75" customHeight="1" s="307">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row>
    <row r="215" ht="15.75" customHeight="1" s="307">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row>
    <row r="216" ht="15.75" customHeight="1" s="307">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row>
    <row r="217" ht="15.75" customHeight="1" s="30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row>
    <row r="218" ht="15.75" customHeight="1" s="307">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row>
    <row r="219" ht="15.75" customHeight="1" s="307">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row>
    <row r="220" ht="15.75" customHeight="1" s="307">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row>
    <row r="221" ht="15.75" customHeight="1" s="307">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row>
    <row r="222" ht="15.75" customHeight="1" s="307">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row>
    <row r="223" ht="15.75" customHeight="1" s="307">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row>
    <row r="224" ht="15.75" customHeight="1" s="307">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row>
    <row r="225" ht="15.75" customHeight="1" s="307">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row>
    <row r="226" ht="15.75" customHeight="1" s="307">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row>
    <row r="227" ht="15.75" customHeight="1" s="30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row>
    <row r="228" ht="15.75" customHeight="1" s="307">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row>
    <row r="229" ht="15.75" customHeight="1" s="307">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row>
    <row r="230" ht="15.75" customHeight="1" s="307">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row>
    <row r="231" ht="15.75" customHeight="1" s="307">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row>
    <row r="232" ht="15.75" customHeight="1" s="307">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row>
    <row r="233" ht="15.75" customHeight="1" s="307">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row>
    <row r="234" ht="15.75" customHeight="1" s="307">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row>
    <row r="235" ht="15.75" customHeight="1" s="307">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row>
    <row r="236" ht="15.75" customHeight="1" s="307">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row>
    <row r="237" ht="15.75" customHeight="1" s="30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row>
    <row r="238" ht="15.75" customHeight="1" s="307">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row>
    <row r="239" ht="15.75" customHeight="1" s="307">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row>
    <row r="240" ht="15.75" customHeight="1" s="307">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row>
    <row r="241" ht="15.75" customHeight="1" s="307">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row>
    <row r="242" ht="15.75" customHeight="1" s="307">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row>
    <row r="243" ht="15.75" customHeight="1" s="307">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row>
    <row r="244" ht="15.75" customHeight="1" s="307">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row>
    <row r="245" ht="15.75" customHeight="1" s="307">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row>
    <row r="246" ht="15.75" customHeight="1" s="307">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row>
    <row r="247" ht="15.75" customHeight="1" s="30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row>
    <row r="248" ht="15.75" customHeight="1" s="307">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row>
    <row r="249" ht="15.75" customHeight="1" s="307">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row>
    <row r="250" ht="15.75" customHeight="1" s="307">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row>
    <row r="251" ht="15.75" customHeight="1" s="307">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row>
    <row r="252" ht="15.75" customHeight="1" s="307">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row>
    <row r="253" ht="15.75" customHeight="1" s="307">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row>
    <row r="254" ht="15.75" customHeight="1" s="307">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row>
    <row r="255" ht="15.75" customHeight="1" s="307">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row>
    <row r="256" ht="15.75" customHeight="1" s="307">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row>
    <row r="257" ht="15.75" customHeight="1" s="30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row>
    <row r="258" ht="15.75" customHeight="1" s="307">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row>
    <row r="259" ht="15.75" customHeight="1" s="307">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row>
    <row r="260" ht="15.75" customHeight="1" s="307">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row>
    <row r="261" ht="15.75" customHeight="1" s="307">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row>
    <row r="262" ht="15.75" customHeight="1" s="307">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row>
    <row r="263" ht="15.75" customHeight="1" s="307">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row>
    <row r="264" ht="15.75" customHeight="1" s="307">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row>
    <row r="265" ht="15.75" customHeight="1" s="307">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row>
    <row r="266" ht="15.75" customHeight="1" s="307">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row>
    <row r="267" ht="15.75" customHeight="1" s="30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row>
    <row r="268" ht="15.75" customHeight="1" s="307">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row>
    <row r="269" ht="15.75" customHeight="1" s="307">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row>
    <row r="270" ht="15.75" customHeight="1" s="307">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row>
    <row r="271" ht="15.75" customHeight="1" s="307">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row>
    <row r="272" ht="15.75" customHeight="1" s="307">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row>
    <row r="273" ht="15.75" customHeight="1" s="307">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row>
    <row r="274" ht="15.75" customHeight="1" s="307">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row>
    <row r="275" ht="15.75" customHeight="1" s="307">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row>
    <row r="276" ht="15.75" customHeight="1" s="307">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row>
    <row r="277" ht="15.75" customHeight="1" s="30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row>
    <row r="278" ht="15.75" customHeight="1" s="307">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row>
    <row r="279" ht="15.75" customHeight="1" s="307">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row>
    <row r="280" ht="15.75" customHeight="1" s="307">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row>
    <row r="281" ht="15.75" customHeight="1" s="307">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row>
    <row r="282" ht="15.75" customHeight="1" s="307">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row>
    <row r="283" ht="15.75" customHeight="1" s="307">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row>
    <row r="284" ht="15.75" customHeight="1" s="307">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row>
    <row r="285" ht="15.75" customHeight="1" s="307">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row>
    <row r="286" ht="15.75" customHeight="1" s="307">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row>
    <row r="287" ht="15.75" customHeight="1" s="30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row>
    <row r="288" ht="15.75" customHeight="1" s="307">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row>
    <row r="289" ht="15.75" customHeight="1" s="307">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row>
    <row r="290" ht="15.75" customHeight="1" s="307">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row>
    <row r="291" ht="15.75" customHeight="1" s="307">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row>
    <row r="292" ht="15.75" customHeight="1" s="307">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row>
    <row r="293" ht="15.75" customHeight="1" s="307">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row>
    <row r="294" ht="15.75" customHeight="1" s="307">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row>
    <row r="295" ht="15.75" customHeight="1" s="307">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row>
    <row r="296" ht="15.75" customHeight="1" s="307">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row>
    <row r="297" ht="15.75" customHeight="1" s="30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row>
    <row r="298" ht="15.75" customHeight="1" s="307">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row>
    <row r="299" ht="15.75" customHeight="1" s="307">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row>
    <row r="300" ht="15.75" customHeight="1" s="307">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row>
    <row r="301" ht="15.75" customHeight="1" s="307">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row>
    <row r="302" ht="15.75" customHeight="1" s="307">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c r="AC302" s="3" t="n"/>
      <c r="AD302" s="3" t="n"/>
      <c r="AE302" s="3" t="n"/>
      <c r="AF302" s="3" t="n"/>
      <c r="AG302" s="3" t="n"/>
      <c r="AH302" s="3" t="n"/>
      <c r="AI302" s="3" t="n"/>
    </row>
    <row r="303" ht="15.75" customHeight="1" s="307">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c r="AC303" s="3" t="n"/>
      <c r="AD303" s="3" t="n"/>
      <c r="AE303" s="3" t="n"/>
      <c r="AF303" s="3" t="n"/>
      <c r="AG303" s="3" t="n"/>
      <c r="AH303" s="3" t="n"/>
      <c r="AI303" s="3" t="n"/>
    </row>
    <row r="304" ht="15.75" customHeight="1" s="307">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c r="AC304" s="3" t="n"/>
      <c r="AD304" s="3" t="n"/>
      <c r="AE304" s="3" t="n"/>
      <c r="AF304" s="3" t="n"/>
      <c r="AG304" s="3" t="n"/>
      <c r="AH304" s="3" t="n"/>
      <c r="AI304" s="3" t="n"/>
    </row>
    <row r="305" ht="15.75" customHeight="1" s="307">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c r="AC305" s="3" t="n"/>
      <c r="AD305" s="3" t="n"/>
      <c r="AE305" s="3" t="n"/>
      <c r="AF305" s="3" t="n"/>
      <c r="AG305" s="3" t="n"/>
      <c r="AH305" s="3" t="n"/>
      <c r="AI305" s="3" t="n"/>
    </row>
    <row r="306" ht="15.75" customHeight="1" s="307">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c r="AD306" s="3" t="n"/>
      <c r="AE306" s="3" t="n"/>
      <c r="AF306" s="3" t="n"/>
      <c r="AG306" s="3" t="n"/>
      <c r="AH306" s="3" t="n"/>
      <c r="AI306" s="3" t="n"/>
    </row>
    <row r="307" ht="15.75" customHeight="1" s="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c r="AC307" s="3" t="n"/>
      <c r="AD307" s="3" t="n"/>
      <c r="AE307" s="3" t="n"/>
      <c r="AF307" s="3" t="n"/>
      <c r="AG307" s="3" t="n"/>
      <c r="AH307" s="3" t="n"/>
      <c r="AI307" s="3" t="n"/>
    </row>
    <row r="308" ht="15.75" customHeight="1" s="307">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c r="AD308" s="3" t="n"/>
      <c r="AE308" s="3" t="n"/>
      <c r="AF308" s="3" t="n"/>
      <c r="AG308" s="3" t="n"/>
      <c r="AH308" s="3" t="n"/>
      <c r="AI308" s="3" t="n"/>
    </row>
    <row r="309" ht="15.75" customHeight="1" s="307">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c r="AC309" s="3" t="n"/>
      <c r="AD309" s="3" t="n"/>
      <c r="AE309" s="3" t="n"/>
      <c r="AF309" s="3" t="n"/>
      <c r="AG309" s="3" t="n"/>
      <c r="AH309" s="3" t="n"/>
      <c r="AI309" s="3" t="n"/>
    </row>
    <row r="310" ht="15.75" customHeight="1" s="307">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c r="AC310" s="3" t="n"/>
      <c r="AD310" s="3" t="n"/>
      <c r="AE310" s="3" t="n"/>
      <c r="AF310" s="3" t="n"/>
      <c r="AG310" s="3" t="n"/>
      <c r="AH310" s="3" t="n"/>
      <c r="AI310" s="3" t="n"/>
    </row>
    <row r="311" ht="15.75" customHeight="1" s="307">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c r="AC311" s="3" t="n"/>
      <c r="AD311" s="3" t="n"/>
      <c r="AE311" s="3" t="n"/>
      <c r="AF311" s="3" t="n"/>
      <c r="AG311" s="3" t="n"/>
      <c r="AH311" s="3" t="n"/>
      <c r="AI311" s="3" t="n"/>
    </row>
    <row r="312" ht="15.75" customHeight="1" s="307">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c r="AC312" s="3" t="n"/>
      <c r="AD312" s="3" t="n"/>
      <c r="AE312" s="3" t="n"/>
      <c r="AF312" s="3" t="n"/>
      <c r="AG312" s="3" t="n"/>
      <c r="AH312" s="3" t="n"/>
      <c r="AI312" s="3" t="n"/>
    </row>
    <row r="313" ht="15.75" customHeight="1" s="307">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c r="AC313" s="3" t="n"/>
      <c r="AD313" s="3" t="n"/>
      <c r="AE313" s="3" t="n"/>
      <c r="AF313" s="3" t="n"/>
      <c r="AG313" s="3" t="n"/>
      <c r="AH313" s="3" t="n"/>
      <c r="AI313" s="3" t="n"/>
    </row>
    <row r="314" ht="15.75" customHeight="1" s="307">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c r="AC314" s="3" t="n"/>
      <c r="AD314" s="3" t="n"/>
      <c r="AE314" s="3" t="n"/>
      <c r="AF314" s="3" t="n"/>
      <c r="AG314" s="3" t="n"/>
      <c r="AH314" s="3" t="n"/>
      <c r="AI314" s="3" t="n"/>
    </row>
    <row r="315" ht="15.75" customHeight="1" s="307">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c r="AC315" s="3" t="n"/>
      <c r="AD315" s="3" t="n"/>
      <c r="AE315" s="3" t="n"/>
      <c r="AF315" s="3" t="n"/>
      <c r="AG315" s="3" t="n"/>
      <c r="AH315" s="3" t="n"/>
      <c r="AI315" s="3" t="n"/>
    </row>
    <row r="316" ht="15.75" customHeight="1" s="307">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c r="AD316" s="3" t="n"/>
      <c r="AE316" s="3" t="n"/>
      <c r="AF316" s="3" t="n"/>
      <c r="AG316" s="3" t="n"/>
      <c r="AH316" s="3" t="n"/>
      <c r="AI316" s="3" t="n"/>
    </row>
    <row r="317" ht="15.75" customHeight="1" s="30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c r="AD317" s="3" t="n"/>
      <c r="AE317" s="3" t="n"/>
      <c r="AF317" s="3" t="n"/>
      <c r="AG317" s="3" t="n"/>
      <c r="AH317" s="3" t="n"/>
      <c r="AI317" s="3" t="n"/>
    </row>
    <row r="318" ht="15.75" customHeight="1" s="307">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c r="AC318" s="3" t="n"/>
      <c r="AD318" s="3" t="n"/>
      <c r="AE318" s="3" t="n"/>
      <c r="AF318" s="3" t="n"/>
      <c r="AG318" s="3" t="n"/>
      <c r="AH318" s="3" t="n"/>
      <c r="AI318" s="3" t="n"/>
    </row>
    <row r="319" ht="15.75" customHeight="1" s="307">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c r="AD319" s="3" t="n"/>
      <c r="AE319" s="3" t="n"/>
      <c r="AF319" s="3" t="n"/>
      <c r="AG319" s="3" t="n"/>
      <c r="AH319" s="3" t="n"/>
      <c r="AI319" s="3" t="n"/>
    </row>
    <row r="320" ht="15.75" customHeight="1" s="307">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c r="AC320" s="3" t="n"/>
      <c r="AD320" s="3" t="n"/>
      <c r="AE320" s="3" t="n"/>
      <c r="AF320" s="3" t="n"/>
      <c r="AG320" s="3" t="n"/>
      <c r="AH320" s="3" t="n"/>
      <c r="AI320" s="3" t="n"/>
    </row>
    <row r="321" ht="15.75" customHeight="1" s="307">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c r="AD321" s="3" t="n"/>
      <c r="AE321" s="3" t="n"/>
      <c r="AF321" s="3" t="n"/>
      <c r="AG321" s="3" t="n"/>
      <c r="AH321" s="3" t="n"/>
      <c r="AI321" s="3" t="n"/>
    </row>
    <row r="322" ht="15.75" customHeight="1" s="307">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c r="AD322" s="3" t="n"/>
      <c r="AE322" s="3" t="n"/>
      <c r="AF322" s="3" t="n"/>
      <c r="AG322" s="3" t="n"/>
      <c r="AH322" s="3" t="n"/>
      <c r="AI322" s="3" t="n"/>
    </row>
    <row r="323" ht="15.75" customHeight="1" s="307">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3" t="n"/>
      <c r="AD323" s="3" t="n"/>
      <c r="AE323" s="3" t="n"/>
      <c r="AF323" s="3" t="n"/>
      <c r="AG323" s="3" t="n"/>
      <c r="AH323" s="3" t="n"/>
      <c r="AI323" s="3" t="n"/>
    </row>
    <row r="324" ht="15.75" customHeight="1" s="307">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c r="AD324" s="3" t="n"/>
      <c r="AE324" s="3" t="n"/>
      <c r="AF324" s="3" t="n"/>
      <c r="AG324" s="3" t="n"/>
      <c r="AH324" s="3" t="n"/>
      <c r="AI324" s="3" t="n"/>
    </row>
    <row r="325" ht="15.75" customHeight="1" s="307">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c r="AD325" s="3" t="n"/>
      <c r="AE325" s="3" t="n"/>
      <c r="AF325" s="3" t="n"/>
      <c r="AG325" s="3" t="n"/>
      <c r="AH325" s="3" t="n"/>
      <c r="AI325" s="3" t="n"/>
    </row>
    <row r="326" ht="15.75" customHeight="1" s="307">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c r="AD326" s="3" t="n"/>
      <c r="AE326" s="3" t="n"/>
      <c r="AF326" s="3" t="n"/>
      <c r="AG326" s="3" t="n"/>
      <c r="AH326" s="3" t="n"/>
      <c r="AI326" s="3" t="n"/>
    </row>
    <row r="327" ht="15.75" customHeight="1" s="30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c r="AD327" s="3" t="n"/>
      <c r="AE327" s="3" t="n"/>
      <c r="AF327" s="3" t="n"/>
      <c r="AG327" s="3" t="n"/>
      <c r="AH327" s="3" t="n"/>
      <c r="AI327" s="3" t="n"/>
    </row>
    <row r="328" ht="15.75" customHeight="1" s="307">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c r="AC328" s="3" t="n"/>
      <c r="AD328" s="3" t="n"/>
      <c r="AE328" s="3" t="n"/>
      <c r="AF328" s="3" t="n"/>
      <c r="AG328" s="3" t="n"/>
      <c r="AH328" s="3" t="n"/>
      <c r="AI328" s="3" t="n"/>
    </row>
    <row r="329" ht="15.75" customHeight="1" s="307">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3" t="n"/>
      <c r="AD329" s="3" t="n"/>
      <c r="AE329" s="3" t="n"/>
      <c r="AF329" s="3" t="n"/>
      <c r="AG329" s="3" t="n"/>
      <c r="AH329" s="3" t="n"/>
      <c r="AI329" s="3" t="n"/>
    </row>
    <row r="330" ht="15.75" customHeight="1" s="307">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c r="AC330" s="3" t="n"/>
      <c r="AD330" s="3" t="n"/>
      <c r="AE330" s="3" t="n"/>
      <c r="AF330" s="3" t="n"/>
      <c r="AG330" s="3" t="n"/>
      <c r="AH330" s="3" t="n"/>
      <c r="AI330" s="3" t="n"/>
    </row>
    <row r="331" ht="15.75" customHeight="1" s="307">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c r="AD331" s="3" t="n"/>
      <c r="AE331" s="3" t="n"/>
      <c r="AF331" s="3" t="n"/>
      <c r="AG331" s="3" t="n"/>
      <c r="AH331" s="3" t="n"/>
      <c r="AI331" s="3" t="n"/>
    </row>
    <row r="332" ht="15.75" customHeight="1" s="307">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c r="AD332" s="3" t="n"/>
      <c r="AE332" s="3" t="n"/>
      <c r="AF332" s="3" t="n"/>
      <c r="AG332" s="3" t="n"/>
      <c r="AH332" s="3" t="n"/>
      <c r="AI332" s="3" t="n"/>
    </row>
    <row r="333" ht="15.75" customHeight="1" s="307">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3" t="n"/>
      <c r="AD333" s="3" t="n"/>
      <c r="AE333" s="3" t="n"/>
      <c r="AF333" s="3" t="n"/>
      <c r="AG333" s="3" t="n"/>
      <c r="AH333" s="3" t="n"/>
      <c r="AI333" s="3" t="n"/>
    </row>
    <row r="334" ht="15.75" customHeight="1" s="307">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c r="AD334" s="3" t="n"/>
      <c r="AE334" s="3" t="n"/>
      <c r="AF334" s="3" t="n"/>
      <c r="AG334" s="3" t="n"/>
      <c r="AH334" s="3" t="n"/>
      <c r="AI334" s="3" t="n"/>
    </row>
    <row r="335" ht="15.75" customHeight="1" s="307">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c r="AD335" s="3" t="n"/>
      <c r="AE335" s="3" t="n"/>
      <c r="AF335" s="3" t="n"/>
      <c r="AG335" s="3" t="n"/>
      <c r="AH335" s="3" t="n"/>
      <c r="AI335" s="3" t="n"/>
    </row>
    <row r="336" ht="15.75" customHeight="1" s="307">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s="3" t="n"/>
      <c r="AD336" s="3" t="n"/>
      <c r="AE336" s="3" t="n"/>
      <c r="AF336" s="3" t="n"/>
      <c r="AG336" s="3" t="n"/>
      <c r="AH336" s="3" t="n"/>
      <c r="AI336" s="3" t="n"/>
    </row>
    <row r="337" ht="15.75" customHeight="1" s="30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3" t="n"/>
      <c r="AD337" s="3" t="n"/>
      <c r="AE337" s="3" t="n"/>
      <c r="AF337" s="3" t="n"/>
      <c r="AG337" s="3" t="n"/>
      <c r="AH337" s="3" t="n"/>
      <c r="AI337" s="3" t="n"/>
    </row>
    <row r="338" ht="15.75" customHeight="1" s="307">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c r="AC338" s="3" t="n"/>
      <c r="AD338" s="3" t="n"/>
      <c r="AE338" s="3" t="n"/>
      <c r="AF338" s="3" t="n"/>
      <c r="AG338" s="3" t="n"/>
      <c r="AH338" s="3" t="n"/>
      <c r="AI338" s="3" t="n"/>
    </row>
    <row r="339" ht="15.75" customHeight="1" s="307">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c r="AD339" s="3" t="n"/>
      <c r="AE339" s="3" t="n"/>
      <c r="AF339" s="3" t="n"/>
      <c r="AG339" s="3" t="n"/>
      <c r="AH339" s="3" t="n"/>
      <c r="AI339" s="3" t="n"/>
    </row>
    <row r="340" ht="15.75" customHeight="1" s="307">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c r="AC340" s="3" t="n"/>
      <c r="AD340" s="3" t="n"/>
      <c r="AE340" s="3" t="n"/>
      <c r="AF340" s="3" t="n"/>
      <c r="AG340" s="3" t="n"/>
      <c r="AH340" s="3" t="n"/>
      <c r="AI340" s="3" t="n"/>
    </row>
    <row r="341" ht="15.75" customHeight="1" s="307">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c r="AD341" s="3" t="n"/>
      <c r="AE341" s="3" t="n"/>
      <c r="AF341" s="3" t="n"/>
      <c r="AG341" s="3" t="n"/>
      <c r="AH341" s="3" t="n"/>
      <c r="AI341" s="3" t="n"/>
    </row>
    <row r="342" ht="15.75" customHeight="1" s="307">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c r="AC342" s="3" t="n"/>
      <c r="AD342" s="3" t="n"/>
      <c r="AE342" s="3" t="n"/>
      <c r="AF342" s="3" t="n"/>
      <c r="AG342" s="3" t="n"/>
      <c r="AH342" s="3" t="n"/>
      <c r="AI342" s="3" t="n"/>
    </row>
    <row r="343" ht="15.75" customHeight="1" s="307">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3" t="n"/>
      <c r="AD343" s="3" t="n"/>
      <c r="AE343" s="3" t="n"/>
      <c r="AF343" s="3" t="n"/>
      <c r="AG343" s="3" t="n"/>
      <c r="AH343" s="3" t="n"/>
      <c r="AI343" s="3" t="n"/>
    </row>
    <row r="344" ht="15.75" customHeight="1" s="307">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c r="AD344" s="3" t="n"/>
      <c r="AE344" s="3" t="n"/>
      <c r="AF344" s="3" t="n"/>
      <c r="AG344" s="3" t="n"/>
      <c r="AH344" s="3" t="n"/>
      <c r="AI344" s="3" t="n"/>
    </row>
    <row r="345" ht="15.75" customHeight="1" s="307">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c r="AC345" s="3" t="n"/>
      <c r="AD345" s="3" t="n"/>
      <c r="AE345" s="3" t="n"/>
      <c r="AF345" s="3" t="n"/>
      <c r="AG345" s="3" t="n"/>
      <c r="AH345" s="3" t="n"/>
      <c r="AI345" s="3" t="n"/>
    </row>
    <row r="346" ht="15.75" customHeight="1" s="307">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c r="AC346" s="3" t="n"/>
      <c r="AD346" s="3" t="n"/>
      <c r="AE346" s="3" t="n"/>
      <c r="AF346" s="3" t="n"/>
      <c r="AG346" s="3" t="n"/>
      <c r="AH346" s="3" t="n"/>
      <c r="AI346" s="3" t="n"/>
    </row>
    <row r="347" ht="15.75" customHeight="1" s="30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3" t="n"/>
      <c r="AD347" s="3" t="n"/>
      <c r="AE347" s="3" t="n"/>
      <c r="AF347" s="3" t="n"/>
      <c r="AG347" s="3" t="n"/>
      <c r="AH347" s="3" t="n"/>
      <c r="AI347" s="3" t="n"/>
    </row>
    <row r="348" ht="15.75" customHeight="1" s="307">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c r="AD348" s="3" t="n"/>
      <c r="AE348" s="3" t="n"/>
      <c r="AF348" s="3" t="n"/>
      <c r="AG348" s="3" t="n"/>
      <c r="AH348" s="3" t="n"/>
      <c r="AI348" s="3" t="n"/>
    </row>
    <row r="349" ht="15.75" customHeight="1" s="307">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3" t="n"/>
      <c r="AD349" s="3" t="n"/>
      <c r="AE349" s="3" t="n"/>
      <c r="AF349" s="3" t="n"/>
      <c r="AG349" s="3" t="n"/>
      <c r="AH349" s="3" t="n"/>
      <c r="AI349" s="3" t="n"/>
    </row>
    <row r="350" ht="15.75" customHeight="1" s="307">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c r="AD350" s="3" t="n"/>
      <c r="AE350" s="3" t="n"/>
      <c r="AF350" s="3" t="n"/>
      <c r="AG350" s="3" t="n"/>
      <c r="AH350" s="3" t="n"/>
      <c r="AI350" s="3" t="n"/>
    </row>
    <row r="351" ht="15.75" customHeight="1" s="307">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3" t="n"/>
      <c r="AD351" s="3" t="n"/>
      <c r="AE351" s="3" t="n"/>
      <c r="AF351" s="3" t="n"/>
      <c r="AG351" s="3" t="n"/>
      <c r="AH351" s="3" t="n"/>
      <c r="AI351" s="3" t="n"/>
    </row>
    <row r="352" ht="15.75" customHeight="1" s="307">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c r="AD352" s="3" t="n"/>
      <c r="AE352" s="3" t="n"/>
      <c r="AF352" s="3" t="n"/>
      <c r="AG352" s="3" t="n"/>
      <c r="AH352" s="3" t="n"/>
      <c r="AI352" s="3" t="n"/>
    </row>
    <row r="353" ht="15.75" customHeight="1" s="307">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3" t="n"/>
      <c r="AD353" s="3" t="n"/>
      <c r="AE353" s="3" t="n"/>
      <c r="AF353" s="3" t="n"/>
      <c r="AG353" s="3" t="n"/>
      <c r="AH353" s="3" t="n"/>
      <c r="AI353" s="3" t="n"/>
    </row>
    <row r="354" ht="15.75" customHeight="1" s="307">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c r="AD354" s="3" t="n"/>
      <c r="AE354" s="3" t="n"/>
      <c r="AF354" s="3" t="n"/>
      <c r="AG354" s="3" t="n"/>
      <c r="AH354" s="3" t="n"/>
      <c r="AI354" s="3" t="n"/>
    </row>
    <row r="355" ht="15.75" customHeight="1" s="307">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c r="AD355" s="3" t="n"/>
      <c r="AE355" s="3" t="n"/>
      <c r="AF355" s="3" t="n"/>
      <c r="AG355" s="3" t="n"/>
      <c r="AH355" s="3" t="n"/>
      <c r="AI355" s="3" t="n"/>
    </row>
    <row r="356" ht="15.75" customHeight="1" s="307">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c r="AD356" s="3" t="n"/>
      <c r="AE356" s="3" t="n"/>
      <c r="AF356" s="3" t="n"/>
      <c r="AG356" s="3" t="n"/>
      <c r="AH356" s="3" t="n"/>
      <c r="AI356" s="3" t="n"/>
    </row>
    <row r="357" ht="15.75" customHeight="1" s="30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c r="AD357" s="3" t="n"/>
      <c r="AE357" s="3" t="n"/>
      <c r="AF357" s="3" t="n"/>
      <c r="AG357" s="3" t="n"/>
      <c r="AH357" s="3" t="n"/>
      <c r="AI357" s="3" t="n"/>
    </row>
    <row r="358" ht="15.75" customHeight="1" s="307">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c r="AD358" s="3" t="n"/>
      <c r="AE358" s="3" t="n"/>
      <c r="AF358" s="3" t="n"/>
      <c r="AG358" s="3" t="n"/>
      <c r="AH358" s="3" t="n"/>
      <c r="AI358" s="3" t="n"/>
    </row>
    <row r="359" ht="15.75" customHeight="1" s="307">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3" t="n"/>
      <c r="AD359" s="3" t="n"/>
      <c r="AE359" s="3" t="n"/>
      <c r="AF359" s="3" t="n"/>
      <c r="AG359" s="3" t="n"/>
      <c r="AH359" s="3" t="n"/>
      <c r="AI359" s="3" t="n"/>
    </row>
    <row r="360" ht="15.75" customHeight="1" s="307">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c r="AD360" s="3" t="n"/>
      <c r="AE360" s="3" t="n"/>
      <c r="AF360" s="3" t="n"/>
      <c r="AG360" s="3" t="n"/>
      <c r="AH360" s="3" t="n"/>
      <c r="AI360" s="3" t="n"/>
    </row>
    <row r="361" ht="15.75" customHeight="1" s="307">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c r="AD361" s="3" t="n"/>
      <c r="AE361" s="3" t="n"/>
      <c r="AF361" s="3" t="n"/>
      <c r="AG361" s="3" t="n"/>
      <c r="AH361" s="3" t="n"/>
      <c r="AI361" s="3" t="n"/>
    </row>
    <row r="362" ht="15.75" customHeight="1" s="307">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c r="AC362" s="3" t="n"/>
      <c r="AD362" s="3" t="n"/>
      <c r="AE362" s="3" t="n"/>
      <c r="AF362" s="3" t="n"/>
      <c r="AG362" s="3" t="n"/>
      <c r="AH362" s="3" t="n"/>
      <c r="AI362" s="3" t="n"/>
    </row>
    <row r="363" ht="15.75" customHeight="1" s="307">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c r="AD363" s="3" t="n"/>
      <c r="AE363" s="3" t="n"/>
      <c r="AF363" s="3" t="n"/>
      <c r="AG363" s="3" t="n"/>
      <c r="AH363" s="3" t="n"/>
      <c r="AI363" s="3" t="n"/>
    </row>
    <row r="364" ht="15.75" customHeight="1" s="307">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c r="AD364" s="3" t="n"/>
      <c r="AE364" s="3" t="n"/>
      <c r="AF364" s="3" t="n"/>
      <c r="AG364" s="3" t="n"/>
      <c r="AH364" s="3" t="n"/>
      <c r="AI364" s="3" t="n"/>
    </row>
    <row r="365" ht="15.75" customHeight="1" s="307">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c r="AD365" s="3" t="n"/>
      <c r="AE365" s="3" t="n"/>
      <c r="AF365" s="3" t="n"/>
      <c r="AG365" s="3" t="n"/>
      <c r="AH365" s="3" t="n"/>
      <c r="AI365" s="3" t="n"/>
    </row>
    <row r="366" ht="15.75" customHeight="1" s="307">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c r="AD366" s="3" t="n"/>
      <c r="AE366" s="3" t="n"/>
      <c r="AF366" s="3" t="n"/>
      <c r="AG366" s="3" t="n"/>
      <c r="AH366" s="3" t="n"/>
      <c r="AI366" s="3" t="n"/>
    </row>
    <row r="367" ht="15.75" customHeight="1" s="30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c r="AC367" s="3" t="n"/>
      <c r="AD367" s="3" t="n"/>
      <c r="AE367" s="3" t="n"/>
      <c r="AF367" s="3" t="n"/>
      <c r="AG367" s="3" t="n"/>
      <c r="AH367" s="3" t="n"/>
      <c r="AI367" s="3" t="n"/>
    </row>
    <row r="368" ht="15.75" customHeight="1" s="307">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c r="AD368" s="3" t="n"/>
      <c r="AE368" s="3" t="n"/>
      <c r="AF368" s="3" t="n"/>
      <c r="AG368" s="3" t="n"/>
      <c r="AH368" s="3" t="n"/>
      <c r="AI368" s="3" t="n"/>
    </row>
    <row r="369" ht="15.75" customHeight="1" s="307">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c r="AD369" s="3" t="n"/>
      <c r="AE369" s="3" t="n"/>
      <c r="AF369" s="3" t="n"/>
      <c r="AG369" s="3" t="n"/>
      <c r="AH369" s="3" t="n"/>
      <c r="AI369" s="3" t="n"/>
    </row>
    <row r="370" ht="15.75" customHeight="1" s="307">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c r="AC370" s="3" t="n"/>
      <c r="AD370" s="3" t="n"/>
      <c r="AE370" s="3" t="n"/>
      <c r="AF370" s="3" t="n"/>
      <c r="AG370" s="3" t="n"/>
      <c r="AH370" s="3" t="n"/>
      <c r="AI370" s="3" t="n"/>
    </row>
    <row r="371" ht="15.75" customHeight="1" s="307">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c r="AC371" s="3" t="n"/>
      <c r="AD371" s="3" t="n"/>
      <c r="AE371" s="3" t="n"/>
      <c r="AF371" s="3" t="n"/>
      <c r="AG371" s="3" t="n"/>
      <c r="AH371" s="3" t="n"/>
      <c r="AI371" s="3" t="n"/>
    </row>
    <row r="372" ht="15.75" customHeight="1" s="307">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c r="AD372" s="3" t="n"/>
      <c r="AE372" s="3" t="n"/>
      <c r="AF372" s="3" t="n"/>
      <c r="AG372" s="3" t="n"/>
      <c r="AH372" s="3" t="n"/>
      <c r="AI372" s="3" t="n"/>
    </row>
    <row r="373" ht="15.75" customHeight="1" s="307">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c r="AD373" s="3" t="n"/>
      <c r="AE373" s="3" t="n"/>
      <c r="AF373" s="3" t="n"/>
      <c r="AG373" s="3" t="n"/>
      <c r="AH373" s="3" t="n"/>
      <c r="AI373" s="3" t="n"/>
    </row>
    <row r="374" ht="15.75" customHeight="1" s="307">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c r="AD374" s="3" t="n"/>
      <c r="AE374" s="3" t="n"/>
      <c r="AF374" s="3" t="n"/>
      <c r="AG374" s="3" t="n"/>
      <c r="AH374" s="3" t="n"/>
      <c r="AI374" s="3" t="n"/>
    </row>
    <row r="375" ht="15.75" customHeight="1" s="307">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3" t="n"/>
      <c r="AD375" s="3" t="n"/>
      <c r="AE375" s="3" t="n"/>
      <c r="AF375" s="3" t="n"/>
      <c r="AG375" s="3" t="n"/>
      <c r="AH375" s="3" t="n"/>
      <c r="AI375" s="3" t="n"/>
    </row>
    <row r="376" ht="15.75" customHeight="1" s="307">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c r="AC376" s="3" t="n"/>
      <c r="AD376" s="3" t="n"/>
      <c r="AE376" s="3" t="n"/>
      <c r="AF376" s="3" t="n"/>
      <c r="AG376" s="3" t="n"/>
      <c r="AH376" s="3" t="n"/>
      <c r="AI376" s="3" t="n"/>
    </row>
    <row r="377" ht="15.75" customHeight="1" s="30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c r="AD377" s="3" t="n"/>
      <c r="AE377" s="3" t="n"/>
      <c r="AF377" s="3" t="n"/>
      <c r="AG377" s="3" t="n"/>
      <c r="AH377" s="3" t="n"/>
      <c r="AI377" s="3" t="n"/>
    </row>
    <row r="378" ht="15.75" customHeight="1" s="307">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c r="AD378" s="3" t="n"/>
      <c r="AE378" s="3" t="n"/>
      <c r="AF378" s="3" t="n"/>
      <c r="AG378" s="3" t="n"/>
      <c r="AH378" s="3" t="n"/>
      <c r="AI378" s="3" t="n"/>
    </row>
    <row r="379" ht="15.75" customHeight="1" s="307">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c r="AD379" s="3" t="n"/>
      <c r="AE379" s="3" t="n"/>
      <c r="AF379" s="3" t="n"/>
      <c r="AG379" s="3" t="n"/>
      <c r="AH379" s="3" t="n"/>
      <c r="AI379" s="3" t="n"/>
    </row>
    <row r="380" ht="15.75" customHeight="1" s="307">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c r="AD380" s="3" t="n"/>
      <c r="AE380" s="3" t="n"/>
      <c r="AF380" s="3" t="n"/>
      <c r="AG380" s="3" t="n"/>
      <c r="AH380" s="3" t="n"/>
      <c r="AI380" s="3" t="n"/>
    </row>
    <row r="381" ht="15.75" customHeight="1" s="307">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s="3" t="n"/>
      <c r="AD381" s="3" t="n"/>
      <c r="AE381" s="3" t="n"/>
      <c r="AF381" s="3" t="n"/>
      <c r="AG381" s="3" t="n"/>
      <c r="AH381" s="3" t="n"/>
      <c r="AI381" s="3" t="n"/>
    </row>
    <row r="382" ht="15.75" customHeight="1" s="307">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c r="AC382" s="3" t="n"/>
      <c r="AD382" s="3" t="n"/>
      <c r="AE382" s="3" t="n"/>
      <c r="AF382" s="3" t="n"/>
      <c r="AG382" s="3" t="n"/>
      <c r="AH382" s="3" t="n"/>
      <c r="AI382" s="3" t="n"/>
    </row>
    <row r="383" ht="15.75" customHeight="1" s="307">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c r="AC383" s="3" t="n"/>
      <c r="AD383" s="3" t="n"/>
      <c r="AE383" s="3" t="n"/>
      <c r="AF383" s="3" t="n"/>
      <c r="AG383" s="3" t="n"/>
      <c r="AH383" s="3" t="n"/>
      <c r="AI383" s="3" t="n"/>
    </row>
    <row r="384" ht="15.75" customHeight="1" s="307">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c r="AD384" s="3" t="n"/>
      <c r="AE384" s="3" t="n"/>
      <c r="AF384" s="3" t="n"/>
      <c r="AG384" s="3" t="n"/>
      <c r="AH384" s="3" t="n"/>
      <c r="AI384" s="3" t="n"/>
    </row>
    <row r="385" ht="15.75" customHeight="1" s="307">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c r="AC385" s="3" t="n"/>
      <c r="AD385" s="3" t="n"/>
      <c r="AE385" s="3" t="n"/>
      <c r="AF385" s="3" t="n"/>
      <c r="AG385" s="3" t="n"/>
      <c r="AH385" s="3" t="n"/>
      <c r="AI385" s="3" t="n"/>
    </row>
    <row r="386" ht="15.75" customHeight="1" s="307">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c r="AC386" s="3" t="n"/>
      <c r="AD386" s="3" t="n"/>
      <c r="AE386" s="3" t="n"/>
      <c r="AF386" s="3" t="n"/>
      <c r="AG386" s="3" t="n"/>
      <c r="AH386" s="3" t="n"/>
      <c r="AI386" s="3" t="n"/>
    </row>
    <row r="387" ht="15.75" customHeight="1" s="30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c r="AC387" s="3" t="n"/>
      <c r="AD387" s="3" t="n"/>
      <c r="AE387" s="3" t="n"/>
      <c r="AF387" s="3" t="n"/>
      <c r="AG387" s="3" t="n"/>
      <c r="AH387" s="3" t="n"/>
      <c r="AI387" s="3" t="n"/>
    </row>
    <row r="388" ht="15.75" customHeight="1" s="307">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c r="AC388" s="3" t="n"/>
      <c r="AD388" s="3" t="n"/>
      <c r="AE388" s="3" t="n"/>
      <c r="AF388" s="3" t="n"/>
      <c r="AG388" s="3" t="n"/>
      <c r="AH388" s="3" t="n"/>
      <c r="AI388" s="3" t="n"/>
    </row>
    <row r="389" ht="15.75" customHeight="1" s="307">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c r="AC389" s="3" t="n"/>
      <c r="AD389" s="3" t="n"/>
      <c r="AE389" s="3" t="n"/>
      <c r="AF389" s="3" t="n"/>
      <c r="AG389" s="3" t="n"/>
      <c r="AH389" s="3" t="n"/>
      <c r="AI389" s="3" t="n"/>
    </row>
    <row r="390" ht="15.75" customHeight="1" s="307">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c r="AD390" s="3" t="n"/>
      <c r="AE390" s="3" t="n"/>
      <c r="AF390" s="3" t="n"/>
      <c r="AG390" s="3" t="n"/>
      <c r="AH390" s="3" t="n"/>
      <c r="AI390" s="3" t="n"/>
    </row>
    <row r="391" ht="15.75" customHeight="1" s="307">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c r="AC391" s="3" t="n"/>
      <c r="AD391" s="3" t="n"/>
      <c r="AE391" s="3" t="n"/>
      <c r="AF391" s="3" t="n"/>
      <c r="AG391" s="3" t="n"/>
      <c r="AH391" s="3" t="n"/>
      <c r="AI391" s="3" t="n"/>
    </row>
    <row r="392" ht="15.75" customHeight="1" s="307">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c r="AD392" s="3" t="n"/>
      <c r="AE392" s="3" t="n"/>
      <c r="AF392" s="3" t="n"/>
      <c r="AG392" s="3" t="n"/>
      <c r="AH392" s="3" t="n"/>
      <c r="AI392" s="3" t="n"/>
    </row>
    <row r="393" ht="15.75" customHeight="1" s="307">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c r="AD393" s="3" t="n"/>
      <c r="AE393" s="3" t="n"/>
      <c r="AF393" s="3" t="n"/>
      <c r="AG393" s="3" t="n"/>
      <c r="AH393" s="3" t="n"/>
      <c r="AI393" s="3" t="n"/>
    </row>
    <row r="394" ht="15.75" customHeight="1" s="307">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c r="AC394" s="3" t="n"/>
      <c r="AD394" s="3" t="n"/>
      <c r="AE394" s="3" t="n"/>
      <c r="AF394" s="3" t="n"/>
      <c r="AG394" s="3" t="n"/>
      <c r="AH394" s="3" t="n"/>
      <c r="AI394" s="3" t="n"/>
    </row>
    <row r="395" ht="15.75" customHeight="1" s="307">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c r="AD395" s="3" t="n"/>
      <c r="AE395" s="3" t="n"/>
      <c r="AF395" s="3" t="n"/>
      <c r="AG395" s="3" t="n"/>
      <c r="AH395" s="3" t="n"/>
      <c r="AI395" s="3" t="n"/>
    </row>
    <row r="396" ht="15.75" customHeight="1" s="307">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c r="AC396" s="3" t="n"/>
      <c r="AD396" s="3" t="n"/>
      <c r="AE396" s="3" t="n"/>
      <c r="AF396" s="3" t="n"/>
      <c r="AG396" s="3" t="n"/>
      <c r="AH396" s="3" t="n"/>
      <c r="AI396" s="3" t="n"/>
    </row>
    <row r="397" ht="15.75" customHeight="1" s="30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c r="AC397" s="3" t="n"/>
      <c r="AD397" s="3" t="n"/>
      <c r="AE397" s="3" t="n"/>
      <c r="AF397" s="3" t="n"/>
      <c r="AG397" s="3" t="n"/>
      <c r="AH397" s="3" t="n"/>
      <c r="AI397" s="3" t="n"/>
    </row>
    <row r="398" ht="15.75" customHeight="1" s="307">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c r="AD398" s="3" t="n"/>
      <c r="AE398" s="3" t="n"/>
      <c r="AF398" s="3" t="n"/>
      <c r="AG398" s="3" t="n"/>
      <c r="AH398" s="3" t="n"/>
      <c r="AI398" s="3" t="n"/>
    </row>
    <row r="399" ht="15.75" customHeight="1" s="307">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c r="AD399" s="3" t="n"/>
      <c r="AE399" s="3" t="n"/>
      <c r="AF399" s="3" t="n"/>
      <c r="AG399" s="3" t="n"/>
      <c r="AH399" s="3" t="n"/>
      <c r="AI399" s="3" t="n"/>
    </row>
    <row r="400" ht="15.75" customHeight="1" s="307">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c r="AD400" s="3" t="n"/>
      <c r="AE400" s="3" t="n"/>
      <c r="AF400" s="3" t="n"/>
      <c r="AG400" s="3" t="n"/>
      <c r="AH400" s="3" t="n"/>
      <c r="AI400" s="3" t="n"/>
    </row>
    <row r="401" ht="15.75" customHeight="1" s="307">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c r="AC401" s="3" t="n"/>
      <c r="AD401" s="3" t="n"/>
      <c r="AE401" s="3" t="n"/>
      <c r="AF401" s="3" t="n"/>
      <c r="AG401" s="3" t="n"/>
      <c r="AH401" s="3" t="n"/>
      <c r="AI401" s="3" t="n"/>
    </row>
    <row r="402" ht="15.75" customHeight="1" s="307">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c r="AC402" s="3" t="n"/>
      <c r="AD402" s="3" t="n"/>
      <c r="AE402" s="3" t="n"/>
      <c r="AF402" s="3" t="n"/>
      <c r="AG402" s="3" t="n"/>
      <c r="AH402" s="3" t="n"/>
      <c r="AI402" s="3" t="n"/>
    </row>
    <row r="403" ht="15.75" customHeight="1" s="307">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c r="AC403" s="3" t="n"/>
      <c r="AD403" s="3" t="n"/>
      <c r="AE403" s="3" t="n"/>
      <c r="AF403" s="3" t="n"/>
      <c r="AG403" s="3" t="n"/>
      <c r="AH403" s="3" t="n"/>
      <c r="AI403" s="3" t="n"/>
    </row>
    <row r="404" ht="15.75" customHeight="1" s="307">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c r="AD404" s="3" t="n"/>
      <c r="AE404" s="3" t="n"/>
      <c r="AF404" s="3" t="n"/>
      <c r="AG404" s="3" t="n"/>
      <c r="AH404" s="3" t="n"/>
      <c r="AI404" s="3" t="n"/>
    </row>
    <row r="405" ht="15.75" customHeight="1" s="307">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c r="AD405" s="3" t="n"/>
      <c r="AE405" s="3" t="n"/>
      <c r="AF405" s="3" t="n"/>
      <c r="AG405" s="3" t="n"/>
      <c r="AH405" s="3" t="n"/>
      <c r="AI405" s="3" t="n"/>
    </row>
    <row r="406" ht="15.75" customHeight="1" s="307">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c r="AD406" s="3" t="n"/>
      <c r="AE406" s="3" t="n"/>
      <c r="AF406" s="3" t="n"/>
      <c r="AG406" s="3" t="n"/>
      <c r="AH406" s="3" t="n"/>
      <c r="AI406" s="3" t="n"/>
    </row>
    <row r="407" ht="15.75" customHeight="1" s="3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c r="AD407" s="3" t="n"/>
      <c r="AE407" s="3" t="n"/>
      <c r="AF407" s="3" t="n"/>
      <c r="AG407" s="3" t="n"/>
      <c r="AH407" s="3" t="n"/>
      <c r="AI407" s="3" t="n"/>
    </row>
    <row r="408" ht="15.75" customHeight="1" s="307">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c r="AC408" s="3" t="n"/>
      <c r="AD408" s="3" t="n"/>
      <c r="AE408" s="3" t="n"/>
      <c r="AF408" s="3" t="n"/>
      <c r="AG408" s="3" t="n"/>
      <c r="AH408" s="3" t="n"/>
      <c r="AI408" s="3" t="n"/>
    </row>
    <row r="409" ht="15.75" customHeight="1" s="307">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c r="AD409" s="3" t="n"/>
      <c r="AE409" s="3" t="n"/>
      <c r="AF409" s="3" t="n"/>
      <c r="AG409" s="3" t="n"/>
      <c r="AH409" s="3" t="n"/>
      <c r="AI409" s="3" t="n"/>
    </row>
    <row r="410" ht="15.75" customHeight="1" s="307">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c r="AD410" s="3" t="n"/>
      <c r="AE410" s="3" t="n"/>
      <c r="AF410" s="3" t="n"/>
      <c r="AG410" s="3" t="n"/>
      <c r="AH410" s="3" t="n"/>
      <c r="AI410" s="3" t="n"/>
    </row>
    <row r="411" ht="15.75" customHeight="1" s="307">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c r="AD411" s="3" t="n"/>
      <c r="AE411" s="3" t="n"/>
      <c r="AF411" s="3" t="n"/>
      <c r="AG411" s="3" t="n"/>
      <c r="AH411" s="3" t="n"/>
      <c r="AI411" s="3" t="n"/>
    </row>
    <row r="412" ht="15.75" customHeight="1" s="307">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c r="AD412" s="3" t="n"/>
      <c r="AE412" s="3" t="n"/>
      <c r="AF412" s="3" t="n"/>
      <c r="AG412" s="3" t="n"/>
      <c r="AH412" s="3" t="n"/>
      <c r="AI412" s="3" t="n"/>
    </row>
    <row r="413" ht="15.75" customHeight="1" s="307">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c r="AD413" s="3" t="n"/>
      <c r="AE413" s="3" t="n"/>
      <c r="AF413" s="3" t="n"/>
      <c r="AG413" s="3" t="n"/>
      <c r="AH413" s="3" t="n"/>
      <c r="AI413" s="3" t="n"/>
    </row>
    <row r="414" ht="15.75" customHeight="1" s="307">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c r="AC414" s="3" t="n"/>
      <c r="AD414" s="3" t="n"/>
      <c r="AE414" s="3" t="n"/>
      <c r="AF414" s="3" t="n"/>
      <c r="AG414" s="3" t="n"/>
      <c r="AH414" s="3" t="n"/>
      <c r="AI414" s="3" t="n"/>
    </row>
    <row r="415" ht="15.75" customHeight="1" s="307">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c r="AD415" s="3" t="n"/>
      <c r="AE415" s="3" t="n"/>
      <c r="AF415" s="3" t="n"/>
      <c r="AG415" s="3" t="n"/>
      <c r="AH415" s="3" t="n"/>
      <c r="AI415" s="3" t="n"/>
    </row>
    <row r="416" ht="15.75" customHeight="1" s="307">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c r="AD416" s="3" t="n"/>
      <c r="AE416" s="3" t="n"/>
      <c r="AF416" s="3" t="n"/>
      <c r="AG416" s="3" t="n"/>
      <c r="AH416" s="3" t="n"/>
      <c r="AI416" s="3" t="n"/>
    </row>
    <row r="417" ht="15.75" customHeight="1" s="30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c r="AD417" s="3" t="n"/>
      <c r="AE417" s="3" t="n"/>
      <c r="AF417" s="3" t="n"/>
      <c r="AG417" s="3" t="n"/>
      <c r="AH417" s="3" t="n"/>
      <c r="AI417" s="3" t="n"/>
    </row>
    <row r="418" ht="15.75" customHeight="1" s="307">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c r="AC418" s="3" t="n"/>
      <c r="AD418" s="3" t="n"/>
      <c r="AE418" s="3" t="n"/>
      <c r="AF418" s="3" t="n"/>
      <c r="AG418" s="3" t="n"/>
      <c r="AH418" s="3" t="n"/>
      <c r="AI418" s="3" t="n"/>
    </row>
    <row r="419" ht="15.75" customHeight="1" s="307">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c r="AD419" s="3" t="n"/>
      <c r="AE419" s="3" t="n"/>
      <c r="AF419" s="3" t="n"/>
      <c r="AG419" s="3" t="n"/>
      <c r="AH419" s="3" t="n"/>
      <c r="AI419" s="3" t="n"/>
    </row>
    <row r="420" ht="15.75" customHeight="1" s="307">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c r="AD420" s="3" t="n"/>
      <c r="AE420" s="3" t="n"/>
      <c r="AF420" s="3" t="n"/>
      <c r="AG420" s="3" t="n"/>
      <c r="AH420" s="3" t="n"/>
      <c r="AI420" s="3" t="n"/>
    </row>
    <row r="421" ht="15.75" customHeight="1" s="307">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c r="AC421" s="3" t="n"/>
      <c r="AD421" s="3" t="n"/>
      <c r="AE421" s="3" t="n"/>
      <c r="AF421" s="3" t="n"/>
      <c r="AG421" s="3" t="n"/>
      <c r="AH421" s="3" t="n"/>
      <c r="AI421" s="3" t="n"/>
    </row>
    <row r="422" ht="15.75" customHeight="1" s="307">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c r="AD422" s="3" t="n"/>
      <c r="AE422" s="3" t="n"/>
      <c r="AF422" s="3" t="n"/>
      <c r="AG422" s="3" t="n"/>
      <c r="AH422" s="3" t="n"/>
      <c r="AI422" s="3" t="n"/>
    </row>
    <row r="423" ht="15.75" customHeight="1" s="307">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c r="AC423" s="3" t="n"/>
      <c r="AD423" s="3" t="n"/>
      <c r="AE423" s="3" t="n"/>
      <c r="AF423" s="3" t="n"/>
      <c r="AG423" s="3" t="n"/>
      <c r="AH423" s="3" t="n"/>
      <c r="AI423" s="3" t="n"/>
    </row>
    <row r="424" ht="15.75" customHeight="1" s="307">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c r="AD424" s="3" t="n"/>
      <c r="AE424" s="3" t="n"/>
      <c r="AF424" s="3" t="n"/>
      <c r="AG424" s="3" t="n"/>
      <c r="AH424" s="3" t="n"/>
      <c r="AI424" s="3" t="n"/>
    </row>
    <row r="425" ht="15.75" customHeight="1" s="307">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c r="AD425" s="3" t="n"/>
      <c r="AE425" s="3" t="n"/>
      <c r="AF425" s="3" t="n"/>
      <c r="AG425" s="3" t="n"/>
      <c r="AH425" s="3" t="n"/>
      <c r="AI425" s="3" t="n"/>
    </row>
    <row r="426" ht="15.75" customHeight="1" s="307">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c r="AD426" s="3" t="n"/>
      <c r="AE426" s="3" t="n"/>
      <c r="AF426" s="3" t="n"/>
      <c r="AG426" s="3" t="n"/>
      <c r="AH426" s="3" t="n"/>
      <c r="AI426" s="3" t="n"/>
    </row>
    <row r="427" ht="15.75" customHeight="1" s="30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c r="AD427" s="3" t="n"/>
      <c r="AE427" s="3" t="n"/>
      <c r="AF427" s="3" t="n"/>
      <c r="AG427" s="3" t="n"/>
      <c r="AH427" s="3" t="n"/>
      <c r="AI427" s="3" t="n"/>
    </row>
    <row r="428" ht="15.75" customHeight="1" s="307">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c r="AC428" s="3" t="n"/>
      <c r="AD428" s="3" t="n"/>
      <c r="AE428" s="3" t="n"/>
      <c r="AF428" s="3" t="n"/>
      <c r="AG428" s="3" t="n"/>
      <c r="AH428" s="3" t="n"/>
      <c r="AI428" s="3" t="n"/>
    </row>
    <row r="429" ht="15.75" customHeight="1" s="307">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c r="AC429" s="3" t="n"/>
      <c r="AD429" s="3" t="n"/>
      <c r="AE429" s="3" t="n"/>
      <c r="AF429" s="3" t="n"/>
      <c r="AG429" s="3" t="n"/>
      <c r="AH429" s="3" t="n"/>
      <c r="AI429" s="3" t="n"/>
    </row>
    <row r="430" ht="15.75" customHeight="1" s="307">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c r="AC430" s="3" t="n"/>
      <c r="AD430" s="3" t="n"/>
      <c r="AE430" s="3" t="n"/>
      <c r="AF430" s="3" t="n"/>
      <c r="AG430" s="3" t="n"/>
      <c r="AH430" s="3" t="n"/>
      <c r="AI430" s="3" t="n"/>
    </row>
    <row r="431" ht="15.75" customHeight="1" s="307">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c r="AC431" s="3" t="n"/>
      <c r="AD431" s="3" t="n"/>
      <c r="AE431" s="3" t="n"/>
      <c r="AF431" s="3" t="n"/>
      <c r="AG431" s="3" t="n"/>
      <c r="AH431" s="3" t="n"/>
      <c r="AI431" s="3" t="n"/>
    </row>
    <row r="432" ht="15.75" customHeight="1" s="307">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c r="AD432" s="3" t="n"/>
      <c r="AE432" s="3" t="n"/>
      <c r="AF432" s="3" t="n"/>
      <c r="AG432" s="3" t="n"/>
      <c r="AH432" s="3" t="n"/>
      <c r="AI432" s="3" t="n"/>
    </row>
    <row r="433" ht="15.75" customHeight="1" s="307">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c r="AD433" s="3" t="n"/>
      <c r="AE433" s="3" t="n"/>
      <c r="AF433" s="3" t="n"/>
      <c r="AG433" s="3" t="n"/>
      <c r="AH433" s="3" t="n"/>
      <c r="AI433" s="3" t="n"/>
    </row>
    <row r="434" ht="15.75" customHeight="1" s="307">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c r="AD434" s="3" t="n"/>
      <c r="AE434" s="3" t="n"/>
      <c r="AF434" s="3" t="n"/>
      <c r="AG434" s="3" t="n"/>
      <c r="AH434" s="3" t="n"/>
      <c r="AI434" s="3" t="n"/>
    </row>
    <row r="435" ht="15.75" customHeight="1" s="307">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c r="AD435" s="3" t="n"/>
      <c r="AE435" s="3" t="n"/>
      <c r="AF435" s="3" t="n"/>
      <c r="AG435" s="3" t="n"/>
      <c r="AH435" s="3" t="n"/>
      <c r="AI435" s="3" t="n"/>
    </row>
    <row r="436" ht="15.75" customHeight="1" s="307">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c r="AD436" s="3" t="n"/>
      <c r="AE436" s="3" t="n"/>
      <c r="AF436" s="3" t="n"/>
      <c r="AG436" s="3" t="n"/>
      <c r="AH436" s="3" t="n"/>
      <c r="AI436" s="3" t="n"/>
    </row>
    <row r="437" ht="15.75" customHeight="1" s="30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c r="AC437" s="3" t="n"/>
      <c r="AD437" s="3" t="n"/>
      <c r="AE437" s="3" t="n"/>
      <c r="AF437" s="3" t="n"/>
      <c r="AG437" s="3" t="n"/>
      <c r="AH437" s="3" t="n"/>
      <c r="AI437" s="3" t="n"/>
    </row>
    <row r="438" ht="15.75" customHeight="1" s="307">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c r="AD438" s="3" t="n"/>
      <c r="AE438" s="3" t="n"/>
      <c r="AF438" s="3" t="n"/>
      <c r="AG438" s="3" t="n"/>
      <c r="AH438" s="3" t="n"/>
      <c r="AI438" s="3" t="n"/>
    </row>
    <row r="439" ht="15.75" customHeight="1" s="307">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s="3" t="n"/>
      <c r="AD439" s="3" t="n"/>
      <c r="AE439" s="3" t="n"/>
      <c r="AF439" s="3" t="n"/>
      <c r="AG439" s="3" t="n"/>
      <c r="AH439" s="3" t="n"/>
      <c r="AI439" s="3" t="n"/>
    </row>
    <row r="440" ht="15.75" customHeight="1" s="307">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c r="AC440" s="3" t="n"/>
      <c r="AD440" s="3" t="n"/>
      <c r="AE440" s="3" t="n"/>
      <c r="AF440" s="3" t="n"/>
      <c r="AG440" s="3" t="n"/>
      <c r="AH440" s="3" t="n"/>
      <c r="AI440" s="3" t="n"/>
    </row>
    <row r="441" ht="15.75" customHeight="1" s="307">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c r="AD441" s="3" t="n"/>
      <c r="AE441" s="3" t="n"/>
      <c r="AF441" s="3" t="n"/>
      <c r="AG441" s="3" t="n"/>
      <c r="AH441" s="3" t="n"/>
      <c r="AI441" s="3" t="n"/>
    </row>
    <row r="442" ht="15.75" customHeight="1" s="307">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c r="AD442" s="3" t="n"/>
      <c r="AE442" s="3" t="n"/>
      <c r="AF442" s="3" t="n"/>
      <c r="AG442" s="3" t="n"/>
      <c r="AH442" s="3" t="n"/>
      <c r="AI442" s="3" t="n"/>
    </row>
    <row r="443" ht="15.75" customHeight="1" s="307">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s="3" t="n"/>
      <c r="AD443" s="3" t="n"/>
      <c r="AE443" s="3" t="n"/>
      <c r="AF443" s="3" t="n"/>
      <c r="AG443" s="3" t="n"/>
      <c r="AH443" s="3" t="n"/>
      <c r="AI443" s="3" t="n"/>
    </row>
    <row r="444" ht="15.75" customHeight="1" s="307">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c r="AC444" s="3" t="n"/>
      <c r="AD444" s="3" t="n"/>
      <c r="AE444" s="3" t="n"/>
      <c r="AF444" s="3" t="n"/>
      <c r="AG444" s="3" t="n"/>
      <c r="AH444" s="3" t="n"/>
      <c r="AI444" s="3" t="n"/>
    </row>
    <row r="445" ht="15.75" customHeight="1" s="307">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c r="AC445" s="3" t="n"/>
      <c r="AD445" s="3" t="n"/>
      <c r="AE445" s="3" t="n"/>
      <c r="AF445" s="3" t="n"/>
      <c r="AG445" s="3" t="n"/>
      <c r="AH445" s="3" t="n"/>
      <c r="AI445" s="3" t="n"/>
    </row>
    <row r="446" ht="15.75" customHeight="1" s="307">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c r="AC446" s="3" t="n"/>
      <c r="AD446" s="3" t="n"/>
      <c r="AE446" s="3" t="n"/>
      <c r="AF446" s="3" t="n"/>
      <c r="AG446" s="3" t="n"/>
      <c r="AH446" s="3" t="n"/>
      <c r="AI446" s="3" t="n"/>
    </row>
    <row r="447" ht="15.75" customHeight="1" s="30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s="3" t="n"/>
      <c r="AD447" s="3" t="n"/>
      <c r="AE447" s="3" t="n"/>
      <c r="AF447" s="3" t="n"/>
      <c r="AG447" s="3" t="n"/>
      <c r="AH447" s="3" t="n"/>
      <c r="AI447" s="3" t="n"/>
    </row>
    <row r="448" ht="15.75" customHeight="1" s="307">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c r="AD448" s="3" t="n"/>
      <c r="AE448" s="3" t="n"/>
      <c r="AF448" s="3" t="n"/>
      <c r="AG448" s="3" t="n"/>
      <c r="AH448" s="3" t="n"/>
      <c r="AI448" s="3" t="n"/>
    </row>
    <row r="449" ht="15.75" customHeight="1" s="307">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c r="AD449" s="3" t="n"/>
      <c r="AE449" s="3" t="n"/>
      <c r="AF449" s="3" t="n"/>
      <c r="AG449" s="3" t="n"/>
      <c r="AH449" s="3" t="n"/>
      <c r="AI449" s="3" t="n"/>
    </row>
    <row r="450" ht="15.75" customHeight="1" s="307">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c r="AC450" s="3" t="n"/>
      <c r="AD450" s="3" t="n"/>
      <c r="AE450" s="3" t="n"/>
      <c r="AF450" s="3" t="n"/>
      <c r="AG450" s="3" t="n"/>
      <c r="AH450" s="3" t="n"/>
      <c r="AI450" s="3" t="n"/>
    </row>
    <row r="451" ht="15.75" customHeight="1" s="307">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s="3" t="n"/>
      <c r="AD451" s="3" t="n"/>
      <c r="AE451" s="3" t="n"/>
      <c r="AF451" s="3" t="n"/>
      <c r="AG451" s="3" t="n"/>
      <c r="AH451" s="3" t="n"/>
      <c r="AI451" s="3" t="n"/>
    </row>
    <row r="452" ht="15.75" customHeight="1" s="307">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c r="AD452" s="3" t="n"/>
      <c r="AE452" s="3" t="n"/>
      <c r="AF452" s="3" t="n"/>
      <c r="AG452" s="3" t="n"/>
      <c r="AH452" s="3" t="n"/>
      <c r="AI452" s="3" t="n"/>
    </row>
    <row r="453" ht="15.75" customHeight="1" s="307">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c r="AD453" s="3" t="n"/>
      <c r="AE453" s="3" t="n"/>
      <c r="AF453" s="3" t="n"/>
      <c r="AG453" s="3" t="n"/>
      <c r="AH453" s="3" t="n"/>
      <c r="AI453" s="3" t="n"/>
    </row>
    <row r="454" ht="15.75" customHeight="1" s="307">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c r="AC454" s="3" t="n"/>
      <c r="AD454" s="3" t="n"/>
      <c r="AE454" s="3" t="n"/>
      <c r="AF454" s="3" t="n"/>
      <c r="AG454" s="3" t="n"/>
      <c r="AH454" s="3" t="n"/>
      <c r="AI454" s="3" t="n"/>
    </row>
    <row r="455" ht="15.75" customHeight="1" s="307">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c r="AD455" s="3" t="n"/>
      <c r="AE455" s="3" t="n"/>
      <c r="AF455" s="3" t="n"/>
      <c r="AG455" s="3" t="n"/>
      <c r="AH455" s="3" t="n"/>
      <c r="AI455" s="3" t="n"/>
    </row>
    <row r="456" ht="15.75" customHeight="1" s="307">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c r="AD456" s="3" t="n"/>
      <c r="AE456" s="3" t="n"/>
      <c r="AF456" s="3" t="n"/>
      <c r="AG456" s="3" t="n"/>
      <c r="AH456" s="3" t="n"/>
      <c r="AI456" s="3" t="n"/>
    </row>
    <row r="457" ht="15.75" customHeight="1" s="30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c r="AD457" s="3" t="n"/>
      <c r="AE457" s="3" t="n"/>
      <c r="AF457" s="3" t="n"/>
      <c r="AG457" s="3" t="n"/>
      <c r="AH457" s="3" t="n"/>
      <c r="AI457" s="3" t="n"/>
    </row>
    <row r="458" ht="15.75" customHeight="1" s="307">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c r="AD458" s="3" t="n"/>
      <c r="AE458" s="3" t="n"/>
      <c r="AF458" s="3" t="n"/>
      <c r="AG458" s="3" t="n"/>
      <c r="AH458" s="3" t="n"/>
      <c r="AI458" s="3" t="n"/>
    </row>
    <row r="459" ht="15.75" customHeight="1" s="307">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s="3" t="n"/>
      <c r="AD459" s="3" t="n"/>
      <c r="AE459" s="3" t="n"/>
      <c r="AF459" s="3" t="n"/>
      <c r="AG459" s="3" t="n"/>
      <c r="AH459" s="3" t="n"/>
      <c r="AI459" s="3" t="n"/>
    </row>
    <row r="460" ht="15.75" customHeight="1" s="307">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c r="AD460" s="3" t="n"/>
      <c r="AE460" s="3" t="n"/>
      <c r="AF460" s="3" t="n"/>
      <c r="AG460" s="3" t="n"/>
      <c r="AH460" s="3" t="n"/>
      <c r="AI460" s="3" t="n"/>
    </row>
    <row r="461" ht="15.75" customHeight="1" s="307">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c r="AD461" s="3" t="n"/>
      <c r="AE461" s="3" t="n"/>
      <c r="AF461" s="3" t="n"/>
      <c r="AG461" s="3" t="n"/>
      <c r="AH461" s="3" t="n"/>
      <c r="AI461" s="3" t="n"/>
    </row>
    <row r="462" ht="15.75" customHeight="1" s="307">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c r="AC462" s="3" t="n"/>
      <c r="AD462" s="3" t="n"/>
      <c r="AE462" s="3" t="n"/>
      <c r="AF462" s="3" t="n"/>
      <c r="AG462" s="3" t="n"/>
      <c r="AH462" s="3" t="n"/>
      <c r="AI462" s="3" t="n"/>
    </row>
    <row r="463" ht="15.75" customHeight="1" s="307">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c r="AD463" s="3" t="n"/>
      <c r="AE463" s="3" t="n"/>
      <c r="AF463" s="3" t="n"/>
      <c r="AG463" s="3" t="n"/>
      <c r="AH463" s="3" t="n"/>
      <c r="AI463" s="3" t="n"/>
    </row>
    <row r="464" ht="15.75" customHeight="1" s="307">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c r="AC464" s="3" t="n"/>
      <c r="AD464" s="3" t="n"/>
      <c r="AE464" s="3" t="n"/>
      <c r="AF464" s="3" t="n"/>
      <c r="AG464" s="3" t="n"/>
      <c r="AH464" s="3" t="n"/>
      <c r="AI464" s="3" t="n"/>
    </row>
    <row r="465" ht="15.75" customHeight="1" s="307">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c r="AC465" s="3" t="n"/>
      <c r="AD465" s="3" t="n"/>
      <c r="AE465" s="3" t="n"/>
      <c r="AF465" s="3" t="n"/>
      <c r="AG465" s="3" t="n"/>
      <c r="AH465" s="3" t="n"/>
      <c r="AI465" s="3" t="n"/>
    </row>
    <row r="466" ht="15.75" customHeight="1" s="307">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c r="AD466" s="3" t="n"/>
      <c r="AE466" s="3" t="n"/>
      <c r="AF466" s="3" t="n"/>
      <c r="AG466" s="3" t="n"/>
      <c r="AH466" s="3" t="n"/>
      <c r="AI466" s="3" t="n"/>
    </row>
    <row r="467" ht="15.75" customHeight="1" s="30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c r="AD467" s="3" t="n"/>
      <c r="AE467" s="3" t="n"/>
      <c r="AF467" s="3" t="n"/>
      <c r="AG467" s="3" t="n"/>
      <c r="AH467" s="3" t="n"/>
      <c r="AI467" s="3" t="n"/>
    </row>
    <row r="468" ht="15.75" customHeight="1" s="307">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c r="AC468" s="3" t="n"/>
      <c r="AD468" s="3" t="n"/>
      <c r="AE468" s="3" t="n"/>
      <c r="AF468" s="3" t="n"/>
      <c r="AG468" s="3" t="n"/>
      <c r="AH468" s="3" t="n"/>
      <c r="AI468" s="3" t="n"/>
    </row>
    <row r="469" ht="15.75" customHeight="1" s="307">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c r="AD469" s="3" t="n"/>
      <c r="AE469" s="3" t="n"/>
      <c r="AF469" s="3" t="n"/>
      <c r="AG469" s="3" t="n"/>
      <c r="AH469" s="3" t="n"/>
      <c r="AI469" s="3" t="n"/>
    </row>
    <row r="470" ht="15.75" customHeight="1" s="307">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c r="AC470" s="3" t="n"/>
      <c r="AD470" s="3" t="n"/>
      <c r="AE470" s="3" t="n"/>
      <c r="AF470" s="3" t="n"/>
      <c r="AG470" s="3" t="n"/>
      <c r="AH470" s="3" t="n"/>
      <c r="AI470" s="3" t="n"/>
    </row>
    <row r="471" ht="15.75" customHeight="1" s="307">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c r="AD471" s="3" t="n"/>
      <c r="AE471" s="3" t="n"/>
      <c r="AF471" s="3" t="n"/>
      <c r="AG471" s="3" t="n"/>
      <c r="AH471" s="3" t="n"/>
      <c r="AI471" s="3" t="n"/>
    </row>
    <row r="472" ht="15.75" customHeight="1" s="307">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c r="AD472" s="3" t="n"/>
      <c r="AE472" s="3" t="n"/>
      <c r="AF472" s="3" t="n"/>
      <c r="AG472" s="3" t="n"/>
      <c r="AH472" s="3" t="n"/>
      <c r="AI472" s="3" t="n"/>
    </row>
    <row r="473" ht="15.75" customHeight="1" s="307">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c r="AC473" s="3" t="n"/>
      <c r="AD473" s="3" t="n"/>
      <c r="AE473" s="3" t="n"/>
      <c r="AF473" s="3" t="n"/>
      <c r="AG473" s="3" t="n"/>
      <c r="AH473" s="3" t="n"/>
      <c r="AI473" s="3" t="n"/>
    </row>
    <row r="474" ht="15.75" customHeight="1" s="307">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c r="AC474" s="3" t="n"/>
      <c r="AD474" s="3" t="n"/>
      <c r="AE474" s="3" t="n"/>
      <c r="AF474" s="3" t="n"/>
      <c r="AG474" s="3" t="n"/>
      <c r="AH474" s="3" t="n"/>
      <c r="AI474" s="3" t="n"/>
    </row>
    <row r="475" ht="15.75" customHeight="1" s="307">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c r="AC475" s="3" t="n"/>
      <c r="AD475" s="3" t="n"/>
      <c r="AE475" s="3" t="n"/>
      <c r="AF475" s="3" t="n"/>
      <c r="AG475" s="3" t="n"/>
      <c r="AH475" s="3" t="n"/>
      <c r="AI475" s="3" t="n"/>
    </row>
    <row r="476" ht="15.75" customHeight="1" s="307">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c r="AD476" s="3" t="n"/>
      <c r="AE476" s="3" t="n"/>
      <c r="AF476" s="3" t="n"/>
      <c r="AG476" s="3" t="n"/>
      <c r="AH476" s="3" t="n"/>
      <c r="AI476" s="3" t="n"/>
    </row>
    <row r="477" ht="15.75" customHeight="1" s="30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c r="AD477" s="3" t="n"/>
      <c r="AE477" s="3" t="n"/>
      <c r="AF477" s="3" t="n"/>
      <c r="AG477" s="3" t="n"/>
      <c r="AH477" s="3" t="n"/>
      <c r="AI477" s="3" t="n"/>
    </row>
    <row r="478" ht="15.75" customHeight="1" s="307">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c r="AC478" s="3" t="n"/>
      <c r="AD478" s="3" t="n"/>
      <c r="AE478" s="3" t="n"/>
      <c r="AF478" s="3" t="n"/>
      <c r="AG478" s="3" t="n"/>
      <c r="AH478" s="3" t="n"/>
      <c r="AI478" s="3" t="n"/>
    </row>
    <row r="479" ht="15.75" customHeight="1" s="307">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c r="AC479" s="3" t="n"/>
      <c r="AD479" s="3" t="n"/>
      <c r="AE479" s="3" t="n"/>
      <c r="AF479" s="3" t="n"/>
      <c r="AG479" s="3" t="n"/>
      <c r="AH479" s="3" t="n"/>
      <c r="AI479" s="3" t="n"/>
    </row>
    <row r="480" ht="15.75" customHeight="1" s="307">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c r="AD480" s="3" t="n"/>
      <c r="AE480" s="3" t="n"/>
      <c r="AF480" s="3" t="n"/>
      <c r="AG480" s="3" t="n"/>
      <c r="AH480" s="3" t="n"/>
      <c r="AI480" s="3" t="n"/>
    </row>
    <row r="481" ht="15.75" customHeight="1" s="307">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c r="AC481" s="3" t="n"/>
      <c r="AD481" s="3" t="n"/>
      <c r="AE481" s="3" t="n"/>
      <c r="AF481" s="3" t="n"/>
      <c r="AG481" s="3" t="n"/>
      <c r="AH481" s="3" t="n"/>
      <c r="AI481" s="3" t="n"/>
    </row>
    <row r="482" ht="15.75" customHeight="1" s="307">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c r="AD482" s="3" t="n"/>
      <c r="AE482" s="3" t="n"/>
      <c r="AF482" s="3" t="n"/>
      <c r="AG482" s="3" t="n"/>
      <c r="AH482" s="3" t="n"/>
      <c r="AI482" s="3" t="n"/>
    </row>
    <row r="483" ht="15.75" customHeight="1" s="307">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c r="AC483" s="3" t="n"/>
      <c r="AD483" s="3" t="n"/>
      <c r="AE483" s="3" t="n"/>
      <c r="AF483" s="3" t="n"/>
      <c r="AG483" s="3" t="n"/>
      <c r="AH483" s="3" t="n"/>
      <c r="AI483" s="3" t="n"/>
    </row>
    <row r="484" ht="15.75" customHeight="1" s="307">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c r="AD484" s="3" t="n"/>
      <c r="AE484" s="3" t="n"/>
      <c r="AF484" s="3" t="n"/>
      <c r="AG484" s="3" t="n"/>
      <c r="AH484" s="3" t="n"/>
      <c r="AI484" s="3" t="n"/>
    </row>
    <row r="485" ht="15.75" customHeight="1" s="307">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c r="AD485" s="3" t="n"/>
      <c r="AE485" s="3" t="n"/>
      <c r="AF485" s="3" t="n"/>
      <c r="AG485" s="3" t="n"/>
      <c r="AH485" s="3" t="n"/>
      <c r="AI485" s="3" t="n"/>
    </row>
    <row r="486" ht="15.75" customHeight="1" s="307">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c r="AD486" s="3" t="n"/>
      <c r="AE486" s="3" t="n"/>
      <c r="AF486" s="3" t="n"/>
      <c r="AG486" s="3" t="n"/>
      <c r="AH486" s="3" t="n"/>
      <c r="AI486" s="3" t="n"/>
    </row>
    <row r="487" ht="15.75" customHeight="1" s="30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c r="AD487" s="3" t="n"/>
      <c r="AE487" s="3" t="n"/>
      <c r="AF487" s="3" t="n"/>
      <c r="AG487" s="3" t="n"/>
      <c r="AH487" s="3" t="n"/>
      <c r="AI487" s="3" t="n"/>
    </row>
    <row r="488" ht="15.75" customHeight="1" s="307">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c r="AD488" s="3" t="n"/>
      <c r="AE488" s="3" t="n"/>
      <c r="AF488" s="3" t="n"/>
      <c r="AG488" s="3" t="n"/>
      <c r="AH488" s="3" t="n"/>
      <c r="AI488" s="3" t="n"/>
    </row>
    <row r="489" ht="15.75" customHeight="1" s="307">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c r="AD489" s="3" t="n"/>
      <c r="AE489" s="3" t="n"/>
      <c r="AF489" s="3" t="n"/>
      <c r="AG489" s="3" t="n"/>
      <c r="AH489" s="3" t="n"/>
      <c r="AI489" s="3" t="n"/>
    </row>
    <row r="490" ht="15.75" customHeight="1" s="307">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c r="AD490" s="3" t="n"/>
      <c r="AE490" s="3" t="n"/>
      <c r="AF490" s="3" t="n"/>
      <c r="AG490" s="3" t="n"/>
      <c r="AH490" s="3" t="n"/>
      <c r="AI490" s="3" t="n"/>
    </row>
    <row r="491" ht="15.75" customHeight="1" s="307">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c r="AD491" s="3" t="n"/>
      <c r="AE491" s="3" t="n"/>
      <c r="AF491" s="3" t="n"/>
      <c r="AG491" s="3" t="n"/>
      <c r="AH491" s="3" t="n"/>
      <c r="AI491" s="3" t="n"/>
    </row>
    <row r="492" ht="15.75" customHeight="1" s="307">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c r="AD492" s="3" t="n"/>
      <c r="AE492" s="3" t="n"/>
      <c r="AF492" s="3" t="n"/>
      <c r="AG492" s="3" t="n"/>
      <c r="AH492" s="3" t="n"/>
      <c r="AI492" s="3" t="n"/>
    </row>
    <row r="493" ht="15.75" customHeight="1" s="307">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c r="AC493" s="3" t="n"/>
      <c r="AD493" s="3" t="n"/>
      <c r="AE493" s="3" t="n"/>
      <c r="AF493" s="3" t="n"/>
      <c r="AG493" s="3" t="n"/>
      <c r="AH493" s="3" t="n"/>
      <c r="AI493" s="3" t="n"/>
    </row>
    <row r="494" ht="15.75" customHeight="1" s="307">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c r="AC494" s="3" t="n"/>
      <c r="AD494" s="3" t="n"/>
      <c r="AE494" s="3" t="n"/>
      <c r="AF494" s="3" t="n"/>
      <c r="AG494" s="3" t="n"/>
      <c r="AH494" s="3" t="n"/>
      <c r="AI494" s="3" t="n"/>
    </row>
    <row r="495" ht="15.75" customHeight="1" s="307">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c r="AD495" s="3" t="n"/>
      <c r="AE495" s="3" t="n"/>
      <c r="AF495" s="3" t="n"/>
      <c r="AG495" s="3" t="n"/>
      <c r="AH495" s="3" t="n"/>
      <c r="AI495" s="3" t="n"/>
    </row>
    <row r="496" ht="15.75" customHeight="1" s="307">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c r="AC496" s="3" t="n"/>
      <c r="AD496" s="3" t="n"/>
      <c r="AE496" s="3" t="n"/>
      <c r="AF496" s="3" t="n"/>
      <c r="AG496" s="3" t="n"/>
      <c r="AH496" s="3" t="n"/>
      <c r="AI496" s="3" t="n"/>
    </row>
    <row r="497" ht="15.75" customHeight="1" s="30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c r="AC497" s="3" t="n"/>
      <c r="AD497" s="3" t="n"/>
      <c r="AE497" s="3" t="n"/>
      <c r="AF497" s="3" t="n"/>
      <c r="AG497" s="3" t="n"/>
      <c r="AH497" s="3" t="n"/>
      <c r="AI497" s="3" t="n"/>
    </row>
    <row r="498" ht="15.75" customHeight="1" s="307">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c r="AD498" s="3" t="n"/>
      <c r="AE498" s="3" t="n"/>
      <c r="AF498" s="3" t="n"/>
      <c r="AG498" s="3" t="n"/>
      <c r="AH498" s="3" t="n"/>
      <c r="AI498" s="3" t="n"/>
    </row>
    <row r="499" ht="15.75" customHeight="1" s="307">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c r="AD499" s="3" t="n"/>
      <c r="AE499" s="3" t="n"/>
      <c r="AF499" s="3" t="n"/>
      <c r="AG499" s="3" t="n"/>
      <c r="AH499" s="3" t="n"/>
      <c r="AI499" s="3" t="n"/>
    </row>
    <row r="500" ht="15.75" customHeight="1" s="307">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c r="AD500" s="3" t="n"/>
      <c r="AE500" s="3" t="n"/>
      <c r="AF500" s="3" t="n"/>
      <c r="AG500" s="3" t="n"/>
      <c r="AH500" s="3" t="n"/>
      <c r="AI500" s="3" t="n"/>
    </row>
    <row r="501" ht="15.75" customHeight="1" s="307">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c r="AD501" s="3" t="n"/>
      <c r="AE501" s="3" t="n"/>
      <c r="AF501" s="3" t="n"/>
      <c r="AG501" s="3" t="n"/>
      <c r="AH501" s="3" t="n"/>
      <c r="AI501" s="3" t="n"/>
    </row>
    <row r="502" ht="15.75" customHeight="1" s="307">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c r="AC502" s="3" t="n"/>
      <c r="AD502" s="3" t="n"/>
      <c r="AE502" s="3" t="n"/>
      <c r="AF502" s="3" t="n"/>
      <c r="AG502" s="3" t="n"/>
      <c r="AH502" s="3" t="n"/>
      <c r="AI502" s="3" t="n"/>
    </row>
    <row r="503" ht="15.75" customHeight="1" s="307">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c r="AC503" s="3" t="n"/>
      <c r="AD503" s="3" t="n"/>
      <c r="AE503" s="3" t="n"/>
      <c r="AF503" s="3" t="n"/>
      <c r="AG503" s="3" t="n"/>
      <c r="AH503" s="3" t="n"/>
      <c r="AI503" s="3" t="n"/>
    </row>
    <row r="504" ht="15.75" customHeight="1" s="307">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c r="AD504" s="3" t="n"/>
      <c r="AE504" s="3" t="n"/>
      <c r="AF504" s="3" t="n"/>
      <c r="AG504" s="3" t="n"/>
      <c r="AH504" s="3" t="n"/>
      <c r="AI504" s="3" t="n"/>
    </row>
    <row r="505" ht="15.75" customHeight="1" s="307">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c r="AD505" s="3" t="n"/>
      <c r="AE505" s="3" t="n"/>
      <c r="AF505" s="3" t="n"/>
      <c r="AG505" s="3" t="n"/>
      <c r="AH505" s="3" t="n"/>
      <c r="AI505" s="3" t="n"/>
    </row>
    <row r="506" ht="15.75" customHeight="1" s="307">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c r="AD506" s="3" t="n"/>
      <c r="AE506" s="3" t="n"/>
      <c r="AF506" s="3" t="n"/>
      <c r="AG506" s="3" t="n"/>
      <c r="AH506" s="3" t="n"/>
      <c r="AI506" s="3" t="n"/>
    </row>
    <row r="507" ht="15.75" customHeight="1" s="3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c r="AD507" s="3" t="n"/>
      <c r="AE507" s="3" t="n"/>
      <c r="AF507" s="3" t="n"/>
      <c r="AG507" s="3" t="n"/>
      <c r="AH507" s="3" t="n"/>
      <c r="AI507" s="3" t="n"/>
    </row>
    <row r="508" ht="15.75" customHeight="1" s="307">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c r="AC508" s="3" t="n"/>
      <c r="AD508" s="3" t="n"/>
      <c r="AE508" s="3" t="n"/>
      <c r="AF508" s="3" t="n"/>
      <c r="AG508" s="3" t="n"/>
      <c r="AH508" s="3" t="n"/>
      <c r="AI508" s="3" t="n"/>
    </row>
    <row r="509" ht="15.75" customHeight="1" s="307">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c r="AD509" s="3" t="n"/>
      <c r="AE509" s="3" t="n"/>
      <c r="AF509" s="3" t="n"/>
      <c r="AG509" s="3" t="n"/>
      <c r="AH509" s="3" t="n"/>
      <c r="AI509" s="3" t="n"/>
    </row>
    <row r="510" ht="15.75" customHeight="1" s="307">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c r="AC510" s="3" t="n"/>
      <c r="AD510" s="3" t="n"/>
      <c r="AE510" s="3" t="n"/>
      <c r="AF510" s="3" t="n"/>
      <c r="AG510" s="3" t="n"/>
      <c r="AH510" s="3" t="n"/>
      <c r="AI510" s="3" t="n"/>
    </row>
    <row r="511" ht="15.75" customHeight="1" s="307">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c r="AD511" s="3" t="n"/>
      <c r="AE511" s="3" t="n"/>
      <c r="AF511" s="3" t="n"/>
      <c r="AG511" s="3" t="n"/>
      <c r="AH511" s="3" t="n"/>
      <c r="AI511" s="3" t="n"/>
    </row>
    <row r="512" ht="15.75" customHeight="1" s="307">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c r="AC512" s="3" t="n"/>
      <c r="AD512" s="3" t="n"/>
      <c r="AE512" s="3" t="n"/>
      <c r="AF512" s="3" t="n"/>
      <c r="AG512" s="3" t="n"/>
      <c r="AH512" s="3" t="n"/>
      <c r="AI512" s="3" t="n"/>
    </row>
    <row r="513" ht="15.75" customHeight="1" s="307">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c r="AC513" s="3" t="n"/>
      <c r="AD513" s="3" t="n"/>
      <c r="AE513" s="3" t="n"/>
      <c r="AF513" s="3" t="n"/>
      <c r="AG513" s="3" t="n"/>
      <c r="AH513" s="3" t="n"/>
      <c r="AI513" s="3" t="n"/>
    </row>
    <row r="514" ht="15.75" customHeight="1" s="307">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c r="AC514" s="3" t="n"/>
      <c r="AD514" s="3" t="n"/>
      <c r="AE514" s="3" t="n"/>
      <c r="AF514" s="3" t="n"/>
      <c r="AG514" s="3" t="n"/>
      <c r="AH514" s="3" t="n"/>
      <c r="AI514" s="3" t="n"/>
    </row>
    <row r="515" ht="15.75" customHeight="1" s="307">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c r="AD515" s="3" t="n"/>
      <c r="AE515" s="3" t="n"/>
      <c r="AF515" s="3" t="n"/>
      <c r="AG515" s="3" t="n"/>
      <c r="AH515" s="3" t="n"/>
      <c r="AI515" s="3" t="n"/>
    </row>
    <row r="516" ht="15.75" customHeight="1" s="307">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c r="AC516" s="3" t="n"/>
      <c r="AD516" s="3" t="n"/>
      <c r="AE516" s="3" t="n"/>
      <c r="AF516" s="3" t="n"/>
      <c r="AG516" s="3" t="n"/>
      <c r="AH516" s="3" t="n"/>
      <c r="AI516" s="3" t="n"/>
    </row>
    <row r="517" ht="15.75" customHeight="1" s="30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c r="AC517" s="3" t="n"/>
      <c r="AD517" s="3" t="n"/>
      <c r="AE517" s="3" t="n"/>
      <c r="AF517" s="3" t="n"/>
      <c r="AG517" s="3" t="n"/>
      <c r="AH517" s="3" t="n"/>
      <c r="AI517" s="3" t="n"/>
    </row>
    <row r="518" ht="15.75" customHeight="1" s="307">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c r="AC518" s="3" t="n"/>
      <c r="AD518" s="3" t="n"/>
      <c r="AE518" s="3" t="n"/>
      <c r="AF518" s="3" t="n"/>
      <c r="AG518" s="3" t="n"/>
      <c r="AH518" s="3" t="n"/>
      <c r="AI518" s="3" t="n"/>
    </row>
    <row r="519" ht="15.75" customHeight="1" s="307">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c r="AD519" s="3" t="n"/>
      <c r="AE519" s="3" t="n"/>
      <c r="AF519" s="3" t="n"/>
      <c r="AG519" s="3" t="n"/>
      <c r="AH519" s="3" t="n"/>
      <c r="AI519" s="3" t="n"/>
    </row>
    <row r="520" ht="15.75" customHeight="1" s="307">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c r="AC520" s="3" t="n"/>
      <c r="AD520" s="3" t="n"/>
      <c r="AE520" s="3" t="n"/>
      <c r="AF520" s="3" t="n"/>
      <c r="AG520" s="3" t="n"/>
      <c r="AH520" s="3" t="n"/>
      <c r="AI520" s="3" t="n"/>
    </row>
    <row r="521" ht="15.75" customHeight="1" s="307">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c r="AD521" s="3" t="n"/>
      <c r="AE521" s="3" t="n"/>
      <c r="AF521" s="3" t="n"/>
      <c r="AG521" s="3" t="n"/>
      <c r="AH521" s="3" t="n"/>
      <c r="AI521" s="3" t="n"/>
    </row>
    <row r="522" ht="15.75" customHeight="1" s="307">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c r="AD522" s="3" t="n"/>
      <c r="AE522" s="3" t="n"/>
      <c r="AF522" s="3" t="n"/>
      <c r="AG522" s="3" t="n"/>
      <c r="AH522" s="3" t="n"/>
      <c r="AI522" s="3" t="n"/>
    </row>
    <row r="523" ht="15.75" customHeight="1" s="307">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c r="AD523" s="3" t="n"/>
      <c r="AE523" s="3" t="n"/>
      <c r="AF523" s="3" t="n"/>
      <c r="AG523" s="3" t="n"/>
      <c r="AH523" s="3" t="n"/>
      <c r="AI523" s="3" t="n"/>
    </row>
    <row r="524" ht="15.75" customHeight="1" s="307">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c r="AC524" s="3" t="n"/>
      <c r="AD524" s="3" t="n"/>
      <c r="AE524" s="3" t="n"/>
      <c r="AF524" s="3" t="n"/>
      <c r="AG524" s="3" t="n"/>
      <c r="AH524" s="3" t="n"/>
      <c r="AI524" s="3" t="n"/>
    </row>
    <row r="525" ht="15.75" customHeight="1" s="307">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c r="AC525" s="3" t="n"/>
      <c r="AD525" s="3" t="n"/>
      <c r="AE525" s="3" t="n"/>
      <c r="AF525" s="3" t="n"/>
      <c r="AG525" s="3" t="n"/>
      <c r="AH525" s="3" t="n"/>
      <c r="AI525" s="3" t="n"/>
    </row>
    <row r="526" ht="15.75" customHeight="1" s="307">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c r="AD526" s="3" t="n"/>
      <c r="AE526" s="3" t="n"/>
      <c r="AF526" s="3" t="n"/>
      <c r="AG526" s="3" t="n"/>
      <c r="AH526" s="3" t="n"/>
      <c r="AI526" s="3" t="n"/>
    </row>
    <row r="527" ht="15.75" customHeight="1" s="30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c r="AD527" s="3" t="n"/>
      <c r="AE527" s="3" t="n"/>
      <c r="AF527" s="3" t="n"/>
      <c r="AG527" s="3" t="n"/>
      <c r="AH527" s="3" t="n"/>
      <c r="AI527" s="3" t="n"/>
    </row>
    <row r="528" ht="15.75" customHeight="1" s="307">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c r="AD528" s="3" t="n"/>
      <c r="AE528" s="3" t="n"/>
      <c r="AF528" s="3" t="n"/>
      <c r="AG528" s="3" t="n"/>
      <c r="AH528" s="3" t="n"/>
      <c r="AI528" s="3" t="n"/>
    </row>
    <row r="529" ht="15.75" customHeight="1" s="307">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c r="AD529" s="3" t="n"/>
      <c r="AE529" s="3" t="n"/>
      <c r="AF529" s="3" t="n"/>
      <c r="AG529" s="3" t="n"/>
      <c r="AH529" s="3" t="n"/>
      <c r="AI529" s="3" t="n"/>
    </row>
    <row r="530" ht="15.75" customHeight="1" s="307">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c r="AD530" s="3" t="n"/>
      <c r="AE530" s="3" t="n"/>
      <c r="AF530" s="3" t="n"/>
      <c r="AG530" s="3" t="n"/>
      <c r="AH530" s="3" t="n"/>
      <c r="AI530" s="3" t="n"/>
    </row>
    <row r="531" ht="15.75" customHeight="1" s="307">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c r="AD531" s="3" t="n"/>
      <c r="AE531" s="3" t="n"/>
      <c r="AF531" s="3" t="n"/>
      <c r="AG531" s="3" t="n"/>
      <c r="AH531" s="3" t="n"/>
      <c r="AI531" s="3" t="n"/>
    </row>
    <row r="532" ht="15.75" customHeight="1" s="307">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c r="AD532" s="3" t="n"/>
      <c r="AE532" s="3" t="n"/>
      <c r="AF532" s="3" t="n"/>
      <c r="AG532" s="3" t="n"/>
      <c r="AH532" s="3" t="n"/>
      <c r="AI532" s="3" t="n"/>
    </row>
    <row r="533" ht="15.75" customHeight="1" s="307">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c r="AD533" s="3" t="n"/>
      <c r="AE533" s="3" t="n"/>
      <c r="AF533" s="3" t="n"/>
      <c r="AG533" s="3" t="n"/>
      <c r="AH533" s="3" t="n"/>
      <c r="AI533" s="3" t="n"/>
    </row>
    <row r="534" ht="15.75" customHeight="1" s="307">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c r="AC534" s="3" t="n"/>
      <c r="AD534" s="3" t="n"/>
      <c r="AE534" s="3" t="n"/>
      <c r="AF534" s="3" t="n"/>
      <c r="AG534" s="3" t="n"/>
      <c r="AH534" s="3" t="n"/>
      <c r="AI534" s="3" t="n"/>
    </row>
    <row r="535" ht="15.75" customHeight="1" s="307">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c r="AC535" s="3" t="n"/>
      <c r="AD535" s="3" t="n"/>
      <c r="AE535" s="3" t="n"/>
      <c r="AF535" s="3" t="n"/>
      <c r="AG535" s="3" t="n"/>
      <c r="AH535" s="3" t="n"/>
      <c r="AI535" s="3" t="n"/>
    </row>
    <row r="536" ht="15.75" customHeight="1" s="307">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c r="AD536" s="3" t="n"/>
      <c r="AE536" s="3" t="n"/>
      <c r="AF536" s="3" t="n"/>
      <c r="AG536" s="3" t="n"/>
      <c r="AH536" s="3" t="n"/>
      <c r="AI536" s="3" t="n"/>
    </row>
    <row r="537" ht="15.75" customHeight="1" s="30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c r="AD537" s="3" t="n"/>
      <c r="AE537" s="3" t="n"/>
      <c r="AF537" s="3" t="n"/>
      <c r="AG537" s="3" t="n"/>
      <c r="AH537" s="3" t="n"/>
      <c r="AI537" s="3" t="n"/>
    </row>
    <row r="538" ht="15.75" customHeight="1" s="307">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c r="AD538" s="3" t="n"/>
      <c r="AE538" s="3" t="n"/>
      <c r="AF538" s="3" t="n"/>
      <c r="AG538" s="3" t="n"/>
      <c r="AH538" s="3" t="n"/>
      <c r="AI538" s="3" t="n"/>
    </row>
    <row r="539" ht="15.75" customHeight="1" s="307">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c r="AD539" s="3" t="n"/>
      <c r="AE539" s="3" t="n"/>
      <c r="AF539" s="3" t="n"/>
      <c r="AG539" s="3" t="n"/>
      <c r="AH539" s="3" t="n"/>
      <c r="AI539" s="3" t="n"/>
    </row>
    <row r="540" ht="15.75" customHeight="1" s="307">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c r="AD540" s="3" t="n"/>
      <c r="AE540" s="3" t="n"/>
      <c r="AF540" s="3" t="n"/>
      <c r="AG540" s="3" t="n"/>
      <c r="AH540" s="3" t="n"/>
      <c r="AI540" s="3" t="n"/>
    </row>
    <row r="541" ht="15.75" customHeight="1" s="307">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c r="AD541" s="3" t="n"/>
      <c r="AE541" s="3" t="n"/>
      <c r="AF541" s="3" t="n"/>
      <c r="AG541" s="3" t="n"/>
      <c r="AH541" s="3" t="n"/>
      <c r="AI541" s="3" t="n"/>
    </row>
    <row r="542" ht="15.75" customHeight="1" s="307">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c r="AD542" s="3" t="n"/>
      <c r="AE542" s="3" t="n"/>
      <c r="AF542" s="3" t="n"/>
      <c r="AG542" s="3" t="n"/>
      <c r="AH542" s="3" t="n"/>
      <c r="AI542" s="3" t="n"/>
    </row>
    <row r="543" ht="15.75" customHeight="1" s="307">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c r="AD543" s="3" t="n"/>
      <c r="AE543" s="3" t="n"/>
      <c r="AF543" s="3" t="n"/>
      <c r="AG543" s="3" t="n"/>
      <c r="AH543" s="3" t="n"/>
      <c r="AI543" s="3" t="n"/>
    </row>
    <row r="544" ht="15.75" customHeight="1" s="307">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c r="AD544" s="3" t="n"/>
      <c r="AE544" s="3" t="n"/>
      <c r="AF544" s="3" t="n"/>
      <c r="AG544" s="3" t="n"/>
      <c r="AH544" s="3" t="n"/>
      <c r="AI544" s="3" t="n"/>
    </row>
    <row r="545" ht="15.75" customHeight="1" s="307">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c r="AD545" s="3" t="n"/>
      <c r="AE545" s="3" t="n"/>
      <c r="AF545" s="3" t="n"/>
      <c r="AG545" s="3" t="n"/>
      <c r="AH545" s="3" t="n"/>
      <c r="AI545" s="3" t="n"/>
    </row>
    <row r="546" ht="15.75" customHeight="1" s="307">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c r="AF546" s="3" t="n"/>
      <c r="AG546" s="3" t="n"/>
      <c r="AH546" s="3" t="n"/>
      <c r="AI546" s="3" t="n"/>
    </row>
    <row r="547" ht="15.75" customHeight="1" s="30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c r="AF547" s="3" t="n"/>
      <c r="AG547" s="3" t="n"/>
      <c r="AH547" s="3" t="n"/>
      <c r="AI547" s="3" t="n"/>
    </row>
    <row r="548" ht="15.75" customHeight="1" s="307">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c r="AF548" s="3" t="n"/>
      <c r="AG548" s="3" t="n"/>
      <c r="AH548" s="3" t="n"/>
      <c r="AI548" s="3" t="n"/>
    </row>
    <row r="549" ht="15.75" customHeight="1" s="307">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c r="AD549" s="3" t="n"/>
      <c r="AE549" s="3" t="n"/>
      <c r="AF549" s="3" t="n"/>
      <c r="AG549" s="3" t="n"/>
      <c r="AH549" s="3" t="n"/>
      <c r="AI549" s="3" t="n"/>
    </row>
    <row r="550" ht="15.75" customHeight="1" s="307">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c r="AD550" s="3" t="n"/>
      <c r="AE550" s="3" t="n"/>
      <c r="AF550" s="3" t="n"/>
      <c r="AG550" s="3" t="n"/>
      <c r="AH550" s="3" t="n"/>
      <c r="AI550" s="3" t="n"/>
    </row>
    <row r="551" ht="15.75" customHeight="1" s="307">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c r="AD551" s="3" t="n"/>
      <c r="AE551" s="3" t="n"/>
      <c r="AF551" s="3" t="n"/>
      <c r="AG551" s="3" t="n"/>
      <c r="AH551" s="3" t="n"/>
      <c r="AI551" s="3" t="n"/>
    </row>
    <row r="552" ht="15.75" customHeight="1" s="307">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c r="AD552" s="3" t="n"/>
      <c r="AE552" s="3" t="n"/>
      <c r="AF552" s="3" t="n"/>
      <c r="AG552" s="3" t="n"/>
      <c r="AH552" s="3" t="n"/>
      <c r="AI552" s="3" t="n"/>
    </row>
    <row r="553" ht="15.75" customHeight="1" s="307">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c r="AD553" s="3" t="n"/>
      <c r="AE553" s="3" t="n"/>
      <c r="AF553" s="3" t="n"/>
      <c r="AG553" s="3" t="n"/>
      <c r="AH553" s="3" t="n"/>
      <c r="AI553" s="3" t="n"/>
    </row>
    <row r="554" ht="15.75" customHeight="1" s="307">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c r="AD554" s="3" t="n"/>
      <c r="AE554" s="3" t="n"/>
      <c r="AF554" s="3" t="n"/>
      <c r="AG554" s="3" t="n"/>
      <c r="AH554" s="3" t="n"/>
      <c r="AI554" s="3" t="n"/>
    </row>
    <row r="555" ht="15.75" customHeight="1" s="307">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c r="AD555" s="3" t="n"/>
      <c r="AE555" s="3" t="n"/>
      <c r="AF555" s="3" t="n"/>
      <c r="AG555" s="3" t="n"/>
      <c r="AH555" s="3" t="n"/>
      <c r="AI555" s="3" t="n"/>
    </row>
    <row r="556" ht="15.75" customHeight="1" s="307">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c r="AD556" s="3" t="n"/>
      <c r="AE556" s="3" t="n"/>
      <c r="AF556" s="3" t="n"/>
      <c r="AG556" s="3" t="n"/>
      <c r="AH556" s="3" t="n"/>
      <c r="AI556" s="3" t="n"/>
    </row>
    <row r="557" ht="15.75" customHeight="1" s="30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c r="AD557" s="3" t="n"/>
      <c r="AE557" s="3" t="n"/>
      <c r="AF557" s="3" t="n"/>
      <c r="AG557" s="3" t="n"/>
      <c r="AH557" s="3" t="n"/>
      <c r="AI557" s="3" t="n"/>
    </row>
    <row r="558" ht="15.75" customHeight="1" s="307">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c r="AD558" s="3" t="n"/>
      <c r="AE558" s="3" t="n"/>
      <c r="AF558" s="3" t="n"/>
      <c r="AG558" s="3" t="n"/>
      <c r="AH558" s="3" t="n"/>
      <c r="AI558" s="3" t="n"/>
    </row>
    <row r="559" ht="15.75" customHeight="1" s="307">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c r="AD559" s="3" t="n"/>
      <c r="AE559" s="3" t="n"/>
      <c r="AF559" s="3" t="n"/>
      <c r="AG559" s="3" t="n"/>
      <c r="AH559" s="3" t="n"/>
      <c r="AI559" s="3" t="n"/>
    </row>
    <row r="560" ht="15.75" customHeight="1" s="307">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c r="AD560" s="3" t="n"/>
      <c r="AE560" s="3" t="n"/>
      <c r="AF560" s="3" t="n"/>
      <c r="AG560" s="3" t="n"/>
      <c r="AH560" s="3" t="n"/>
      <c r="AI560" s="3" t="n"/>
    </row>
    <row r="561" ht="15.75" customHeight="1" s="307">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c r="AD561" s="3" t="n"/>
      <c r="AE561" s="3" t="n"/>
      <c r="AF561" s="3" t="n"/>
      <c r="AG561" s="3" t="n"/>
      <c r="AH561" s="3" t="n"/>
      <c r="AI561" s="3" t="n"/>
    </row>
    <row r="562" ht="15.75" customHeight="1" s="307">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c r="AD562" s="3" t="n"/>
      <c r="AE562" s="3" t="n"/>
      <c r="AF562" s="3" t="n"/>
      <c r="AG562" s="3" t="n"/>
      <c r="AH562" s="3" t="n"/>
      <c r="AI562" s="3" t="n"/>
    </row>
    <row r="563" ht="15.75" customHeight="1" s="307">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c r="AD563" s="3" t="n"/>
      <c r="AE563" s="3" t="n"/>
      <c r="AF563" s="3" t="n"/>
      <c r="AG563" s="3" t="n"/>
      <c r="AH563" s="3" t="n"/>
      <c r="AI563" s="3" t="n"/>
    </row>
    <row r="564" ht="15.75" customHeight="1" s="307">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c r="AD564" s="3" t="n"/>
      <c r="AE564" s="3" t="n"/>
      <c r="AF564" s="3" t="n"/>
      <c r="AG564" s="3" t="n"/>
      <c r="AH564" s="3" t="n"/>
      <c r="AI564" s="3" t="n"/>
    </row>
    <row r="565" ht="15.75" customHeight="1" s="307">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c r="AD565" s="3" t="n"/>
      <c r="AE565" s="3" t="n"/>
      <c r="AF565" s="3" t="n"/>
      <c r="AG565" s="3" t="n"/>
      <c r="AH565" s="3" t="n"/>
      <c r="AI565" s="3" t="n"/>
    </row>
    <row r="566" ht="15.75" customHeight="1" s="307">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c r="AD566" s="3" t="n"/>
      <c r="AE566" s="3" t="n"/>
      <c r="AF566" s="3" t="n"/>
      <c r="AG566" s="3" t="n"/>
      <c r="AH566" s="3" t="n"/>
      <c r="AI566" s="3" t="n"/>
    </row>
    <row r="567" ht="15.75" customHeight="1" s="30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c r="AD567" s="3" t="n"/>
      <c r="AE567" s="3" t="n"/>
      <c r="AF567" s="3" t="n"/>
      <c r="AG567" s="3" t="n"/>
      <c r="AH567" s="3" t="n"/>
      <c r="AI567" s="3" t="n"/>
    </row>
    <row r="568" ht="15.75" customHeight="1" s="307">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c r="AD568" s="3" t="n"/>
      <c r="AE568" s="3" t="n"/>
      <c r="AF568" s="3" t="n"/>
      <c r="AG568" s="3" t="n"/>
      <c r="AH568" s="3" t="n"/>
      <c r="AI568" s="3" t="n"/>
    </row>
    <row r="569" ht="15.75" customHeight="1" s="307">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c r="AD569" s="3" t="n"/>
      <c r="AE569" s="3" t="n"/>
      <c r="AF569" s="3" t="n"/>
      <c r="AG569" s="3" t="n"/>
      <c r="AH569" s="3" t="n"/>
      <c r="AI569" s="3" t="n"/>
    </row>
    <row r="570" ht="15.75" customHeight="1" s="307">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c r="AD570" s="3" t="n"/>
      <c r="AE570" s="3" t="n"/>
      <c r="AF570" s="3" t="n"/>
      <c r="AG570" s="3" t="n"/>
      <c r="AH570" s="3" t="n"/>
      <c r="AI570" s="3" t="n"/>
    </row>
    <row r="571" ht="15.75" customHeight="1" s="307">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c r="AD571" s="3" t="n"/>
      <c r="AE571" s="3" t="n"/>
      <c r="AF571" s="3" t="n"/>
      <c r="AG571" s="3" t="n"/>
      <c r="AH571" s="3" t="n"/>
      <c r="AI571" s="3" t="n"/>
    </row>
    <row r="572" ht="15.75" customHeight="1" s="307">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c r="AD572" s="3" t="n"/>
      <c r="AE572" s="3" t="n"/>
      <c r="AF572" s="3" t="n"/>
      <c r="AG572" s="3" t="n"/>
      <c r="AH572" s="3" t="n"/>
      <c r="AI572" s="3" t="n"/>
    </row>
    <row r="573" ht="15.75" customHeight="1" s="307">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c r="AD573" s="3" t="n"/>
      <c r="AE573" s="3" t="n"/>
      <c r="AF573" s="3" t="n"/>
      <c r="AG573" s="3" t="n"/>
      <c r="AH573" s="3" t="n"/>
      <c r="AI573" s="3" t="n"/>
    </row>
    <row r="574" ht="15.75" customHeight="1" s="307">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c r="AD574" s="3" t="n"/>
      <c r="AE574" s="3" t="n"/>
      <c r="AF574" s="3" t="n"/>
      <c r="AG574" s="3" t="n"/>
      <c r="AH574" s="3" t="n"/>
      <c r="AI574" s="3" t="n"/>
    </row>
    <row r="575" ht="15.75" customHeight="1" s="307">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c r="AD575" s="3" t="n"/>
      <c r="AE575" s="3" t="n"/>
      <c r="AF575" s="3" t="n"/>
      <c r="AG575" s="3" t="n"/>
      <c r="AH575" s="3" t="n"/>
      <c r="AI575" s="3" t="n"/>
    </row>
    <row r="576" ht="15.75" customHeight="1" s="307">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c r="AD576" s="3" t="n"/>
      <c r="AE576" s="3" t="n"/>
      <c r="AF576" s="3" t="n"/>
      <c r="AG576" s="3" t="n"/>
      <c r="AH576" s="3" t="n"/>
      <c r="AI576" s="3" t="n"/>
    </row>
    <row r="577" ht="15.75" customHeight="1" s="30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c r="AD577" s="3" t="n"/>
      <c r="AE577" s="3" t="n"/>
      <c r="AF577" s="3" t="n"/>
      <c r="AG577" s="3" t="n"/>
      <c r="AH577" s="3" t="n"/>
      <c r="AI577" s="3" t="n"/>
    </row>
    <row r="578" ht="15.75" customHeight="1" s="307">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c r="AD578" s="3" t="n"/>
      <c r="AE578" s="3" t="n"/>
      <c r="AF578" s="3" t="n"/>
      <c r="AG578" s="3" t="n"/>
      <c r="AH578" s="3" t="n"/>
      <c r="AI578" s="3" t="n"/>
    </row>
    <row r="579" ht="15.75" customHeight="1" s="307">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c r="AD579" s="3" t="n"/>
      <c r="AE579" s="3" t="n"/>
      <c r="AF579" s="3" t="n"/>
      <c r="AG579" s="3" t="n"/>
      <c r="AH579" s="3" t="n"/>
      <c r="AI579" s="3" t="n"/>
    </row>
    <row r="580" ht="15.75" customHeight="1" s="307">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c r="AD580" s="3" t="n"/>
      <c r="AE580" s="3" t="n"/>
      <c r="AF580" s="3" t="n"/>
      <c r="AG580" s="3" t="n"/>
      <c r="AH580" s="3" t="n"/>
      <c r="AI580" s="3" t="n"/>
    </row>
    <row r="581" ht="15.75" customHeight="1" s="307">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c r="AD581" s="3" t="n"/>
      <c r="AE581" s="3" t="n"/>
      <c r="AF581" s="3" t="n"/>
      <c r="AG581" s="3" t="n"/>
      <c r="AH581" s="3" t="n"/>
      <c r="AI581" s="3" t="n"/>
    </row>
    <row r="582" ht="15.75" customHeight="1" s="307">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c r="AD582" s="3" t="n"/>
      <c r="AE582" s="3" t="n"/>
      <c r="AF582" s="3" t="n"/>
      <c r="AG582" s="3" t="n"/>
      <c r="AH582" s="3" t="n"/>
      <c r="AI582" s="3" t="n"/>
    </row>
    <row r="583" ht="15.75" customHeight="1" s="307">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c r="AD583" s="3" t="n"/>
      <c r="AE583" s="3" t="n"/>
      <c r="AF583" s="3" t="n"/>
      <c r="AG583" s="3" t="n"/>
      <c r="AH583" s="3" t="n"/>
      <c r="AI583" s="3" t="n"/>
    </row>
    <row r="584" ht="15.75" customHeight="1" s="307">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c r="AD584" s="3" t="n"/>
      <c r="AE584" s="3" t="n"/>
      <c r="AF584" s="3" t="n"/>
      <c r="AG584" s="3" t="n"/>
      <c r="AH584" s="3" t="n"/>
      <c r="AI584" s="3" t="n"/>
    </row>
    <row r="585" ht="15.75" customHeight="1" s="307">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c r="AD585" s="3" t="n"/>
      <c r="AE585" s="3" t="n"/>
      <c r="AF585" s="3" t="n"/>
      <c r="AG585" s="3" t="n"/>
      <c r="AH585" s="3" t="n"/>
      <c r="AI585" s="3" t="n"/>
    </row>
    <row r="586" ht="15.75" customHeight="1" s="307">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c r="AD586" s="3" t="n"/>
      <c r="AE586" s="3" t="n"/>
      <c r="AF586" s="3" t="n"/>
      <c r="AG586" s="3" t="n"/>
      <c r="AH586" s="3" t="n"/>
      <c r="AI586" s="3" t="n"/>
    </row>
    <row r="587" ht="15.75" customHeight="1" s="30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c r="AD587" s="3" t="n"/>
      <c r="AE587" s="3" t="n"/>
      <c r="AF587" s="3" t="n"/>
      <c r="AG587" s="3" t="n"/>
      <c r="AH587" s="3" t="n"/>
      <c r="AI587" s="3" t="n"/>
    </row>
    <row r="588" ht="15.75" customHeight="1" s="307">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c r="AD588" s="3" t="n"/>
      <c r="AE588" s="3" t="n"/>
      <c r="AF588" s="3" t="n"/>
      <c r="AG588" s="3" t="n"/>
      <c r="AH588" s="3" t="n"/>
      <c r="AI588" s="3" t="n"/>
    </row>
    <row r="589" ht="15.75" customHeight="1" s="307">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c r="AD589" s="3" t="n"/>
      <c r="AE589" s="3" t="n"/>
      <c r="AF589" s="3" t="n"/>
      <c r="AG589" s="3" t="n"/>
      <c r="AH589" s="3" t="n"/>
      <c r="AI589" s="3" t="n"/>
    </row>
    <row r="590" ht="15.75" customHeight="1" s="307">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c r="AD590" s="3" t="n"/>
      <c r="AE590" s="3" t="n"/>
      <c r="AF590" s="3" t="n"/>
      <c r="AG590" s="3" t="n"/>
      <c r="AH590" s="3" t="n"/>
      <c r="AI590" s="3" t="n"/>
    </row>
    <row r="591" ht="15.75" customHeight="1" s="307">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c r="AD591" s="3" t="n"/>
      <c r="AE591" s="3" t="n"/>
      <c r="AF591" s="3" t="n"/>
      <c r="AG591" s="3" t="n"/>
      <c r="AH591" s="3" t="n"/>
      <c r="AI591" s="3" t="n"/>
    </row>
    <row r="592" ht="15.75" customHeight="1" s="307">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c r="AD592" s="3" t="n"/>
      <c r="AE592" s="3" t="n"/>
      <c r="AF592" s="3" t="n"/>
      <c r="AG592" s="3" t="n"/>
      <c r="AH592" s="3" t="n"/>
      <c r="AI592" s="3" t="n"/>
    </row>
    <row r="593" ht="15.75" customHeight="1" s="307">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c r="AD593" s="3" t="n"/>
      <c r="AE593" s="3" t="n"/>
      <c r="AF593" s="3" t="n"/>
      <c r="AG593" s="3" t="n"/>
      <c r="AH593" s="3" t="n"/>
      <c r="AI593" s="3" t="n"/>
    </row>
    <row r="594" ht="15.75" customHeight="1" s="307">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c r="AD594" s="3" t="n"/>
      <c r="AE594" s="3" t="n"/>
      <c r="AF594" s="3" t="n"/>
      <c r="AG594" s="3" t="n"/>
      <c r="AH594" s="3" t="n"/>
      <c r="AI594" s="3" t="n"/>
    </row>
    <row r="595" ht="15.75" customHeight="1" s="307">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c r="AD595" s="3" t="n"/>
      <c r="AE595" s="3" t="n"/>
      <c r="AF595" s="3" t="n"/>
      <c r="AG595" s="3" t="n"/>
      <c r="AH595" s="3" t="n"/>
      <c r="AI595" s="3" t="n"/>
    </row>
    <row r="596" ht="15.75" customHeight="1" s="307">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c r="AD596" s="3" t="n"/>
      <c r="AE596" s="3" t="n"/>
      <c r="AF596" s="3" t="n"/>
      <c r="AG596" s="3" t="n"/>
      <c r="AH596" s="3" t="n"/>
      <c r="AI596" s="3" t="n"/>
    </row>
    <row r="597" ht="15.75" customHeight="1" s="30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c r="AD597" s="3" t="n"/>
      <c r="AE597" s="3" t="n"/>
      <c r="AF597" s="3" t="n"/>
      <c r="AG597" s="3" t="n"/>
      <c r="AH597" s="3" t="n"/>
      <c r="AI597" s="3" t="n"/>
    </row>
    <row r="598" ht="15.75" customHeight="1" s="307">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c r="AD598" s="3" t="n"/>
      <c r="AE598" s="3" t="n"/>
      <c r="AF598" s="3" t="n"/>
      <c r="AG598" s="3" t="n"/>
      <c r="AH598" s="3" t="n"/>
      <c r="AI598" s="3" t="n"/>
    </row>
    <row r="599" ht="15.75" customHeight="1" s="307">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c r="AD599" s="3" t="n"/>
      <c r="AE599" s="3" t="n"/>
      <c r="AF599" s="3" t="n"/>
      <c r="AG599" s="3" t="n"/>
      <c r="AH599" s="3" t="n"/>
      <c r="AI599" s="3" t="n"/>
    </row>
    <row r="600" ht="15.75" customHeight="1" s="307">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c r="AD600" s="3" t="n"/>
      <c r="AE600" s="3" t="n"/>
      <c r="AF600" s="3" t="n"/>
      <c r="AG600" s="3" t="n"/>
      <c r="AH600" s="3" t="n"/>
      <c r="AI600" s="3" t="n"/>
    </row>
    <row r="601" ht="15.75" customHeight="1" s="307">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c r="AD601" s="3" t="n"/>
      <c r="AE601" s="3" t="n"/>
      <c r="AF601" s="3" t="n"/>
      <c r="AG601" s="3" t="n"/>
      <c r="AH601" s="3" t="n"/>
      <c r="AI601" s="3" t="n"/>
    </row>
    <row r="602" ht="15.75" customHeight="1" s="307">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c r="AD602" s="3" t="n"/>
      <c r="AE602" s="3" t="n"/>
      <c r="AF602" s="3" t="n"/>
      <c r="AG602" s="3" t="n"/>
      <c r="AH602" s="3" t="n"/>
      <c r="AI602" s="3" t="n"/>
    </row>
    <row r="603" ht="15.75" customHeight="1" s="307">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c r="AD603" s="3" t="n"/>
      <c r="AE603" s="3" t="n"/>
      <c r="AF603" s="3" t="n"/>
      <c r="AG603" s="3" t="n"/>
      <c r="AH603" s="3" t="n"/>
      <c r="AI603" s="3" t="n"/>
    </row>
    <row r="604" ht="15.75" customHeight="1" s="307">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c r="AD604" s="3" t="n"/>
      <c r="AE604" s="3" t="n"/>
      <c r="AF604" s="3" t="n"/>
      <c r="AG604" s="3" t="n"/>
      <c r="AH604" s="3" t="n"/>
      <c r="AI604" s="3" t="n"/>
    </row>
    <row r="605" ht="15.75" customHeight="1" s="307">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c r="AD605" s="3" t="n"/>
      <c r="AE605" s="3" t="n"/>
      <c r="AF605" s="3" t="n"/>
      <c r="AG605" s="3" t="n"/>
      <c r="AH605" s="3" t="n"/>
      <c r="AI605" s="3" t="n"/>
    </row>
    <row r="606" ht="15.75" customHeight="1" s="307">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c r="AD606" s="3" t="n"/>
      <c r="AE606" s="3" t="n"/>
      <c r="AF606" s="3" t="n"/>
      <c r="AG606" s="3" t="n"/>
      <c r="AH606" s="3" t="n"/>
      <c r="AI606" s="3" t="n"/>
    </row>
    <row r="607" ht="15.75" customHeight="1" s="3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c r="AD607" s="3" t="n"/>
      <c r="AE607" s="3" t="n"/>
      <c r="AF607" s="3" t="n"/>
      <c r="AG607" s="3" t="n"/>
      <c r="AH607" s="3" t="n"/>
      <c r="AI607" s="3" t="n"/>
    </row>
    <row r="608" ht="15.75" customHeight="1" s="307">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c r="AD608" s="3" t="n"/>
      <c r="AE608" s="3" t="n"/>
      <c r="AF608" s="3" t="n"/>
      <c r="AG608" s="3" t="n"/>
      <c r="AH608" s="3" t="n"/>
      <c r="AI608" s="3" t="n"/>
    </row>
    <row r="609" ht="15.75" customHeight="1" s="307">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c r="AD609" s="3" t="n"/>
      <c r="AE609" s="3" t="n"/>
      <c r="AF609" s="3" t="n"/>
      <c r="AG609" s="3" t="n"/>
      <c r="AH609" s="3" t="n"/>
      <c r="AI609" s="3" t="n"/>
    </row>
    <row r="610" ht="15.75" customHeight="1" s="307">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c r="AD610" s="3" t="n"/>
      <c r="AE610" s="3" t="n"/>
      <c r="AF610" s="3" t="n"/>
      <c r="AG610" s="3" t="n"/>
      <c r="AH610" s="3" t="n"/>
      <c r="AI610" s="3" t="n"/>
    </row>
    <row r="611" ht="15.75" customHeight="1" s="307">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c r="AD611" s="3" t="n"/>
      <c r="AE611" s="3" t="n"/>
      <c r="AF611" s="3" t="n"/>
      <c r="AG611" s="3" t="n"/>
      <c r="AH611" s="3" t="n"/>
      <c r="AI611" s="3" t="n"/>
    </row>
    <row r="612" ht="15.75" customHeight="1" s="307">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c r="AD612" s="3" t="n"/>
      <c r="AE612" s="3" t="n"/>
      <c r="AF612" s="3" t="n"/>
      <c r="AG612" s="3" t="n"/>
      <c r="AH612" s="3" t="n"/>
      <c r="AI612" s="3" t="n"/>
    </row>
    <row r="613" ht="15.75" customHeight="1" s="307">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c r="AD613" s="3" t="n"/>
      <c r="AE613" s="3" t="n"/>
      <c r="AF613" s="3" t="n"/>
      <c r="AG613" s="3" t="n"/>
      <c r="AH613" s="3" t="n"/>
      <c r="AI613" s="3" t="n"/>
    </row>
    <row r="614" ht="15.75" customHeight="1" s="307">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c r="AD614" s="3" t="n"/>
      <c r="AE614" s="3" t="n"/>
      <c r="AF614" s="3" t="n"/>
      <c r="AG614" s="3" t="n"/>
      <c r="AH614" s="3" t="n"/>
      <c r="AI614" s="3" t="n"/>
    </row>
    <row r="615" ht="15.75" customHeight="1" s="307">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c r="AD615" s="3" t="n"/>
      <c r="AE615" s="3" t="n"/>
      <c r="AF615" s="3" t="n"/>
      <c r="AG615" s="3" t="n"/>
      <c r="AH615" s="3" t="n"/>
      <c r="AI615" s="3" t="n"/>
    </row>
    <row r="616" ht="15.75" customHeight="1" s="307">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c r="AD616" s="3" t="n"/>
      <c r="AE616" s="3" t="n"/>
      <c r="AF616" s="3" t="n"/>
      <c r="AG616" s="3" t="n"/>
      <c r="AH616" s="3" t="n"/>
      <c r="AI616" s="3" t="n"/>
    </row>
    <row r="617" ht="15.75" customHeight="1" s="30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c r="AD617" s="3" t="n"/>
      <c r="AE617" s="3" t="n"/>
      <c r="AF617" s="3" t="n"/>
      <c r="AG617" s="3" t="n"/>
      <c r="AH617" s="3" t="n"/>
      <c r="AI617" s="3" t="n"/>
    </row>
    <row r="618" ht="15.75" customHeight="1" s="307">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c r="AD618" s="3" t="n"/>
      <c r="AE618" s="3" t="n"/>
      <c r="AF618" s="3" t="n"/>
      <c r="AG618" s="3" t="n"/>
      <c r="AH618" s="3" t="n"/>
      <c r="AI618" s="3" t="n"/>
    </row>
    <row r="619" ht="15.75" customHeight="1" s="307">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c r="AD619" s="3" t="n"/>
      <c r="AE619" s="3" t="n"/>
      <c r="AF619" s="3" t="n"/>
      <c r="AG619" s="3" t="n"/>
      <c r="AH619" s="3" t="n"/>
      <c r="AI619" s="3" t="n"/>
    </row>
    <row r="620" ht="15.75" customHeight="1" s="307">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c r="AD620" s="3" t="n"/>
      <c r="AE620" s="3" t="n"/>
      <c r="AF620" s="3" t="n"/>
      <c r="AG620" s="3" t="n"/>
      <c r="AH620" s="3" t="n"/>
      <c r="AI620" s="3" t="n"/>
    </row>
    <row r="621" ht="15.75" customHeight="1" s="307">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c r="AD621" s="3" t="n"/>
      <c r="AE621" s="3" t="n"/>
      <c r="AF621" s="3" t="n"/>
      <c r="AG621" s="3" t="n"/>
      <c r="AH621" s="3" t="n"/>
      <c r="AI621" s="3" t="n"/>
    </row>
    <row r="622" ht="15.75" customHeight="1" s="307">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c r="AD622" s="3" t="n"/>
      <c r="AE622" s="3" t="n"/>
      <c r="AF622" s="3" t="n"/>
      <c r="AG622" s="3" t="n"/>
      <c r="AH622" s="3" t="n"/>
      <c r="AI622" s="3" t="n"/>
    </row>
    <row r="623" ht="15.75" customHeight="1" s="307">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c r="AD623" s="3" t="n"/>
      <c r="AE623" s="3" t="n"/>
      <c r="AF623" s="3" t="n"/>
      <c r="AG623" s="3" t="n"/>
      <c r="AH623" s="3" t="n"/>
      <c r="AI623" s="3" t="n"/>
    </row>
    <row r="624" ht="15.75" customHeight="1" s="307">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c r="AD624" s="3" t="n"/>
      <c r="AE624" s="3" t="n"/>
      <c r="AF624" s="3" t="n"/>
      <c r="AG624" s="3" t="n"/>
      <c r="AH624" s="3" t="n"/>
      <c r="AI624" s="3" t="n"/>
    </row>
    <row r="625" ht="15.75" customHeight="1" s="307">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c r="AD625" s="3" t="n"/>
      <c r="AE625" s="3" t="n"/>
      <c r="AF625" s="3" t="n"/>
      <c r="AG625" s="3" t="n"/>
      <c r="AH625" s="3" t="n"/>
      <c r="AI625" s="3" t="n"/>
    </row>
    <row r="626" ht="15.75" customHeight="1" s="307">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c r="AD626" s="3" t="n"/>
      <c r="AE626" s="3" t="n"/>
      <c r="AF626" s="3" t="n"/>
      <c r="AG626" s="3" t="n"/>
      <c r="AH626" s="3" t="n"/>
      <c r="AI626" s="3" t="n"/>
    </row>
    <row r="627" ht="15.75" customHeight="1" s="30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c r="AD627" s="3" t="n"/>
      <c r="AE627" s="3" t="n"/>
      <c r="AF627" s="3" t="n"/>
      <c r="AG627" s="3" t="n"/>
      <c r="AH627" s="3" t="n"/>
      <c r="AI627" s="3" t="n"/>
    </row>
    <row r="628" ht="15.75" customHeight="1" s="307">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c r="AD628" s="3" t="n"/>
      <c r="AE628" s="3" t="n"/>
      <c r="AF628" s="3" t="n"/>
      <c r="AG628" s="3" t="n"/>
      <c r="AH628" s="3" t="n"/>
      <c r="AI628" s="3" t="n"/>
    </row>
    <row r="629" ht="15.75" customHeight="1" s="307">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c r="AD629" s="3" t="n"/>
      <c r="AE629" s="3" t="n"/>
      <c r="AF629" s="3" t="n"/>
      <c r="AG629" s="3" t="n"/>
      <c r="AH629" s="3" t="n"/>
      <c r="AI629" s="3" t="n"/>
    </row>
    <row r="630" ht="15.75" customHeight="1" s="307">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c r="AD630" s="3" t="n"/>
      <c r="AE630" s="3" t="n"/>
      <c r="AF630" s="3" t="n"/>
      <c r="AG630" s="3" t="n"/>
      <c r="AH630" s="3" t="n"/>
      <c r="AI630" s="3" t="n"/>
    </row>
    <row r="631" ht="15.75" customHeight="1" s="307">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c r="AD631" s="3" t="n"/>
      <c r="AE631" s="3" t="n"/>
      <c r="AF631" s="3" t="n"/>
      <c r="AG631" s="3" t="n"/>
      <c r="AH631" s="3" t="n"/>
      <c r="AI631" s="3" t="n"/>
    </row>
    <row r="632" ht="15.75" customHeight="1" s="307">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c r="AD632" s="3" t="n"/>
      <c r="AE632" s="3" t="n"/>
      <c r="AF632" s="3" t="n"/>
      <c r="AG632" s="3" t="n"/>
      <c r="AH632" s="3" t="n"/>
      <c r="AI632" s="3" t="n"/>
    </row>
    <row r="633" ht="15.75" customHeight="1" s="307">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c r="AD633" s="3" t="n"/>
      <c r="AE633" s="3" t="n"/>
      <c r="AF633" s="3" t="n"/>
      <c r="AG633" s="3" t="n"/>
      <c r="AH633" s="3" t="n"/>
      <c r="AI633" s="3" t="n"/>
    </row>
    <row r="634" ht="15.75" customHeight="1" s="307">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c r="AD634" s="3" t="n"/>
      <c r="AE634" s="3" t="n"/>
      <c r="AF634" s="3" t="n"/>
      <c r="AG634" s="3" t="n"/>
      <c r="AH634" s="3" t="n"/>
      <c r="AI634" s="3" t="n"/>
    </row>
    <row r="635" ht="15.75" customHeight="1" s="307">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c r="AD635" s="3" t="n"/>
      <c r="AE635" s="3" t="n"/>
      <c r="AF635" s="3" t="n"/>
      <c r="AG635" s="3" t="n"/>
      <c r="AH635" s="3" t="n"/>
      <c r="AI635" s="3" t="n"/>
    </row>
    <row r="636" ht="15.75" customHeight="1" s="307">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c r="AD636" s="3" t="n"/>
      <c r="AE636" s="3" t="n"/>
      <c r="AF636" s="3" t="n"/>
      <c r="AG636" s="3" t="n"/>
      <c r="AH636" s="3" t="n"/>
      <c r="AI636" s="3" t="n"/>
    </row>
    <row r="637" ht="15.75" customHeight="1" s="30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c r="AF637" s="3" t="n"/>
      <c r="AG637" s="3" t="n"/>
      <c r="AH637" s="3" t="n"/>
      <c r="AI637" s="3" t="n"/>
    </row>
    <row r="638" ht="15.75" customHeight="1" s="307">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c r="AF638" s="3" t="n"/>
      <c r="AG638" s="3" t="n"/>
      <c r="AH638" s="3" t="n"/>
      <c r="AI638" s="3" t="n"/>
    </row>
    <row r="639" ht="15.75" customHeight="1" s="307">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c r="AF639" s="3" t="n"/>
      <c r="AG639" s="3" t="n"/>
      <c r="AH639" s="3" t="n"/>
      <c r="AI639" s="3" t="n"/>
    </row>
    <row r="640" ht="15.75" customHeight="1" s="307">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c r="AD640" s="3" t="n"/>
      <c r="AE640" s="3" t="n"/>
      <c r="AF640" s="3" t="n"/>
      <c r="AG640" s="3" t="n"/>
      <c r="AH640" s="3" t="n"/>
      <c r="AI640" s="3" t="n"/>
    </row>
    <row r="641" ht="15.75" customHeight="1" s="307">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c r="AD641" s="3" t="n"/>
      <c r="AE641" s="3" t="n"/>
      <c r="AF641" s="3" t="n"/>
      <c r="AG641" s="3" t="n"/>
      <c r="AH641" s="3" t="n"/>
      <c r="AI641" s="3" t="n"/>
    </row>
    <row r="642" ht="15.75" customHeight="1" s="307">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c r="AD642" s="3" t="n"/>
      <c r="AE642" s="3" t="n"/>
      <c r="AF642" s="3" t="n"/>
      <c r="AG642" s="3" t="n"/>
      <c r="AH642" s="3" t="n"/>
      <c r="AI642" s="3" t="n"/>
    </row>
    <row r="643" ht="15.75" customHeight="1" s="307">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c r="AD643" s="3" t="n"/>
      <c r="AE643" s="3" t="n"/>
      <c r="AF643" s="3" t="n"/>
      <c r="AG643" s="3" t="n"/>
      <c r="AH643" s="3" t="n"/>
      <c r="AI643" s="3" t="n"/>
    </row>
    <row r="644" ht="15.75" customHeight="1" s="307">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c r="AD644" s="3" t="n"/>
      <c r="AE644" s="3" t="n"/>
      <c r="AF644" s="3" t="n"/>
      <c r="AG644" s="3" t="n"/>
      <c r="AH644" s="3" t="n"/>
      <c r="AI644" s="3" t="n"/>
    </row>
    <row r="645" ht="15.75" customHeight="1" s="307">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c r="AD645" s="3" t="n"/>
      <c r="AE645" s="3" t="n"/>
      <c r="AF645" s="3" t="n"/>
      <c r="AG645" s="3" t="n"/>
      <c r="AH645" s="3" t="n"/>
      <c r="AI645" s="3" t="n"/>
    </row>
    <row r="646" ht="15.75" customHeight="1" s="307">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c r="AD646" s="3" t="n"/>
      <c r="AE646" s="3" t="n"/>
      <c r="AF646" s="3" t="n"/>
      <c r="AG646" s="3" t="n"/>
      <c r="AH646" s="3" t="n"/>
      <c r="AI646" s="3" t="n"/>
    </row>
    <row r="647" ht="15.75" customHeight="1" s="30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c r="AD647" s="3" t="n"/>
      <c r="AE647" s="3" t="n"/>
      <c r="AF647" s="3" t="n"/>
      <c r="AG647" s="3" t="n"/>
      <c r="AH647" s="3" t="n"/>
      <c r="AI647" s="3" t="n"/>
    </row>
    <row r="648" ht="15.75" customHeight="1" s="307">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c r="AD648" s="3" t="n"/>
      <c r="AE648" s="3" t="n"/>
      <c r="AF648" s="3" t="n"/>
      <c r="AG648" s="3" t="n"/>
      <c r="AH648" s="3" t="n"/>
      <c r="AI648" s="3" t="n"/>
    </row>
    <row r="649" ht="15.75" customHeight="1" s="307">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c r="AD649" s="3" t="n"/>
      <c r="AE649" s="3" t="n"/>
      <c r="AF649" s="3" t="n"/>
      <c r="AG649" s="3" t="n"/>
      <c r="AH649" s="3" t="n"/>
      <c r="AI649" s="3" t="n"/>
    </row>
    <row r="650" ht="15.75" customHeight="1" s="307">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c r="AD650" s="3" t="n"/>
      <c r="AE650" s="3" t="n"/>
      <c r="AF650" s="3" t="n"/>
      <c r="AG650" s="3" t="n"/>
      <c r="AH650" s="3" t="n"/>
      <c r="AI650" s="3" t="n"/>
    </row>
    <row r="651" ht="15.75" customHeight="1" s="307">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c r="AD651" s="3" t="n"/>
      <c r="AE651" s="3" t="n"/>
      <c r="AF651" s="3" t="n"/>
      <c r="AG651" s="3" t="n"/>
      <c r="AH651" s="3" t="n"/>
      <c r="AI651" s="3" t="n"/>
    </row>
    <row r="652" ht="15.75" customHeight="1" s="307">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c r="AD652" s="3" t="n"/>
      <c r="AE652" s="3" t="n"/>
      <c r="AF652" s="3" t="n"/>
      <c r="AG652" s="3" t="n"/>
      <c r="AH652" s="3" t="n"/>
      <c r="AI652" s="3" t="n"/>
    </row>
    <row r="653" ht="15.75" customHeight="1" s="307">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c r="AD653" s="3" t="n"/>
      <c r="AE653" s="3" t="n"/>
      <c r="AF653" s="3" t="n"/>
      <c r="AG653" s="3" t="n"/>
      <c r="AH653" s="3" t="n"/>
      <c r="AI653" s="3" t="n"/>
    </row>
    <row r="654" ht="15.75" customHeight="1" s="307">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c r="AD654" s="3" t="n"/>
      <c r="AE654" s="3" t="n"/>
      <c r="AF654" s="3" t="n"/>
      <c r="AG654" s="3" t="n"/>
      <c r="AH654" s="3" t="n"/>
      <c r="AI654" s="3" t="n"/>
    </row>
    <row r="655" ht="15.75" customHeight="1" s="307">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c r="AD655" s="3" t="n"/>
      <c r="AE655" s="3" t="n"/>
      <c r="AF655" s="3" t="n"/>
      <c r="AG655" s="3" t="n"/>
      <c r="AH655" s="3" t="n"/>
      <c r="AI655" s="3" t="n"/>
    </row>
    <row r="656" ht="15.75" customHeight="1" s="307">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c r="AD656" s="3" t="n"/>
      <c r="AE656" s="3" t="n"/>
      <c r="AF656" s="3" t="n"/>
      <c r="AG656" s="3" t="n"/>
      <c r="AH656" s="3" t="n"/>
      <c r="AI656" s="3" t="n"/>
    </row>
    <row r="657" ht="15.75" customHeight="1" s="30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c r="AD657" s="3" t="n"/>
      <c r="AE657" s="3" t="n"/>
      <c r="AF657" s="3" t="n"/>
      <c r="AG657" s="3" t="n"/>
      <c r="AH657" s="3" t="n"/>
      <c r="AI657" s="3" t="n"/>
    </row>
    <row r="658" ht="15.75" customHeight="1" s="307">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c r="AD658" s="3" t="n"/>
      <c r="AE658" s="3" t="n"/>
      <c r="AF658" s="3" t="n"/>
      <c r="AG658" s="3" t="n"/>
      <c r="AH658" s="3" t="n"/>
      <c r="AI658" s="3" t="n"/>
    </row>
    <row r="659" ht="15.75" customHeight="1" s="307">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c r="AD659" s="3" t="n"/>
      <c r="AE659" s="3" t="n"/>
      <c r="AF659" s="3" t="n"/>
      <c r="AG659" s="3" t="n"/>
      <c r="AH659" s="3" t="n"/>
      <c r="AI659" s="3" t="n"/>
    </row>
    <row r="660" ht="15.75" customHeight="1" s="307">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c r="AD660" s="3" t="n"/>
      <c r="AE660" s="3" t="n"/>
      <c r="AF660" s="3" t="n"/>
      <c r="AG660" s="3" t="n"/>
      <c r="AH660" s="3" t="n"/>
      <c r="AI660" s="3" t="n"/>
    </row>
    <row r="661" ht="15.75" customHeight="1" s="307">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c r="AD661" s="3" t="n"/>
      <c r="AE661" s="3" t="n"/>
      <c r="AF661" s="3" t="n"/>
      <c r="AG661" s="3" t="n"/>
      <c r="AH661" s="3" t="n"/>
      <c r="AI661" s="3" t="n"/>
    </row>
    <row r="662" ht="15.75" customHeight="1" s="307">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c r="AD662" s="3" t="n"/>
      <c r="AE662" s="3" t="n"/>
      <c r="AF662" s="3" t="n"/>
      <c r="AG662" s="3" t="n"/>
      <c r="AH662" s="3" t="n"/>
      <c r="AI662" s="3" t="n"/>
    </row>
    <row r="663" ht="15.75" customHeight="1" s="307">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c r="AD663" s="3" t="n"/>
      <c r="AE663" s="3" t="n"/>
      <c r="AF663" s="3" t="n"/>
      <c r="AG663" s="3" t="n"/>
      <c r="AH663" s="3" t="n"/>
      <c r="AI663" s="3" t="n"/>
    </row>
    <row r="664" ht="15.75" customHeight="1" s="307">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c r="AD664" s="3" t="n"/>
      <c r="AE664" s="3" t="n"/>
      <c r="AF664" s="3" t="n"/>
      <c r="AG664" s="3" t="n"/>
      <c r="AH664" s="3" t="n"/>
      <c r="AI664" s="3" t="n"/>
    </row>
    <row r="665" ht="15.75" customHeight="1" s="307">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c r="AD665" s="3" t="n"/>
      <c r="AE665" s="3" t="n"/>
      <c r="AF665" s="3" t="n"/>
      <c r="AG665" s="3" t="n"/>
      <c r="AH665" s="3" t="n"/>
      <c r="AI665" s="3" t="n"/>
    </row>
    <row r="666" ht="15.75" customHeight="1" s="307">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c r="AD666" s="3" t="n"/>
      <c r="AE666" s="3" t="n"/>
      <c r="AF666" s="3" t="n"/>
      <c r="AG666" s="3" t="n"/>
      <c r="AH666" s="3" t="n"/>
      <c r="AI666" s="3" t="n"/>
    </row>
    <row r="667" ht="15.75" customHeight="1" s="30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c r="AD667" s="3" t="n"/>
      <c r="AE667" s="3" t="n"/>
      <c r="AF667" s="3" t="n"/>
      <c r="AG667" s="3" t="n"/>
      <c r="AH667" s="3" t="n"/>
      <c r="AI667" s="3" t="n"/>
    </row>
    <row r="668" ht="15.75" customHeight="1" s="307">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c r="AD668" s="3" t="n"/>
      <c r="AE668" s="3" t="n"/>
      <c r="AF668" s="3" t="n"/>
      <c r="AG668" s="3" t="n"/>
      <c r="AH668" s="3" t="n"/>
      <c r="AI668" s="3" t="n"/>
    </row>
    <row r="669" ht="15.75" customHeight="1" s="307">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c r="AD669" s="3" t="n"/>
      <c r="AE669" s="3" t="n"/>
      <c r="AF669" s="3" t="n"/>
      <c r="AG669" s="3" t="n"/>
      <c r="AH669" s="3" t="n"/>
      <c r="AI669" s="3" t="n"/>
    </row>
    <row r="670" ht="15.75" customHeight="1" s="307">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c r="AD670" s="3" t="n"/>
      <c r="AE670" s="3" t="n"/>
      <c r="AF670" s="3" t="n"/>
      <c r="AG670" s="3" t="n"/>
      <c r="AH670" s="3" t="n"/>
      <c r="AI670" s="3" t="n"/>
    </row>
    <row r="671" ht="15.75" customHeight="1" s="307">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c r="AD671" s="3" t="n"/>
      <c r="AE671" s="3" t="n"/>
      <c r="AF671" s="3" t="n"/>
      <c r="AG671" s="3" t="n"/>
      <c r="AH671" s="3" t="n"/>
      <c r="AI671" s="3" t="n"/>
    </row>
    <row r="672" ht="15.75" customHeight="1" s="307">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c r="AD672" s="3" t="n"/>
      <c r="AE672" s="3" t="n"/>
      <c r="AF672" s="3" t="n"/>
      <c r="AG672" s="3" t="n"/>
      <c r="AH672" s="3" t="n"/>
      <c r="AI672" s="3" t="n"/>
    </row>
    <row r="673" ht="15.75" customHeight="1" s="307">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c r="AD673" s="3" t="n"/>
      <c r="AE673" s="3" t="n"/>
      <c r="AF673" s="3" t="n"/>
      <c r="AG673" s="3" t="n"/>
      <c r="AH673" s="3" t="n"/>
      <c r="AI673" s="3" t="n"/>
    </row>
    <row r="674" ht="15.75" customHeight="1" s="307">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c r="AD674" s="3" t="n"/>
      <c r="AE674" s="3" t="n"/>
      <c r="AF674" s="3" t="n"/>
      <c r="AG674" s="3" t="n"/>
      <c r="AH674" s="3" t="n"/>
      <c r="AI674" s="3" t="n"/>
    </row>
    <row r="675" ht="15.75" customHeight="1" s="307">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c r="AD675" s="3" t="n"/>
      <c r="AE675" s="3" t="n"/>
      <c r="AF675" s="3" t="n"/>
      <c r="AG675" s="3" t="n"/>
      <c r="AH675" s="3" t="n"/>
      <c r="AI675" s="3" t="n"/>
    </row>
    <row r="676" ht="15.75" customHeight="1" s="307">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c r="AD676" s="3" t="n"/>
      <c r="AE676" s="3" t="n"/>
      <c r="AF676" s="3" t="n"/>
      <c r="AG676" s="3" t="n"/>
      <c r="AH676" s="3" t="n"/>
      <c r="AI676" s="3" t="n"/>
    </row>
    <row r="677" ht="15.75" customHeight="1" s="30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c r="AD677" s="3" t="n"/>
      <c r="AE677" s="3" t="n"/>
      <c r="AF677" s="3" t="n"/>
      <c r="AG677" s="3" t="n"/>
      <c r="AH677" s="3" t="n"/>
      <c r="AI677" s="3" t="n"/>
    </row>
    <row r="678" ht="15.75" customHeight="1" s="307">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c r="AD678" s="3" t="n"/>
      <c r="AE678" s="3" t="n"/>
      <c r="AF678" s="3" t="n"/>
      <c r="AG678" s="3" t="n"/>
      <c r="AH678" s="3" t="n"/>
      <c r="AI678" s="3" t="n"/>
    </row>
    <row r="679" ht="15.75" customHeight="1" s="307">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c r="AD679" s="3" t="n"/>
      <c r="AE679" s="3" t="n"/>
      <c r="AF679" s="3" t="n"/>
      <c r="AG679" s="3" t="n"/>
      <c r="AH679" s="3" t="n"/>
      <c r="AI679" s="3" t="n"/>
    </row>
    <row r="680" ht="15.75" customHeight="1" s="307">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c r="AD680" s="3" t="n"/>
      <c r="AE680" s="3" t="n"/>
      <c r="AF680" s="3" t="n"/>
      <c r="AG680" s="3" t="n"/>
      <c r="AH680" s="3" t="n"/>
      <c r="AI680" s="3" t="n"/>
    </row>
    <row r="681" ht="15.75" customHeight="1" s="307">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c r="AD681" s="3" t="n"/>
      <c r="AE681" s="3" t="n"/>
      <c r="AF681" s="3" t="n"/>
      <c r="AG681" s="3" t="n"/>
      <c r="AH681" s="3" t="n"/>
      <c r="AI681" s="3" t="n"/>
    </row>
    <row r="682" ht="15.75" customHeight="1" s="307">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c r="AD682" s="3" t="n"/>
      <c r="AE682" s="3" t="n"/>
      <c r="AF682" s="3" t="n"/>
      <c r="AG682" s="3" t="n"/>
      <c r="AH682" s="3" t="n"/>
      <c r="AI682" s="3" t="n"/>
    </row>
    <row r="683" ht="15.75" customHeight="1" s="307">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c r="AD683" s="3" t="n"/>
      <c r="AE683" s="3" t="n"/>
      <c r="AF683" s="3" t="n"/>
      <c r="AG683" s="3" t="n"/>
      <c r="AH683" s="3" t="n"/>
      <c r="AI683" s="3" t="n"/>
    </row>
    <row r="684" ht="15.75" customHeight="1" s="307">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c r="AD684" s="3" t="n"/>
      <c r="AE684" s="3" t="n"/>
      <c r="AF684" s="3" t="n"/>
      <c r="AG684" s="3" t="n"/>
      <c r="AH684" s="3" t="n"/>
      <c r="AI684" s="3" t="n"/>
    </row>
    <row r="685" ht="15.75" customHeight="1" s="307">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c r="AF685" s="3" t="n"/>
      <c r="AG685" s="3" t="n"/>
      <c r="AH685" s="3" t="n"/>
      <c r="AI685" s="3" t="n"/>
    </row>
    <row r="686" ht="15.75" customHeight="1" s="307">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c r="AD686" s="3" t="n"/>
      <c r="AE686" s="3" t="n"/>
      <c r="AF686" s="3" t="n"/>
      <c r="AG686" s="3" t="n"/>
      <c r="AH686" s="3" t="n"/>
      <c r="AI686" s="3" t="n"/>
    </row>
    <row r="687" ht="15.75" customHeight="1" s="30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c r="AD687" s="3" t="n"/>
      <c r="AE687" s="3" t="n"/>
      <c r="AF687" s="3" t="n"/>
      <c r="AG687" s="3" t="n"/>
      <c r="AH687" s="3" t="n"/>
      <c r="AI687" s="3" t="n"/>
    </row>
    <row r="688" ht="15.75" customHeight="1" s="307">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c r="AD688" s="3" t="n"/>
      <c r="AE688" s="3" t="n"/>
      <c r="AF688" s="3" t="n"/>
      <c r="AG688" s="3" t="n"/>
      <c r="AH688" s="3" t="n"/>
      <c r="AI688" s="3" t="n"/>
    </row>
    <row r="689" ht="15.75" customHeight="1" s="307">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c r="AD689" s="3" t="n"/>
      <c r="AE689" s="3" t="n"/>
      <c r="AF689" s="3" t="n"/>
      <c r="AG689" s="3" t="n"/>
      <c r="AH689" s="3" t="n"/>
      <c r="AI689" s="3" t="n"/>
    </row>
    <row r="690" ht="15.75" customHeight="1" s="307">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c r="AD690" s="3" t="n"/>
      <c r="AE690" s="3" t="n"/>
      <c r="AF690" s="3" t="n"/>
      <c r="AG690" s="3" t="n"/>
      <c r="AH690" s="3" t="n"/>
      <c r="AI690" s="3" t="n"/>
    </row>
    <row r="691" ht="15.75" customHeight="1" s="307">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c r="AD691" s="3" t="n"/>
      <c r="AE691" s="3" t="n"/>
      <c r="AF691" s="3" t="n"/>
      <c r="AG691" s="3" t="n"/>
      <c r="AH691" s="3" t="n"/>
      <c r="AI691" s="3" t="n"/>
    </row>
    <row r="692" ht="15.75" customHeight="1" s="307">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c r="AD692" s="3" t="n"/>
      <c r="AE692" s="3" t="n"/>
      <c r="AF692" s="3" t="n"/>
      <c r="AG692" s="3" t="n"/>
      <c r="AH692" s="3" t="n"/>
      <c r="AI692" s="3" t="n"/>
    </row>
    <row r="693" ht="15.75" customHeight="1" s="307">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c r="AD693" s="3" t="n"/>
      <c r="AE693" s="3" t="n"/>
      <c r="AF693" s="3" t="n"/>
      <c r="AG693" s="3" t="n"/>
      <c r="AH693" s="3" t="n"/>
      <c r="AI693" s="3" t="n"/>
    </row>
    <row r="694" ht="15.75" customHeight="1" s="307">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c r="AD694" s="3" t="n"/>
      <c r="AE694" s="3" t="n"/>
      <c r="AF694" s="3" t="n"/>
      <c r="AG694" s="3" t="n"/>
      <c r="AH694" s="3" t="n"/>
      <c r="AI694" s="3" t="n"/>
    </row>
    <row r="695" ht="15.75" customHeight="1" s="307">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c r="AD695" s="3" t="n"/>
      <c r="AE695" s="3" t="n"/>
      <c r="AF695" s="3" t="n"/>
      <c r="AG695" s="3" t="n"/>
      <c r="AH695" s="3" t="n"/>
      <c r="AI695" s="3" t="n"/>
    </row>
    <row r="696" ht="15.75" customHeight="1" s="307">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c r="AD696" s="3" t="n"/>
      <c r="AE696" s="3" t="n"/>
      <c r="AF696" s="3" t="n"/>
      <c r="AG696" s="3" t="n"/>
      <c r="AH696" s="3" t="n"/>
      <c r="AI696" s="3" t="n"/>
    </row>
    <row r="697" ht="15.75" customHeight="1" s="30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c r="AD697" s="3" t="n"/>
      <c r="AE697" s="3" t="n"/>
      <c r="AF697" s="3" t="n"/>
      <c r="AG697" s="3" t="n"/>
      <c r="AH697" s="3" t="n"/>
      <c r="AI697" s="3" t="n"/>
    </row>
    <row r="698" ht="15.75" customHeight="1" s="307">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c r="AD698" s="3" t="n"/>
      <c r="AE698" s="3" t="n"/>
      <c r="AF698" s="3" t="n"/>
      <c r="AG698" s="3" t="n"/>
      <c r="AH698" s="3" t="n"/>
      <c r="AI698" s="3" t="n"/>
    </row>
    <row r="699" ht="15.75" customHeight="1" s="307">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c r="AD699" s="3" t="n"/>
      <c r="AE699" s="3" t="n"/>
      <c r="AF699" s="3" t="n"/>
      <c r="AG699" s="3" t="n"/>
      <c r="AH699" s="3" t="n"/>
      <c r="AI699" s="3" t="n"/>
    </row>
    <row r="700" ht="15.75" customHeight="1" s="307">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c r="AD700" s="3" t="n"/>
      <c r="AE700" s="3" t="n"/>
      <c r="AF700" s="3" t="n"/>
      <c r="AG700" s="3" t="n"/>
      <c r="AH700" s="3" t="n"/>
      <c r="AI700" s="3" t="n"/>
    </row>
    <row r="701" ht="15.75" customHeight="1" s="307">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c r="AD701" s="3" t="n"/>
      <c r="AE701" s="3" t="n"/>
      <c r="AF701" s="3" t="n"/>
      <c r="AG701" s="3" t="n"/>
      <c r="AH701" s="3" t="n"/>
      <c r="AI701" s="3" t="n"/>
    </row>
    <row r="702" ht="15.75" customHeight="1" s="307">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c r="AD702" s="3" t="n"/>
      <c r="AE702" s="3" t="n"/>
      <c r="AF702" s="3" t="n"/>
      <c r="AG702" s="3" t="n"/>
      <c r="AH702" s="3" t="n"/>
      <c r="AI702" s="3" t="n"/>
    </row>
    <row r="703" ht="15.75" customHeight="1" s="307">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c r="AD703" s="3" t="n"/>
      <c r="AE703" s="3" t="n"/>
      <c r="AF703" s="3" t="n"/>
      <c r="AG703" s="3" t="n"/>
      <c r="AH703" s="3" t="n"/>
      <c r="AI703" s="3" t="n"/>
    </row>
    <row r="704" ht="15.75" customHeight="1" s="307">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c r="AD704" s="3" t="n"/>
      <c r="AE704" s="3" t="n"/>
      <c r="AF704" s="3" t="n"/>
      <c r="AG704" s="3" t="n"/>
      <c r="AH704" s="3" t="n"/>
      <c r="AI704" s="3" t="n"/>
    </row>
    <row r="705" ht="15.75" customHeight="1" s="307">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c r="AD705" s="3" t="n"/>
      <c r="AE705" s="3" t="n"/>
      <c r="AF705" s="3" t="n"/>
      <c r="AG705" s="3" t="n"/>
      <c r="AH705" s="3" t="n"/>
      <c r="AI705" s="3" t="n"/>
    </row>
    <row r="706" ht="15.75" customHeight="1" s="307">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c r="AD706" s="3" t="n"/>
      <c r="AE706" s="3" t="n"/>
      <c r="AF706" s="3" t="n"/>
      <c r="AG706" s="3" t="n"/>
      <c r="AH706" s="3" t="n"/>
      <c r="AI706" s="3" t="n"/>
    </row>
    <row r="707" ht="15.75" customHeight="1" s="3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c r="AD707" s="3" t="n"/>
      <c r="AE707" s="3" t="n"/>
      <c r="AF707" s="3" t="n"/>
      <c r="AG707" s="3" t="n"/>
      <c r="AH707" s="3" t="n"/>
      <c r="AI707" s="3" t="n"/>
    </row>
    <row r="708" ht="15.75" customHeight="1" s="307">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c r="AD708" s="3" t="n"/>
      <c r="AE708" s="3" t="n"/>
      <c r="AF708" s="3" t="n"/>
      <c r="AG708" s="3" t="n"/>
      <c r="AH708" s="3" t="n"/>
      <c r="AI708" s="3" t="n"/>
    </row>
    <row r="709" ht="15.75" customHeight="1" s="307">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c r="AD709" s="3" t="n"/>
      <c r="AE709" s="3" t="n"/>
      <c r="AF709" s="3" t="n"/>
      <c r="AG709" s="3" t="n"/>
      <c r="AH709" s="3" t="n"/>
      <c r="AI709" s="3" t="n"/>
    </row>
    <row r="710" ht="15.75" customHeight="1" s="307">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c r="AD710" s="3" t="n"/>
      <c r="AE710" s="3" t="n"/>
      <c r="AF710" s="3" t="n"/>
      <c r="AG710" s="3" t="n"/>
      <c r="AH710" s="3" t="n"/>
      <c r="AI710" s="3" t="n"/>
    </row>
    <row r="711" ht="15.75" customHeight="1" s="307">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c r="AD711" s="3" t="n"/>
      <c r="AE711" s="3" t="n"/>
      <c r="AF711" s="3" t="n"/>
      <c r="AG711" s="3" t="n"/>
      <c r="AH711" s="3" t="n"/>
      <c r="AI711" s="3" t="n"/>
    </row>
    <row r="712" ht="15.75" customHeight="1" s="307">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c r="AD712" s="3" t="n"/>
      <c r="AE712" s="3" t="n"/>
      <c r="AF712" s="3" t="n"/>
      <c r="AG712" s="3" t="n"/>
      <c r="AH712" s="3" t="n"/>
      <c r="AI712" s="3" t="n"/>
    </row>
    <row r="713" ht="15.75" customHeight="1" s="307">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c r="AD713" s="3" t="n"/>
      <c r="AE713" s="3" t="n"/>
      <c r="AF713" s="3" t="n"/>
      <c r="AG713" s="3" t="n"/>
      <c r="AH713" s="3" t="n"/>
      <c r="AI713" s="3" t="n"/>
    </row>
    <row r="714" ht="15.75" customHeight="1" s="307">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c r="AD714" s="3" t="n"/>
      <c r="AE714" s="3" t="n"/>
      <c r="AF714" s="3" t="n"/>
      <c r="AG714" s="3" t="n"/>
      <c r="AH714" s="3" t="n"/>
      <c r="AI714" s="3" t="n"/>
    </row>
    <row r="715" ht="15.75" customHeight="1" s="307">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c r="AD715" s="3" t="n"/>
      <c r="AE715" s="3" t="n"/>
      <c r="AF715" s="3" t="n"/>
      <c r="AG715" s="3" t="n"/>
      <c r="AH715" s="3" t="n"/>
      <c r="AI715" s="3" t="n"/>
    </row>
    <row r="716" ht="15.75" customHeight="1" s="307">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c r="AD716" s="3" t="n"/>
      <c r="AE716" s="3" t="n"/>
      <c r="AF716" s="3" t="n"/>
      <c r="AG716" s="3" t="n"/>
      <c r="AH716" s="3" t="n"/>
      <c r="AI716" s="3" t="n"/>
    </row>
    <row r="717" ht="15.75" customHeight="1" s="30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c r="AD717" s="3" t="n"/>
      <c r="AE717" s="3" t="n"/>
      <c r="AF717" s="3" t="n"/>
      <c r="AG717" s="3" t="n"/>
      <c r="AH717" s="3" t="n"/>
      <c r="AI717" s="3" t="n"/>
    </row>
    <row r="718" ht="15.75" customHeight="1" s="307">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c r="AD718" s="3" t="n"/>
      <c r="AE718" s="3" t="n"/>
      <c r="AF718" s="3" t="n"/>
      <c r="AG718" s="3" t="n"/>
      <c r="AH718" s="3" t="n"/>
      <c r="AI718" s="3" t="n"/>
    </row>
    <row r="719" ht="15.75" customHeight="1" s="307">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c r="AD719" s="3" t="n"/>
      <c r="AE719" s="3" t="n"/>
      <c r="AF719" s="3" t="n"/>
      <c r="AG719" s="3" t="n"/>
      <c r="AH719" s="3" t="n"/>
      <c r="AI719" s="3" t="n"/>
    </row>
    <row r="720" ht="15.75" customHeight="1" s="307">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c r="AD720" s="3" t="n"/>
      <c r="AE720" s="3" t="n"/>
      <c r="AF720" s="3" t="n"/>
      <c r="AG720" s="3" t="n"/>
      <c r="AH720" s="3" t="n"/>
      <c r="AI720" s="3" t="n"/>
    </row>
    <row r="721" ht="15.75" customHeight="1" s="307">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c r="AD721" s="3" t="n"/>
      <c r="AE721" s="3" t="n"/>
      <c r="AF721" s="3" t="n"/>
      <c r="AG721" s="3" t="n"/>
      <c r="AH721" s="3" t="n"/>
      <c r="AI721" s="3" t="n"/>
    </row>
    <row r="722" ht="15.75" customHeight="1" s="307">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c r="AD722" s="3" t="n"/>
      <c r="AE722" s="3" t="n"/>
      <c r="AF722" s="3" t="n"/>
      <c r="AG722" s="3" t="n"/>
      <c r="AH722" s="3" t="n"/>
      <c r="AI722" s="3" t="n"/>
    </row>
    <row r="723" ht="15.75" customHeight="1" s="307">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c r="AD723" s="3" t="n"/>
      <c r="AE723" s="3" t="n"/>
      <c r="AF723" s="3" t="n"/>
      <c r="AG723" s="3" t="n"/>
      <c r="AH723" s="3" t="n"/>
      <c r="AI723" s="3" t="n"/>
    </row>
    <row r="724" ht="15.75" customHeight="1" s="307">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c r="AD724" s="3" t="n"/>
      <c r="AE724" s="3" t="n"/>
      <c r="AF724" s="3" t="n"/>
      <c r="AG724" s="3" t="n"/>
      <c r="AH724" s="3" t="n"/>
      <c r="AI724" s="3" t="n"/>
    </row>
    <row r="725" ht="15.75" customHeight="1" s="307">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c r="AD725" s="3" t="n"/>
      <c r="AE725" s="3" t="n"/>
      <c r="AF725" s="3" t="n"/>
      <c r="AG725" s="3" t="n"/>
      <c r="AH725" s="3" t="n"/>
      <c r="AI725" s="3" t="n"/>
    </row>
    <row r="726" ht="15.75" customHeight="1" s="307">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c r="AD726" s="3" t="n"/>
      <c r="AE726" s="3" t="n"/>
      <c r="AF726" s="3" t="n"/>
      <c r="AG726" s="3" t="n"/>
      <c r="AH726" s="3" t="n"/>
      <c r="AI726" s="3" t="n"/>
    </row>
    <row r="727" ht="15.75" customHeight="1" s="30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c r="AD727" s="3" t="n"/>
      <c r="AE727" s="3" t="n"/>
      <c r="AF727" s="3" t="n"/>
      <c r="AG727" s="3" t="n"/>
      <c r="AH727" s="3" t="n"/>
      <c r="AI727" s="3" t="n"/>
    </row>
    <row r="728" ht="15.75" customHeight="1" s="307">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c r="AF728" s="3" t="n"/>
      <c r="AG728" s="3" t="n"/>
      <c r="AH728" s="3" t="n"/>
      <c r="AI728" s="3" t="n"/>
    </row>
    <row r="729" ht="15.75" customHeight="1" s="307">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c r="AF729" s="3" t="n"/>
      <c r="AG729" s="3" t="n"/>
      <c r="AH729" s="3" t="n"/>
      <c r="AI729" s="3" t="n"/>
    </row>
    <row r="730" ht="15.75" customHeight="1" s="307">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c r="AF730" s="3" t="n"/>
      <c r="AG730" s="3" t="n"/>
      <c r="AH730" s="3" t="n"/>
      <c r="AI730" s="3" t="n"/>
    </row>
    <row r="731" ht="15.75" customHeight="1" s="307">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c r="AD731" s="3" t="n"/>
      <c r="AE731" s="3" t="n"/>
      <c r="AF731" s="3" t="n"/>
      <c r="AG731" s="3" t="n"/>
      <c r="AH731" s="3" t="n"/>
      <c r="AI731" s="3" t="n"/>
    </row>
    <row r="732" ht="15.75" customHeight="1" s="307">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c r="AD732" s="3" t="n"/>
      <c r="AE732" s="3" t="n"/>
      <c r="AF732" s="3" t="n"/>
      <c r="AG732" s="3" t="n"/>
      <c r="AH732" s="3" t="n"/>
      <c r="AI732" s="3" t="n"/>
    </row>
    <row r="733" ht="15.75" customHeight="1" s="307">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c r="AD733" s="3" t="n"/>
      <c r="AE733" s="3" t="n"/>
      <c r="AF733" s="3" t="n"/>
      <c r="AG733" s="3" t="n"/>
      <c r="AH733" s="3" t="n"/>
      <c r="AI733" s="3" t="n"/>
    </row>
    <row r="734" ht="15.75" customHeight="1" s="307">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c r="AD734" s="3" t="n"/>
      <c r="AE734" s="3" t="n"/>
      <c r="AF734" s="3" t="n"/>
      <c r="AG734" s="3" t="n"/>
      <c r="AH734" s="3" t="n"/>
      <c r="AI734" s="3" t="n"/>
    </row>
    <row r="735" ht="15.75" customHeight="1" s="307">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c r="AD735" s="3" t="n"/>
      <c r="AE735" s="3" t="n"/>
      <c r="AF735" s="3" t="n"/>
      <c r="AG735" s="3" t="n"/>
      <c r="AH735" s="3" t="n"/>
      <c r="AI735" s="3" t="n"/>
    </row>
    <row r="736" ht="15.75" customHeight="1" s="307">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c r="AD736" s="3" t="n"/>
      <c r="AE736" s="3" t="n"/>
      <c r="AF736" s="3" t="n"/>
      <c r="AG736" s="3" t="n"/>
      <c r="AH736" s="3" t="n"/>
      <c r="AI736" s="3" t="n"/>
    </row>
    <row r="737" ht="15.75" customHeight="1" s="30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c r="AD737" s="3" t="n"/>
      <c r="AE737" s="3" t="n"/>
      <c r="AF737" s="3" t="n"/>
      <c r="AG737" s="3" t="n"/>
      <c r="AH737" s="3" t="n"/>
      <c r="AI737" s="3" t="n"/>
    </row>
    <row r="738" ht="15.75" customHeight="1" s="307">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c r="AD738" s="3" t="n"/>
      <c r="AE738" s="3" t="n"/>
      <c r="AF738" s="3" t="n"/>
      <c r="AG738" s="3" t="n"/>
      <c r="AH738" s="3" t="n"/>
      <c r="AI738" s="3" t="n"/>
    </row>
    <row r="739" ht="15.75" customHeight="1" s="307">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c r="AF739" s="3" t="n"/>
      <c r="AG739" s="3" t="n"/>
      <c r="AH739" s="3" t="n"/>
      <c r="AI739" s="3" t="n"/>
    </row>
    <row r="740" ht="15.75" customHeight="1" s="307">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c r="AD740" s="3" t="n"/>
      <c r="AE740" s="3" t="n"/>
      <c r="AF740" s="3" t="n"/>
      <c r="AG740" s="3" t="n"/>
      <c r="AH740" s="3" t="n"/>
      <c r="AI740" s="3" t="n"/>
    </row>
    <row r="741" ht="15.75" customHeight="1" s="307">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c r="AD741" s="3" t="n"/>
      <c r="AE741" s="3" t="n"/>
      <c r="AF741" s="3" t="n"/>
      <c r="AG741" s="3" t="n"/>
      <c r="AH741" s="3" t="n"/>
      <c r="AI741" s="3" t="n"/>
    </row>
    <row r="742" ht="15.75" customHeight="1" s="307">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c r="AD742" s="3" t="n"/>
      <c r="AE742" s="3" t="n"/>
      <c r="AF742" s="3" t="n"/>
      <c r="AG742" s="3" t="n"/>
      <c r="AH742" s="3" t="n"/>
      <c r="AI742" s="3" t="n"/>
    </row>
    <row r="743" ht="15.75" customHeight="1" s="307">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c r="AD743" s="3" t="n"/>
      <c r="AE743" s="3" t="n"/>
      <c r="AF743" s="3" t="n"/>
      <c r="AG743" s="3" t="n"/>
      <c r="AH743" s="3" t="n"/>
      <c r="AI743" s="3" t="n"/>
    </row>
    <row r="744" ht="15.75" customHeight="1" s="307">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c r="AD744" s="3" t="n"/>
      <c r="AE744" s="3" t="n"/>
      <c r="AF744" s="3" t="n"/>
      <c r="AG744" s="3" t="n"/>
      <c r="AH744" s="3" t="n"/>
      <c r="AI744" s="3" t="n"/>
    </row>
    <row r="745" ht="15.75" customHeight="1" s="307">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c r="AD745" s="3" t="n"/>
      <c r="AE745" s="3" t="n"/>
      <c r="AF745" s="3" t="n"/>
      <c r="AG745" s="3" t="n"/>
      <c r="AH745" s="3" t="n"/>
      <c r="AI745" s="3" t="n"/>
    </row>
    <row r="746" ht="15.75" customHeight="1" s="307">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c r="AD746" s="3" t="n"/>
      <c r="AE746" s="3" t="n"/>
      <c r="AF746" s="3" t="n"/>
      <c r="AG746" s="3" t="n"/>
      <c r="AH746" s="3" t="n"/>
      <c r="AI746" s="3" t="n"/>
    </row>
    <row r="747" ht="15.75" customHeight="1" s="30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c r="AD747" s="3" t="n"/>
      <c r="AE747" s="3" t="n"/>
      <c r="AF747" s="3" t="n"/>
      <c r="AG747" s="3" t="n"/>
      <c r="AH747" s="3" t="n"/>
      <c r="AI747" s="3" t="n"/>
    </row>
    <row r="748" ht="15.75" customHeight="1" s="307">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c r="AD748" s="3" t="n"/>
      <c r="AE748" s="3" t="n"/>
      <c r="AF748" s="3" t="n"/>
      <c r="AG748" s="3" t="n"/>
      <c r="AH748" s="3" t="n"/>
      <c r="AI748" s="3" t="n"/>
    </row>
    <row r="749" ht="15.75" customHeight="1" s="307">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c r="AD749" s="3" t="n"/>
      <c r="AE749" s="3" t="n"/>
      <c r="AF749" s="3" t="n"/>
      <c r="AG749" s="3" t="n"/>
      <c r="AH749" s="3" t="n"/>
      <c r="AI749" s="3" t="n"/>
    </row>
    <row r="750" ht="15.75" customHeight="1" s="307">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c r="AD750" s="3" t="n"/>
      <c r="AE750" s="3" t="n"/>
      <c r="AF750" s="3" t="n"/>
      <c r="AG750" s="3" t="n"/>
      <c r="AH750" s="3" t="n"/>
      <c r="AI750" s="3" t="n"/>
    </row>
    <row r="751" ht="15.75" customHeight="1" s="307">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c r="AD751" s="3" t="n"/>
      <c r="AE751" s="3" t="n"/>
      <c r="AF751" s="3" t="n"/>
      <c r="AG751" s="3" t="n"/>
      <c r="AH751" s="3" t="n"/>
      <c r="AI751" s="3" t="n"/>
    </row>
    <row r="752" ht="15.75" customHeight="1" s="307">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c r="AD752" s="3" t="n"/>
      <c r="AE752" s="3" t="n"/>
      <c r="AF752" s="3" t="n"/>
      <c r="AG752" s="3" t="n"/>
      <c r="AH752" s="3" t="n"/>
      <c r="AI752" s="3" t="n"/>
    </row>
    <row r="753" ht="15.75" customHeight="1" s="307">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c r="AD753" s="3" t="n"/>
      <c r="AE753" s="3" t="n"/>
      <c r="AF753" s="3" t="n"/>
      <c r="AG753" s="3" t="n"/>
      <c r="AH753" s="3" t="n"/>
      <c r="AI753" s="3" t="n"/>
    </row>
    <row r="754" ht="15.75" customHeight="1" s="307">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c r="AD754" s="3" t="n"/>
      <c r="AE754" s="3" t="n"/>
      <c r="AF754" s="3" t="n"/>
      <c r="AG754" s="3" t="n"/>
      <c r="AH754" s="3" t="n"/>
      <c r="AI754" s="3" t="n"/>
    </row>
    <row r="755" ht="15.75" customHeight="1" s="307">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c r="AD755" s="3" t="n"/>
      <c r="AE755" s="3" t="n"/>
      <c r="AF755" s="3" t="n"/>
      <c r="AG755" s="3" t="n"/>
      <c r="AH755" s="3" t="n"/>
      <c r="AI755" s="3" t="n"/>
    </row>
    <row r="756" ht="15.75" customHeight="1" s="307">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c r="AD756" s="3" t="n"/>
      <c r="AE756" s="3" t="n"/>
      <c r="AF756" s="3" t="n"/>
      <c r="AG756" s="3" t="n"/>
      <c r="AH756" s="3" t="n"/>
      <c r="AI756" s="3" t="n"/>
    </row>
    <row r="757" ht="15.75" customHeight="1" s="30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c r="AD757" s="3" t="n"/>
      <c r="AE757" s="3" t="n"/>
      <c r="AF757" s="3" t="n"/>
      <c r="AG757" s="3" t="n"/>
      <c r="AH757" s="3" t="n"/>
      <c r="AI757" s="3" t="n"/>
    </row>
    <row r="758" ht="15.75" customHeight="1" s="307">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c r="AD758" s="3" t="n"/>
      <c r="AE758" s="3" t="n"/>
      <c r="AF758" s="3" t="n"/>
      <c r="AG758" s="3" t="n"/>
      <c r="AH758" s="3" t="n"/>
      <c r="AI758" s="3" t="n"/>
    </row>
    <row r="759" ht="15.75" customHeight="1" s="307">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c r="AD759" s="3" t="n"/>
      <c r="AE759" s="3" t="n"/>
      <c r="AF759" s="3" t="n"/>
      <c r="AG759" s="3" t="n"/>
      <c r="AH759" s="3" t="n"/>
      <c r="AI759" s="3" t="n"/>
    </row>
    <row r="760" ht="15.75" customHeight="1" s="307">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c r="AD760" s="3" t="n"/>
      <c r="AE760" s="3" t="n"/>
      <c r="AF760" s="3" t="n"/>
      <c r="AG760" s="3" t="n"/>
      <c r="AH760" s="3" t="n"/>
      <c r="AI760" s="3" t="n"/>
    </row>
    <row r="761" ht="15.75" customHeight="1" s="307">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c r="AD761" s="3" t="n"/>
      <c r="AE761" s="3" t="n"/>
      <c r="AF761" s="3" t="n"/>
      <c r="AG761" s="3" t="n"/>
      <c r="AH761" s="3" t="n"/>
      <c r="AI761" s="3" t="n"/>
    </row>
    <row r="762" ht="15.75" customHeight="1" s="307">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c r="AD762" s="3" t="n"/>
      <c r="AE762" s="3" t="n"/>
      <c r="AF762" s="3" t="n"/>
      <c r="AG762" s="3" t="n"/>
      <c r="AH762" s="3" t="n"/>
      <c r="AI762" s="3" t="n"/>
    </row>
    <row r="763" ht="15.75" customHeight="1" s="307">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c r="AD763" s="3" t="n"/>
      <c r="AE763" s="3" t="n"/>
      <c r="AF763" s="3" t="n"/>
      <c r="AG763" s="3" t="n"/>
      <c r="AH763" s="3" t="n"/>
      <c r="AI763" s="3" t="n"/>
    </row>
    <row r="764" ht="15.75" customHeight="1" s="307">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c r="AD764" s="3" t="n"/>
      <c r="AE764" s="3" t="n"/>
      <c r="AF764" s="3" t="n"/>
      <c r="AG764" s="3" t="n"/>
      <c r="AH764" s="3" t="n"/>
      <c r="AI764" s="3" t="n"/>
    </row>
    <row r="765" ht="15.75" customHeight="1" s="307">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c r="AD765" s="3" t="n"/>
      <c r="AE765" s="3" t="n"/>
      <c r="AF765" s="3" t="n"/>
      <c r="AG765" s="3" t="n"/>
      <c r="AH765" s="3" t="n"/>
      <c r="AI765" s="3" t="n"/>
    </row>
    <row r="766" ht="15.75" customHeight="1" s="307">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c r="AD766" s="3" t="n"/>
      <c r="AE766" s="3" t="n"/>
      <c r="AF766" s="3" t="n"/>
      <c r="AG766" s="3" t="n"/>
      <c r="AH766" s="3" t="n"/>
      <c r="AI766" s="3" t="n"/>
    </row>
    <row r="767" ht="15.75" customHeight="1" s="30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c r="AD767" s="3" t="n"/>
      <c r="AE767" s="3" t="n"/>
      <c r="AF767" s="3" t="n"/>
      <c r="AG767" s="3" t="n"/>
      <c r="AH767" s="3" t="n"/>
      <c r="AI767" s="3" t="n"/>
    </row>
    <row r="768" ht="15.75" customHeight="1" s="307">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c r="AD768" s="3" t="n"/>
      <c r="AE768" s="3" t="n"/>
      <c r="AF768" s="3" t="n"/>
      <c r="AG768" s="3" t="n"/>
      <c r="AH768" s="3" t="n"/>
      <c r="AI768" s="3" t="n"/>
    </row>
    <row r="769" ht="15.75" customHeight="1" s="307">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c r="AD769" s="3" t="n"/>
      <c r="AE769" s="3" t="n"/>
      <c r="AF769" s="3" t="n"/>
      <c r="AG769" s="3" t="n"/>
      <c r="AH769" s="3" t="n"/>
      <c r="AI769" s="3" t="n"/>
    </row>
    <row r="770" ht="15.75" customHeight="1" s="307">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c r="AD770" s="3" t="n"/>
      <c r="AE770" s="3" t="n"/>
      <c r="AF770" s="3" t="n"/>
      <c r="AG770" s="3" t="n"/>
      <c r="AH770" s="3" t="n"/>
      <c r="AI770" s="3" t="n"/>
    </row>
    <row r="771" ht="15.75" customHeight="1" s="307">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c r="AD771" s="3" t="n"/>
      <c r="AE771" s="3" t="n"/>
      <c r="AF771" s="3" t="n"/>
      <c r="AG771" s="3" t="n"/>
      <c r="AH771" s="3" t="n"/>
      <c r="AI771" s="3" t="n"/>
    </row>
    <row r="772" ht="15.75" customHeight="1" s="307">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c r="AD772" s="3" t="n"/>
      <c r="AE772" s="3" t="n"/>
      <c r="AF772" s="3" t="n"/>
      <c r="AG772" s="3" t="n"/>
      <c r="AH772" s="3" t="n"/>
      <c r="AI772" s="3" t="n"/>
    </row>
    <row r="773" ht="15.75" customHeight="1" s="307">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c r="AD773" s="3" t="n"/>
      <c r="AE773" s="3" t="n"/>
      <c r="AF773" s="3" t="n"/>
      <c r="AG773" s="3" t="n"/>
      <c r="AH773" s="3" t="n"/>
      <c r="AI773" s="3" t="n"/>
    </row>
    <row r="774" ht="15.75" customHeight="1" s="307">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c r="AD774" s="3" t="n"/>
      <c r="AE774" s="3" t="n"/>
      <c r="AF774" s="3" t="n"/>
      <c r="AG774" s="3" t="n"/>
      <c r="AH774" s="3" t="n"/>
      <c r="AI774" s="3" t="n"/>
    </row>
    <row r="775" ht="15.75" customHeight="1" s="307">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c r="AD775" s="3" t="n"/>
      <c r="AE775" s="3" t="n"/>
      <c r="AF775" s="3" t="n"/>
      <c r="AG775" s="3" t="n"/>
      <c r="AH775" s="3" t="n"/>
      <c r="AI775" s="3" t="n"/>
    </row>
    <row r="776" ht="15.75" customHeight="1" s="307">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c r="AD776" s="3" t="n"/>
      <c r="AE776" s="3" t="n"/>
      <c r="AF776" s="3" t="n"/>
      <c r="AG776" s="3" t="n"/>
      <c r="AH776" s="3" t="n"/>
      <c r="AI776" s="3" t="n"/>
    </row>
    <row r="777" ht="15.75" customHeight="1" s="30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c r="AD777" s="3" t="n"/>
      <c r="AE777" s="3" t="n"/>
      <c r="AF777" s="3" t="n"/>
      <c r="AG777" s="3" t="n"/>
      <c r="AH777" s="3" t="n"/>
      <c r="AI777" s="3" t="n"/>
    </row>
    <row r="778" ht="15.75" customHeight="1" s="307">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c r="AD778" s="3" t="n"/>
      <c r="AE778" s="3" t="n"/>
      <c r="AF778" s="3" t="n"/>
      <c r="AG778" s="3" t="n"/>
      <c r="AH778" s="3" t="n"/>
      <c r="AI778" s="3" t="n"/>
    </row>
    <row r="779" ht="15.75" customHeight="1" s="307">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c r="AD779" s="3" t="n"/>
      <c r="AE779" s="3" t="n"/>
      <c r="AF779" s="3" t="n"/>
      <c r="AG779" s="3" t="n"/>
      <c r="AH779" s="3" t="n"/>
      <c r="AI779" s="3" t="n"/>
    </row>
    <row r="780" ht="15.75" customHeight="1" s="307">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c r="AD780" s="3" t="n"/>
      <c r="AE780" s="3" t="n"/>
      <c r="AF780" s="3" t="n"/>
      <c r="AG780" s="3" t="n"/>
      <c r="AH780" s="3" t="n"/>
      <c r="AI780" s="3" t="n"/>
    </row>
    <row r="781" ht="15.75" customHeight="1" s="307">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c r="AD781" s="3" t="n"/>
      <c r="AE781" s="3" t="n"/>
      <c r="AF781" s="3" t="n"/>
      <c r="AG781" s="3" t="n"/>
      <c r="AH781" s="3" t="n"/>
      <c r="AI781" s="3" t="n"/>
    </row>
    <row r="782" ht="15.75" customHeight="1" s="307">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c r="AD782" s="3" t="n"/>
      <c r="AE782" s="3" t="n"/>
      <c r="AF782" s="3" t="n"/>
      <c r="AG782" s="3" t="n"/>
      <c r="AH782" s="3" t="n"/>
      <c r="AI782" s="3" t="n"/>
    </row>
    <row r="783" ht="15.75" customHeight="1" s="307">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c r="AD783" s="3" t="n"/>
      <c r="AE783" s="3" t="n"/>
      <c r="AF783" s="3" t="n"/>
      <c r="AG783" s="3" t="n"/>
      <c r="AH783" s="3" t="n"/>
      <c r="AI783" s="3" t="n"/>
    </row>
    <row r="784" ht="15.75" customHeight="1" s="307">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c r="AD784" s="3" t="n"/>
      <c r="AE784" s="3" t="n"/>
      <c r="AF784" s="3" t="n"/>
      <c r="AG784" s="3" t="n"/>
      <c r="AH784" s="3" t="n"/>
      <c r="AI784" s="3" t="n"/>
    </row>
    <row r="785" ht="15.75" customHeight="1" s="307">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c r="AD785" s="3" t="n"/>
      <c r="AE785" s="3" t="n"/>
      <c r="AF785" s="3" t="n"/>
      <c r="AG785" s="3" t="n"/>
      <c r="AH785" s="3" t="n"/>
      <c r="AI785" s="3" t="n"/>
    </row>
    <row r="786" ht="15.75" customHeight="1" s="307">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c r="AD786" s="3" t="n"/>
      <c r="AE786" s="3" t="n"/>
      <c r="AF786" s="3" t="n"/>
      <c r="AG786" s="3" t="n"/>
      <c r="AH786" s="3" t="n"/>
      <c r="AI786" s="3" t="n"/>
    </row>
    <row r="787" ht="15.75" customHeight="1" s="30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c r="AD787" s="3" t="n"/>
      <c r="AE787" s="3" t="n"/>
      <c r="AF787" s="3" t="n"/>
      <c r="AG787" s="3" t="n"/>
      <c r="AH787" s="3" t="n"/>
      <c r="AI787" s="3" t="n"/>
    </row>
    <row r="788" ht="15.75" customHeight="1" s="307">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c r="AD788" s="3" t="n"/>
      <c r="AE788" s="3" t="n"/>
      <c r="AF788" s="3" t="n"/>
      <c r="AG788" s="3" t="n"/>
      <c r="AH788" s="3" t="n"/>
      <c r="AI788" s="3" t="n"/>
    </row>
    <row r="789" ht="15.75" customHeight="1" s="307">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c r="AD789" s="3" t="n"/>
      <c r="AE789" s="3" t="n"/>
      <c r="AF789" s="3" t="n"/>
      <c r="AG789" s="3" t="n"/>
      <c r="AH789" s="3" t="n"/>
      <c r="AI789" s="3" t="n"/>
    </row>
    <row r="790" ht="15.75" customHeight="1" s="307">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c r="AD790" s="3" t="n"/>
      <c r="AE790" s="3" t="n"/>
      <c r="AF790" s="3" t="n"/>
      <c r="AG790" s="3" t="n"/>
      <c r="AH790" s="3" t="n"/>
      <c r="AI790" s="3" t="n"/>
    </row>
    <row r="791" ht="15.75" customHeight="1" s="307">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c r="AD791" s="3" t="n"/>
      <c r="AE791" s="3" t="n"/>
      <c r="AF791" s="3" t="n"/>
      <c r="AG791" s="3" t="n"/>
      <c r="AH791" s="3" t="n"/>
      <c r="AI791" s="3" t="n"/>
    </row>
    <row r="792" ht="15.75" customHeight="1" s="307">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c r="AD792" s="3" t="n"/>
      <c r="AE792" s="3" t="n"/>
      <c r="AF792" s="3" t="n"/>
      <c r="AG792" s="3" t="n"/>
      <c r="AH792" s="3" t="n"/>
      <c r="AI792" s="3" t="n"/>
    </row>
    <row r="793" ht="15.75" customHeight="1" s="307">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c r="AD793" s="3" t="n"/>
      <c r="AE793" s="3" t="n"/>
      <c r="AF793" s="3" t="n"/>
      <c r="AG793" s="3" t="n"/>
      <c r="AH793" s="3" t="n"/>
      <c r="AI793" s="3" t="n"/>
    </row>
    <row r="794" ht="15.75" customHeight="1" s="307">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c r="AD794" s="3" t="n"/>
      <c r="AE794" s="3" t="n"/>
      <c r="AF794" s="3" t="n"/>
      <c r="AG794" s="3" t="n"/>
      <c r="AH794" s="3" t="n"/>
      <c r="AI794" s="3" t="n"/>
    </row>
    <row r="795" ht="15.75" customHeight="1" s="307">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c r="AD795" s="3" t="n"/>
      <c r="AE795" s="3" t="n"/>
      <c r="AF795" s="3" t="n"/>
      <c r="AG795" s="3" t="n"/>
      <c r="AH795" s="3" t="n"/>
      <c r="AI795" s="3" t="n"/>
    </row>
    <row r="796" ht="15.75" customHeight="1" s="307">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c r="AD796" s="3" t="n"/>
      <c r="AE796" s="3" t="n"/>
      <c r="AF796" s="3" t="n"/>
      <c r="AG796" s="3" t="n"/>
      <c r="AH796" s="3" t="n"/>
      <c r="AI796" s="3" t="n"/>
    </row>
    <row r="797" ht="15.75" customHeight="1" s="30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c r="AD797" s="3" t="n"/>
      <c r="AE797" s="3" t="n"/>
      <c r="AF797" s="3" t="n"/>
      <c r="AG797" s="3" t="n"/>
      <c r="AH797" s="3" t="n"/>
      <c r="AI797" s="3" t="n"/>
    </row>
    <row r="798" ht="15.75" customHeight="1" s="307">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c r="AD798" s="3" t="n"/>
      <c r="AE798" s="3" t="n"/>
      <c r="AF798" s="3" t="n"/>
      <c r="AG798" s="3" t="n"/>
      <c r="AH798" s="3" t="n"/>
      <c r="AI798" s="3" t="n"/>
    </row>
    <row r="799" ht="15.75" customHeight="1" s="307">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c r="AD799" s="3" t="n"/>
      <c r="AE799" s="3" t="n"/>
      <c r="AF799" s="3" t="n"/>
      <c r="AG799" s="3" t="n"/>
      <c r="AH799" s="3" t="n"/>
      <c r="AI799" s="3" t="n"/>
    </row>
    <row r="800" ht="15.75" customHeight="1" s="307">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c r="AD800" s="3" t="n"/>
      <c r="AE800" s="3" t="n"/>
      <c r="AF800" s="3" t="n"/>
      <c r="AG800" s="3" t="n"/>
      <c r="AH800" s="3" t="n"/>
      <c r="AI800" s="3" t="n"/>
    </row>
    <row r="801" ht="15.75" customHeight="1" s="307">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c r="AD801" s="3" t="n"/>
      <c r="AE801" s="3" t="n"/>
      <c r="AF801" s="3" t="n"/>
      <c r="AG801" s="3" t="n"/>
      <c r="AH801" s="3" t="n"/>
      <c r="AI801" s="3" t="n"/>
    </row>
    <row r="802" ht="15.75" customHeight="1" s="307">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c r="AC802" s="3" t="n"/>
      <c r="AD802" s="3" t="n"/>
      <c r="AE802" s="3" t="n"/>
      <c r="AF802" s="3" t="n"/>
      <c r="AG802" s="3" t="n"/>
      <c r="AH802" s="3" t="n"/>
      <c r="AI802" s="3" t="n"/>
    </row>
    <row r="803" ht="15.75" customHeight="1" s="307">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c r="AC803" s="3" t="n"/>
      <c r="AD803" s="3" t="n"/>
      <c r="AE803" s="3" t="n"/>
      <c r="AF803" s="3" t="n"/>
      <c r="AG803" s="3" t="n"/>
      <c r="AH803" s="3" t="n"/>
      <c r="AI803" s="3" t="n"/>
    </row>
    <row r="804" ht="15.75" customHeight="1" s="307">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c r="AC804" s="3" t="n"/>
      <c r="AD804" s="3" t="n"/>
      <c r="AE804" s="3" t="n"/>
      <c r="AF804" s="3" t="n"/>
      <c r="AG804" s="3" t="n"/>
      <c r="AH804" s="3" t="n"/>
      <c r="AI804" s="3" t="n"/>
    </row>
    <row r="805" ht="15.75" customHeight="1" s="307">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c r="AC805" s="3" t="n"/>
      <c r="AD805" s="3" t="n"/>
      <c r="AE805" s="3" t="n"/>
      <c r="AF805" s="3" t="n"/>
      <c r="AG805" s="3" t="n"/>
      <c r="AH805" s="3" t="n"/>
      <c r="AI805" s="3" t="n"/>
    </row>
    <row r="806" ht="15.75" customHeight="1" s="307">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c r="AC806" s="3" t="n"/>
      <c r="AD806" s="3" t="n"/>
      <c r="AE806" s="3" t="n"/>
      <c r="AF806" s="3" t="n"/>
      <c r="AG806" s="3" t="n"/>
      <c r="AH806" s="3" t="n"/>
      <c r="AI806" s="3" t="n"/>
    </row>
    <row r="807" ht="15.75" customHeight="1" s="3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c r="AC807" s="3" t="n"/>
      <c r="AD807" s="3" t="n"/>
      <c r="AE807" s="3" t="n"/>
      <c r="AF807" s="3" t="n"/>
      <c r="AG807" s="3" t="n"/>
      <c r="AH807" s="3" t="n"/>
      <c r="AI807" s="3" t="n"/>
    </row>
    <row r="808" ht="15.75" customHeight="1" s="307">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c r="AC808" s="3" t="n"/>
      <c r="AD808" s="3" t="n"/>
      <c r="AE808" s="3" t="n"/>
      <c r="AF808" s="3" t="n"/>
      <c r="AG808" s="3" t="n"/>
      <c r="AH808" s="3" t="n"/>
      <c r="AI808" s="3" t="n"/>
    </row>
    <row r="809" ht="15.75" customHeight="1" s="307">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c r="AC809" s="3" t="n"/>
      <c r="AD809" s="3" t="n"/>
      <c r="AE809" s="3" t="n"/>
      <c r="AF809" s="3" t="n"/>
      <c r="AG809" s="3" t="n"/>
      <c r="AH809" s="3" t="n"/>
      <c r="AI809" s="3" t="n"/>
    </row>
    <row r="810" ht="15.75" customHeight="1" s="307">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c r="AC810" s="3" t="n"/>
      <c r="AD810" s="3" t="n"/>
      <c r="AE810" s="3" t="n"/>
      <c r="AF810" s="3" t="n"/>
      <c r="AG810" s="3" t="n"/>
      <c r="AH810" s="3" t="n"/>
      <c r="AI810" s="3" t="n"/>
    </row>
    <row r="811" ht="15.75" customHeight="1" s="307">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c r="AC811" s="3" t="n"/>
      <c r="AD811" s="3" t="n"/>
      <c r="AE811" s="3" t="n"/>
      <c r="AF811" s="3" t="n"/>
      <c r="AG811" s="3" t="n"/>
      <c r="AH811" s="3" t="n"/>
      <c r="AI811" s="3" t="n"/>
    </row>
    <row r="812" ht="15.75" customHeight="1" s="307">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c r="AC812" s="3" t="n"/>
      <c r="AD812" s="3" t="n"/>
      <c r="AE812" s="3" t="n"/>
      <c r="AF812" s="3" t="n"/>
      <c r="AG812" s="3" t="n"/>
      <c r="AH812" s="3" t="n"/>
      <c r="AI812" s="3" t="n"/>
    </row>
    <row r="813" ht="15.75" customHeight="1" s="307">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c r="AC813" s="3" t="n"/>
      <c r="AD813" s="3" t="n"/>
      <c r="AE813" s="3" t="n"/>
      <c r="AF813" s="3" t="n"/>
      <c r="AG813" s="3" t="n"/>
      <c r="AH813" s="3" t="n"/>
      <c r="AI813" s="3" t="n"/>
    </row>
    <row r="814" ht="15.75" customHeight="1" s="307">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c r="AC814" s="3" t="n"/>
      <c r="AD814" s="3" t="n"/>
      <c r="AE814" s="3" t="n"/>
      <c r="AF814" s="3" t="n"/>
      <c r="AG814" s="3" t="n"/>
      <c r="AH814" s="3" t="n"/>
      <c r="AI814" s="3" t="n"/>
    </row>
    <row r="815" ht="15.75" customHeight="1" s="307">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c r="AC815" s="3" t="n"/>
      <c r="AD815" s="3" t="n"/>
      <c r="AE815" s="3" t="n"/>
      <c r="AF815" s="3" t="n"/>
      <c r="AG815" s="3" t="n"/>
      <c r="AH815" s="3" t="n"/>
      <c r="AI815" s="3" t="n"/>
    </row>
    <row r="816" ht="15.75" customHeight="1" s="307">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c r="AC816" s="3" t="n"/>
      <c r="AD816" s="3" t="n"/>
      <c r="AE816" s="3" t="n"/>
      <c r="AF816" s="3" t="n"/>
      <c r="AG816" s="3" t="n"/>
      <c r="AH816" s="3" t="n"/>
      <c r="AI816" s="3" t="n"/>
    </row>
    <row r="817" ht="15.75" customHeight="1" s="30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c r="AC817" s="3" t="n"/>
      <c r="AD817" s="3" t="n"/>
      <c r="AE817" s="3" t="n"/>
      <c r="AF817" s="3" t="n"/>
      <c r="AG817" s="3" t="n"/>
      <c r="AH817" s="3" t="n"/>
      <c r="AI817" s="3" t="n"/>
    </row>
    <row r="818" ht="15.75" customHeight="1" s="307">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c r="AC818" s="3" t="n"/>
      <c r="AD818" s="3" t="n"/>
      <c r="AE818" s="3" t="n"/>
      <c r="AF818" s="3" t="n"/>
      <c r="AG818" s="3" t="n"/>
      <c r="AH818" s="3" t="n"/>
      <c r="AI818" s="3" t="n"/>
    </row>
    <row r="819" ht="15.75" customHeight="1" s="307">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c r="AD819" s="3" t="n"/>
      <c r="AE819" s="3" t="n"/>
      <c r="AF819" s="3" t="n"/>
      <c r="AG819" s="3" t="n"/>
      <c r="AH819" s="3" t="n"/>
      <c r="AI819" s="3" t="n"/>
    </row>
    <row r="820" ht="15.75" customHeight="1" s="307">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c r="AD820" s="3" t="n"/>
      <c r="AE820" s="3" t="n"/>
      <c r="AF820" s="3" t="n"/>
      <c r="AG820" s="3" t="n"/>
      <c r="AH820" s="3" t="n"/>
      <c r="AI820" s="3" t="n"/>
    </row>
    <row r="821" ht="15.75" customHeight="1" s="307">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c r="AD821" s="3" t="n"/>
      <c r="AE821" s="3" t="n"/>
      <c r="AF821" s="3" t="n"/>
      <c r="AG821" s="3" t="n"/>
      <c r="AH821" s="3" t="n"/>
      <c r="AI821" s="3" t="n"/>
    </row>
    <row r="822" ht="15.75" customHeight="1" s="307">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c r="AC822" s="3" t="n"/>
      <c r="AD822" s="3" t="n"/>
      <c r="AE822" s="3" t="n"/>
      <c r="AF822" s="3" t="n"/>
      <c r="AG822" s="3" t="n"/>
      <c r="AH822" s="3" t="n"/>
      <c r="AI822" s="3" t="n"/>
    </row>
    <row r="823" ht="15.75" customHeight="1" s="307">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c r="AC823" s="3" t="n"/>
      <c r="AD823" s="3" t="n"/>
      <c r="AE823" s="3" t="n"/>
      <c r="AF823" s="3" t="n"/>
      <c r="AG823" s="3" t="n"/>
      <c r="AH823" s="3" t="n"/>
      <c r="AI823" s="3" t="n"/>
    </row>
    <row r="824" ht="15.75" customHeight="1" s="307">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c r="AC824" s="3" t="n"/>
      <c r="AD824" s="3" t="n"/>
      <c r="AE824" s="3" t="n"/>
      <c r="AF824" s="3" t="n"/>
      <c r="AG824" s="3" t="n"/>
      <c r="AH824" s="3" t="n"/>
      <c r="AI824" s="3" t="n"/>
    </row>
    <row r="825" ht="15.75" customHeight="1" s="307">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c r="AC825" s="3" t="n"/>
      <c r="AD825" s="3" t="n"/>
      <c r="AE825" s="3" t="n"/>
      <c r="AF825" s="3" t="n"/>
      <c r="AG825" s="3" t="n"/>
      <c r="AH825" s="3" t="n"/>
      <c r="AI825" s="3" t="n"/>
    </row>
    <row r="826" ht="15.75" customHeight="1" s="307">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c r="AC826" s="3" t="n"/>
      <c r="AD826" s="3" t="n"/>
      <c r="AE826" s="3" t="n"/>
      <c r="AF826" s="3" t="n"/>
      <c r="AG826" s="3" t="n"/>
      <c r="AH826" s="3" t="n"/>
      <c r="AI826" s="3" t="n"/>
    </row>
    <row r="827" ht="15.75" customHeight="1" s="30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c r="AC827" s="3" t="n"/>
      <c r="AD827" s="3" t="n"/>
      <c r="AE827" s="3" t="n"/>
      <c r="AF827" s="3" t="n"/>
      <c r="AG827" s="3" t="n"/>
      <c r="AH827" s="3" t="n"/>
      <c r="AI827" s="3" t="n"/>
    </row>
    <row r="828" ht="15.75" customHeight="1" s="307">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c r="AC828" s="3" t="n"/>
      <c r="AD828" s="3" t="n"/>
      <c r="AE828" s="3" t="n"/>
      <c r="AF828" s="3" t="n"/>
      <c r="AG828" s="3" t="n"/>
      <c r="AH828" s="3" t="n"/>
      <c r="AI828" s="3" t="n"/>
    </row>
    <row r="829" ht="15.75" customHeight="1" s="307">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c r="AC829" s="3" t="n"/>
      <c r="AD829" s="3" t="n"/>
      <c r="AE829" s="3" t="n"/>
      <c r="AF829" s="3" t="n"/>
      <c r="AG829" s="3" t="n"/>
      <c r="AH829" s="3" t="n"/>
      <c r="AI829" s="3" t="n"/>
    </row>
    <row r="830" ht="15.75" customHeight="1" s="307">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c r="AC830" s="3" t="n"/>
      <c r="AD830" s="3" t="n"/>
      <c r="AE830" s="3" t="n"/>
      <c r="AF830" s="3" t="n"/>
      <c r="AG830" s="3" t="n"/>
      <c r="AH830" s="3" t="n"/>
      <c r="AI830" s="3" t="n"/>
    </row>
    <row r="831" ht="15.75" customHeight="1" s="307">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c r="AC831" s="3" t="n"/>
      <c r="AD831" s="3" t="n"/>
      <c r="AE831" s="3" t="n"/>
      <c r="AF831" s="3" t="n"/>
      <c r="AG831" s="3" t="n"/>
      <c r="AH831" s="3" t="n"/>
      <c r="AI831" s="3" t="n"/>
    </row>
    <row r="832" ht="15.75" customHeight="1" s="307">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c r="AC832" s="3" t="n"/>
      <c r="AD832" s="3" t="n"/>
      <c r="AE832" s="3" t="n"/>
      <c r="AF832" s="3" t="n"/>
      <c r="AG832" s="3" t="n"/>
      <c r="AH832" s="3" t="n"/>
      <c r="AI832" s="3" t="n"/>
    </row>
    <row r="833" ht="15.75" customHeight="1" s="307">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c r="AC833" s="3" t="n"/>
      <c r="AD833" s="3" t="n"/>
      <c r="AE833" s="3" t="n"/>
      <c r="AF833" s="3" t="n"/>
      <c r="AG833" s="3" t="n"/>
      <c r="AH833" s="3" t="n"/>
      <c r="AI833" s="3" t="n"/>
    </row>
    <row r="834" ht="15.75" customHeight="1" s="307">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c r="AC834" s="3" t="n"/>
      <c r="AD834" s="3" t="n"/>
      <c r="AE834" s="3" t="n"/>
      <c r="AF834" s="3" t="n"/>
      <c r="AG834" s="3" t="n"/>
      <c r="AH834" s="3" t="n"/>
      <c r="AI834" s="3" t="n"/>
    </row>
    <row r="835" ht="15.75" customHeight="1" s="307">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c r="AC835" s="3" t="n"/>
      <c r="AD835" s="3" t="n"/>
      <c r="AE835" s="3" t="n"/>
      <c r="AF835" s="3" t="n"/>
      <c r="AG835" s="3" t="n"/>
      <c r="AH835" s="3" t="n"/>
      <c r="AI835" s="3" t="n"/>
    </row>
    <row r="836" ht="15.75" customHeight="1" s="307">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c r="AC836" s="3" t="n"/>
      <c r="AD836" s="3" t="n"/>
      <c r="AE836" s="3" t="n"/>
      <c r="AF836" s="3" t="n"/>
      <c r="AG836" s="3" t="n"/>
      <c r="AH836" s="3" t="n"/>
      <c r="AI836" s="3" t="n"/>
    </row>
    <row r="837" ht="15.75" customHeight="1" s="30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c r="AC837" s="3" t="n"/>
      <c r="AD837" s="3" t="n"/>
      <c r="AE837" s="3" t="n"/>
      <c r="AF837" s="3" t="n"/>
      <c r="AG837" s="3" t="n"/>
      <c r="AH837" s="3" t="n"/>
      <c r="AI837" s="3" t="n"/>
    </row>
    <row r="838" ht="15.75" customHeight="1" s="307">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c r="AC838" s="3" t="n"/>
      <c r="AD838" s="3" t="n"/>
      <c r="AE838" s="3" t="n"/>
      <c r="AF838" s="3" t="n"/>
      <c r="AG838" s="3" t="n"/>
      <c r="AH838" s="3" t="n"/>
      <c r="AI838" s="3" t="n"/>
    </row>
    <row r="839" ht="15.75" customHeight="1" s="307">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c r="AC839" s="3" t="n"/>
      <c r="AD839" s="3" t="n"/>
      <c r="AE839" s="3" t="n"/>
      <c r="AF839" s="3" t="n"/>
      <c r="AG839" s="3" t="n"/>
      <c r="AH839" s="3" t="n"/>
      <c r="AI839" s="3" t="n"/>
    </row>
    <row r="840" ht="15.75" customHeight="1" s="307">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c r="AC840" s="3" t="n"/>
      <c r="AD840" s="3" t="n"/>
      <c r="AE840" s="3" t="n"/>
      <c r="AF840" s="3" t="n"/>
      <c r="AG840" s="3" t="n"/>
      <c r="AH840" s="3" t="n"/>
      <c r="AI840" s="3" t="n"/>
    </row>
    <row r="841" ht="15.75" customHeight="1" s="307">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c r="AC841" s="3" t="n"/>
      <c r="AD841" s="3" t="n"/>
      <c r="AE841" s="3" t="n"/>
      <c r="AF841" s="3" t="n"/>
      <c r="AG841" s="3" t="n"/>
      <c r="AH841" s="3" t="n"/>
      <c r="AI841" s="3" t="n"/>
    </row>
    <row r="842" ht="15.75" customHeight="1" s="307">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c r="AC842" s="3" t="n"/>
      <c r="AD842" s="3" t="n"/>
      <c r="AE842" s="3" t="n"/>
      <c r="AF842" s="3" t="n"/>
      <c r="AG842" s="3" t="n"/>
      <c r="AH842" s="3" t="n"/>
      <c r="AI842" s="3" t="n"/>
    </row>
    <row r="843" ht="15.75" customHeight="1" s="307">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c r="AC843" s="3" t="n"/>
      <c r="AD843" s="3" t="n"/>
      <c r="AE843" s="3" t="n"/>
      <c r="AF843" s="3" t="n"/>
      <c r="AG843" s="3" t="n"/>
      <c r="AH843" s="3" t="n"/>
      <c r="AI843" s="3" t="n"/>
    </row>
    <row r="844" ht="15.75" customHeight="1" s="307">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c r="AC844" s="3" t="n"/>
      <c r="AD844" s="3" t="n"/>
      <c r="AE844" s="3" t="n"/>
      <c r="AF844" s="3" t="n"/>
      <c r="AG844" s="3" t="n"/>
      <c r="AH844" s="3" t="n"/>
      <c r="AI844" s="3" t="n"/>
    </row>
    <row r="845" ht="15.75" customHeight="1" s="307">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c r="AC845" s="3" t="n"/>
      <c r="AD845" s="3" t="n"/>
      <c r="AE845" s="3" t="n"/>
      <c r="AF845" s="3" t="n"/>
      <c r="AG845" s="3" t="n"/>
      <c r="AH845" s="3" t="n"/>
      <c r="AI845" s="3" t="n"/>
    </row>
    <row r="846" ht="15.75" customHeight="1" s="307">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c r="AC846" s="3" t="n"/>
      <c r="AD846" s="3" t="n"/>
      <c r="AE846" s="3" t="n"/>
      <c r="AF846" s="3" t="n"/>
      <c r="AG846" s="3" t="n"/>
      <c r="AH846" s="3" t="n"/>
      <c r="AI846" s="3" t="n"/>
    </row>
    <row r="847" ht="15.75" customHeight="1" s="30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c r="AC847" s="3" t="n"/>
      <c r="AD847" s="3" t="n"/>
      <c r="AE847" s="3" t="n"/>
      <c r="AF847" s="3" t="n"/>
      <c r="AG847" s="3" t="n"/>
      <c r="AH847" s="3" t="n"/>
      <c r="AI847" s="3" t="n"/>
    </row>
    <row r="848" ht="15.75" customHeight="1" s="307">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c r="AC848" s="3" t="n"/>
      <c r="AD848" s="3" t="n"/>
      <c r="AE848" s="3" t="n"/>
      <c r="AF848" s="3" t="n"/>
      <c r="AG848" s="3" t="n"/>
      <c r="AH848" s="3" t="n"/>
      <c r="AI848" s="3" t="n"/>
    </row>
    <row r="849" ht="15.75" customHeight="1" s="307">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c r="AC849" s="3" t="n"/>
      <c r="AD849" s="3" t="n"/>
      <c r="AE849" s="3" t="n"/>
      <c r="AF849" s="3" t="n"/>
      <c r="AG849" s="3" t="n"/>
      <c r="AH849" s="3" t="n"/>
      <c r="AI849" s="3" t="n"/>
    </row>
    <row r="850" ht="15.75" customHeight="1" s="307">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c r="AC850" s="3" t="n"/>
      <c r="AD850" s="3" t="n"/>
      <c r="AE850" s="3" t="n"/>
      <c r="AF850" s="3" t="n"/>
      <c r="AG850" s="3" t="n"/>
      <c r="AH850" s="3" t="n"/>
      <c r="AI850" s="3" t="n"/>
    </row>
    <row r="851" ht="15.75" customHeight="1" s="307">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c r="AC851" s="3" t="n"/>
      <c r="AD851" s="3" t="n"/>
      <c r="AE851" s="3" t="n"/>
      <c r="AF851" s="3" t="n"/>
      <c r="AG851" s="3" t="n"/>
      <c r="AH851" s="3" t="n"/>
      <c r="AI851" s="3" t="n"/>
    </row>
    <row r="852" ht="15.75" customHeight="1" s="307">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c r="AC852" s="3" t="n"/>
      <c r="AD852" s="3" t="n"/>
      <c r="AE852" s="3" t="n"/>
      <c r="AF852" s="3" t="n"/>
      <c r="AG852" s="3" t="n"/>
      <c r="AH852" s="3" t="n"/>
      <c r="AI852" s="3" t="n"/>
    </row>
    <row r="853" ht="15.75" customHeight="1" s="307">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c r="AC853" s="3" t="n"/>
      <c r="AD853" s="3" t="n"/>
      <c r="AE853" s="3" t="n"/>
      <c r="AF853" s="3" t="n"/>
      <c r="AG853" s="3" t="n"/>
      <c r="AH853" s="3" t="n"/>
      <c r="AI853" s="3" t="n"/>
    </row>
    <row r="854" ht="15.75" customHeight="1" s="307">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c r="AC854" s="3" t="n"/>
      <c r="AD854" s="3" t="n"/>
      <c r="AE854" s="3" t="n"/>
      <c r="AF854" s="3" t="n"/>
      <c r="AG854" s="3" t="n"/>
      <c r="AH854" s="3" t="n"/>
      <c r="AI854" s="3" t="n"/>
    </row>
    <row r="855" ht="15.75" customHeight="1" s="307">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c r="AC855" s="3" t="n"/>
      <c r="AD855" s="3" t="n"/>
      <c r="AE855" s="3" t="n"/>
      <c r="AF855" s="3" t="n"/>
      <c r="AG855" s="3" t="n"/>
      <c r="AH855" s="3" t="n"/>
      <c r="AI855" s="3" t="n"/>
    </row>
    <row r="856" ht="15.75" customHeight="1" s="307">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c r="AC856" s="3" t="n"/>
      <c r="AD856" s="3" t="n"/>
      <c r="AE856" s="3" t="n"/>
      <c r="AF856" s="3" t="n"/>
      <c r="AG856" s="3" t="n"/>
      <c r="AH856" s="3" t="n"/>
      <c r="AI856" s="3" t="n"/>
    </row>
    <row r="857" ht="15.75" customHeight="1" s="30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c r="AC857" s="3" t="n"/>
      <c r="AD857" s="3" t="n"/>
      <c r="AE857" s="3" t="n"/>
      <c r="AF857" s="3" t="n"/>
      <c r="AG857" s="3" t="n"/>
      <c r="AH857" s="3" t="n"/>
      <c r="AI857" s="3" t="n"/>
    </row>
    <row r="858" ht="15.75" customHeight="1" s="307">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c r="AC858" s="3" t="n"/>
      <c r="AD858" s="3" t="n"/>
      <c r="AE858" s="3" t="n"/>
      <c r="AF858" s="3" t="n"/>
      <c r="AG858" s="3" t="n"/>
      <c r="AH858" s="3" t="n"/>
      <c r="AI858" s="3" t="n"/>
    </row>
    <row r="859" ht="15.75" customHeight="1" s="307">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c r="AC859" s="3" t="n"/>
      <c r="AD859" s="3" t="n"/>
      <c r="AE859" s="3" t="n"/>
      <c r="AF859" s="3" t="n"/>
      <c r="AG859" s="3" t="n"/>
      <c r="AH859" s="3" t="n"/>
      <c r="AI859" s="3" t="n"/>
    </row>
    <row r="860" ht="15.75" customHeight="1" s="307">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c r="AC860" s="3" t="n"/>
      <c r="AD860" s="3" t="n"/>
      <c r="AE860" s="3" t="n"/>
      <c r="AF860" s="3" t="n"/>
      <c r="AG860" s="3" t="n"/>
      <c r="AH860" s="3" t="n"/>
      <c r="AI860" s="3" t="n"/>
    </row>
    <row r="861" ht="15.75" customHeight="1" s="307">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c r="AC861" s="3" t="n"/>
      <c r="AD861" s="3" t="n"/>
      <c r="AE861" s="3" t="n"/>
      <c r="AF861" s="3" t="n"/>
      <c r="AG861" s="3" t="n"/>
      <c r="AH861" s="3" t="n"/>
      <c r="AI861" s="3" t="n"/>
    </row>
    <row r="862" ht="15.75" customHeight="1" s="307">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c r="AC862" s="3" t="n"/>
      <c r="AD862" s="3" t="n"/>
      <c r="AE862" s="3" t="n"/>
      <c r="AF862" s="3" t="n"/>
      <c r="AG862" s="3" t="n"/>
      <c r="AH862" s="3" t="n"/>
      <c r="AI862" s="3" t="n"/>
    </row>
    <row r="863" ht="15.75" customHeight="1" s="307">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c r="AC863" s="3" t="n"/>
      <c r="AD863" s="3" t="n"/>
      <c r="AE863" s="3" t="n"/>
      <c r="AF863" s="3" t="n"/>
      <c r="AG863" s="3" t="n"/>
      <c r="AH863" s="3" t="n"/>
      <c r="AI863" s="3" t="n"/>
    </row>
    <row r="864" ht="15.75" customHeight="1" s="307">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c r="AC864" s="3" t="n"/>
      <c r="AD864" s="3" t="n"/>
      <c r="AE864" s="3" t="n"/>
      <c r="AF864" s="3" t="n"/>
      <c r="AG864" s="3" t="n"/>
      <c r="AH864" s="3" t="n"/>
      <c r="AI864" s="3" t="n"/>
    </row>
    <row r="865" ht="15.75" customHeight="1" s="307">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c r="AC865" s="3" t="n"/>
      <c r="AD865" s="3" t="n"/>
      <c r="AE865" s="3" t="n"/>
      <c r="AF865" s="3" t="n"/>
      <c r="AG865" s="3" t="n"/>
      <c r="AH865" s="3" t="n"/>
      <c r="AI865" s="3" t="n"/>
    </row>
    <row r="866" ht="15.75" customHeight="1" s="307">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c r="AC866" s="3" t="n"/>
      <c r="AD866" s="3" t="n"/>
      <c r="AE866" s="3" t="n"/>
      <c r="AF866" s="3" t="n"/>
      <c r="AG866" s="3" t="n"/>
      <c r="AH866" s="3" t="n"/>
      <c r="AI866" s="3" t="n"/>
    </row>
    <row r="867" ht="15.75" customHeight="1" s="30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c r="AC867" s="3" t="n"/>
      <c r="AD867" s="3" t="n"/>
      <c r="AE867" s="3" t="n"/>
      <c r="AF867" s="3" t="n"/>
      <c r="AG867" s="3" t="n"/>
      <c r="AH867" s="3" t="n"/>
      <c r="AI867" s="3" t="n"/>
    </row>
    <row r="868" ht="15.75" customHeight="1" s="307">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c r="AC868" s="3" t="n"/>
      <c r="AD868" s="3" t="n"/>
      <c r="AE868" s="3" t="n"/>
      <c r="AF868" s="3" t="n"/>
      <c r="AG868" s="3" t="n"/>
      <c r="AH868" s="3" t="n"/>
      <c r="AI868" s="3" t="n"/>
    </row>
    <row r="869" ht="15.75" customHeight="1" s="307">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c r="AC869" s="3" t="n"/>
      <c r="AD869" s="3" t="n"/>
      <c r="AE869" s="3" t="n"/>
      <c r="AF869" s="3" t="n"/>
      <c r="AG869" s="3" t="n"/>
      <c r="AH869" s="3" t="n"/>
      <c r="AI869" s="3" t="n"/>
    </row>
    <row r="870" ht="15.75" customHeight="1" s="307">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c r="AC870" s="3" t="n"/>
      <c r="AD870" s="3" t="n"/>
      <c r="AE870" s="3" t="n"/>
      <c r="AF870" s="3" t="n"/>
      <c r="AG870" s="3" t="n"/>
      <c r="AH870" s="3" t="n"/>
      <c r="AI870" s="3" t="n"/>
    </row>
    <row r="871" ht="15.75" customHeight="1" s="307">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c r="AD871" s="3" t="n"/>
      <c r="AE871" s="3" t="n"/>
      <c r="AF871" s="3" t="n"/>
      <c r="AG871" s="3" t="n"/>
      <c r="AH871" s="3" t="n"/>
      <c r="AI871" s="3" t="n"/>
    </row>
    <row r="872" ht="15.75" customHeight="1" s="307">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c r="AC872" s="3" t="n"/>
      <c r="AD872" s="3" t="n"/>
      <c r="AE872" s="3" t="n"/>
      <c r="AF872" s="3" t="n"/>
      <c r="AG872" s="3" t="n"/>
      <c r="AH872" s="3" t="n"/>
      <c r="AI872" s="3" t="n"/>
    </row>
    <row r="873" ht="15.75" customHeight="1" s="307">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c r="AC873" s="3" t="n"/>
      <c r="AD873" s="3" t="n"/>
      <c r="AE873" s="3" t="n"/>
      <c r="AF873" s="3" t="n"/>
      <c r="AG873" s="3" t="n"/>
      <c r="AH873" s="3" t="n"/>
      <c r="AI873" s="3" t="n"/>
    </row>
    <row r="874" ht="15.75" customHeight="1" s="307">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c r="AC874" s="3" t="n"/>
      <c r="AD874" s="3" t="n"/>
      <c r="AE874" s="3" t="n"/>
      <c r="AF874" s="3" t="n"/>
      <c r="AG874" s="3" t="n"/>
      <c r="AH874" s="3" t="n"/>
      <c r="AI874" s="3" t="n"/>
    </row>
    <row r="875" ht="15.75" customHeight="1" s="307">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c r="AC875" s="3" t="n"/>
      <c r="AD875" s="3" t="n"/>
      <c r="AE875" s="3" t="n"/>
      <c r="AF875" s="3" t="n"/>
      <c r="AG875" s="3" t="n"/>
      <c r="AH875" s="3" t="n"/>
      <c r="AI875" s="3" t="n"/>
    </row>
    <row r="876" ht="15.75" customHeight="1" s="307">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c r="AC876" s="3" t="n"/>
      <c r="AD876" s="3" t="n"/>
      <c r="AE876" s="3" t="n"/>
      <c r="AF876" s="3" t="n"/>
      <c r="AG876" s="3" t="n"/>
      <c r="AH876" s="3" t="n"/>
      <c r="AI876" s="3" t="n"/>
    </row>
    <row r="877" ht="15.75" customHeight="1" s="30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c r="AC877" s="3" t="n"/>
      <c r="AD877" s="3" t="n"/>
      <c r="AE877" s="3" t="n"/>
      <c r="AF877" s="3" t="n"/>
      <c r="AG877" s="3" t="n"/>
      <c r="AH877" s="3" t="n"/>
      <c r="AI877" s="3" t="n"/>
    </row>
    <row r="878" ht="15.75" customHeight="1" s="307">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c r="AC878" s="3" t="n"/>
      <c r="AD878" s="3" t="n"/>
      <c r="AE878" s="3" t="n"/>
      <c r="AF878" s="3" t="n"/>
      <c r="AG878" s="3" t="n"/>
      <c r="AH878" s="3" t="n"/>
      <c r="AI878" s="3" t="n"/>
    </row>
    <row r="879" ht="15.75" customHeight="1" s="307">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c r="AC879" s="3" t="n"/>
      <c r="AD879" s="3" t="n"/>
      <c r="AE879" s="3" t="n"/>
      <c r="AF879" s="3" t="n"/>
      <c r="AG879" s="3" t="n"/>
      <c r="AH879" s="3" t="n"/>
      <c r="AI879" s="3" t="n"/>
    </row>
    <row r="880" ht="15.75" customHeight="1" s="307">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c r="AC880" s="3" t="n"/>
      <c r="AD880" s="3" t="n"/>
      <c r="AE880" s="3" t="n"/>
      <c r="AF880" s="3" t="n"/>
      <c r="AG880" s="3" t="n"/>
      <c r="AH880" s="3" t="n"/>
      <c r="AI880" s="3" t="n"/>
    </row>
    <row r="881" ht="15.75" customHeight="1" s="307">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c r="AC881" s="3" t="n"/>
      <c r="AD881" s="3" t="n"/>
      <c r="AE881" s="3" t="n"/>
      <c r="AF881" s="3" t="n"/>
      <c r="AG881" s="3" t="n"/>
      <c r="AH881" s="3" t="n"/>
      <c r="AI881" s="3" t="n"/>
    </row>
    <row r="882" ht="15.75" customHeight="1" s="307">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c r="AC882" s="3" t="n"/>
      <c r="AD882" s="3" t="n"/>
      <c r="AE882" s="3" t="n"/>
      <c r="AF882" s="3" t="n"/>
      <c r="AG882" s="3" t="n"/>
      <c r="AH882" s="3" t="n"/>
      <c r="AI882" s="3" t="n"/>
    </row>
    <row r="883" ht="15.75" customHeight="1" s="307">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c r="AC883" s="3" t="n"/>
      <c r="AD883" s="3" t="n"/>
      <c r="AE883" s="3" t="n"/>
      <c r="AF883" s="3" t="n"/>
      <c r="AG883" s="3" t="n"/>
      <c r="AH883" s="3" t="n"/>
      <c r="AI883" s="3" t="n"/>
    </row>
    <row r="884" ht="15.75" customHeight="1" s="307">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c r="AC884" s="3" t="n"/>
      <c r="AD884" s="3" t="n"/>
      <c r="AE884" s="3" t="n"/>
      <c r="AF884" s="3" t="n"/>
      <c r="AG884" s="3" t="n"/>
      <c r="AH884" s="3" t="n"/>
      <c r="AI884" s="3" t="n"/>
    </row>
    <row r="885" ht="15.75" customHeight="1" s="307">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c r="AD885" s="3" t="n"/>
      <c r="AE885" s="3" t="n"/>
      <c r="AF885" s="3" t="n"/>
      <c r="AG885" s="3" t="n"/>
      <c r="AH885" s="3" t="n"/>
      <c r="AI885" s="3" t="n"/>
    </row>
    <row r="886" ht="15.75" customHeight="1" s="307">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c r="AC886" s="3" t="n"/>
      <c r="AD886" s="3" t="n"/>
      <c r="AE886" s="3" t="n"/>
      <c r="AF886" s="3" t="n"/>
      <c r="AG886" s="3" t="n"/>
      <c r="AH886" s="3" t="n"/>
      <c r="AI886" s="3" t="n"/>
    </row>
    <row r="887" ht="15.75" customHeight="1" s="30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c r="AC887" s="3" t="n"/>
      <c r="AD887" s="3" t="n"/>
      <c r="AE887" s="3" t="n"/>
      <c r="AF887" s="3" t="n"/>
      <c r="AG887" s="3" t="n"/>
      <c r="AH887" s="3" t="n"/>
      <c r="AI887" s="3" t="n"/>
    </row>
    <row r="888" ht="15.75" customHeight="1" s="307">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c r="AC888" s="3" t="n"/>
      <c r="AD888" s="3" t="n"/>
      <c r="AE888" s="3" t="n"/>
      <c r="AF888" s="3" t="n"/>
      <c r="AG888" s="3" t="n"/>
      <c r="AH888" s="3" t="n"/>
      <c r="AI888" s="3" t="n"/>
    </row>
    <row r="889" ht="15.75" customHeight="1" s="307">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c r="AC889" s="3" t="n"/>
      <c r="AD889" s="3" t="n"/>
      <c r="AE889" s="3" t="n"/>
      <c r="AF889" s="3" t="n"/>
      <c r="AG889" s="3" t="n"/>
      <c r="AH889" s="3" t="n"/>
      <c r="AI889" s="3" t="n"/>
    </row>
    <row r="890" ht="15.75" customHeight="1" s="307">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c r="AC890" s="3" t="n"/>
      <c r="AD890" s="3" t="n"/>
      <c r="AE890" s="3" t="n"/>
      <c r="AF890" s="3" t="n"/>
      <c r="AG890" s="3" t="n"/>
      <c r="AH890" s="3" t="n"/>
      <c r="AI890" s="3" t="n"/>
    </row>
    <row r="891" ht="15.75" customHeight="1" s="307">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c r="AC891" s="3" t="n"/>
      <c r="AD891" s="3" t="n"/>
      <c r="AE891" s="3" t="n"/>
      <c r="AF891" s="3" t="n"/>
      <c r="AG891" s="3" t="n"/>
      <c r="AH891" s="3" t="n"/>
      <c r="AI891" s="3" t="n"/>
    </row>
    <row r="892" ht="15.75" customHeight="1" s="307">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c r="AC892" s="3" t="n"/>
      <c r="AD892" s="3" t="n"/>
      <c r="AE892" s="3" t="n"/>
      <c r="AF892" s="3" t="n"/>
      <c r="AG892" s="3" t="n"/>
      <c r="AH892" s="3" t="n"/>
      <c r="AI892" s="3" t="n"/>
    </row>
    <row r="893" ht="15.75" customHeight="1" s="307">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c r="AC893" s="3" t="n"/>
      <c r="AD893" s="3" t="n"/>
      <c r="AE893" s="3" t="n"/>
      <c r="AF893" s="3" t="n"/>
      <c r="AG893" s="3" t="n"/>
      <c r="AH893" s="3" t="n"/>
      <c r="AI893" s="3" t="n"/>
    </row>
    <row r="894" ht="15.75" customHeight="1" s="307">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c r="AC894" s="3" t="n"/>
      <c r="AD894" s="3" t="n"/>
      <c r="AE894" s="3" t="n"/>
      <c r="AF894" s="3" t="n"/>
      <c r="AG894" s="3" t="n"/>
      <c r="AH894" s="3" t="n"/>
      <c r="AI894" s="3" t="n"/>
    </row>
    <row r="895" ht="15.75" customHeight="1" s="307">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c r="AC895" s="3" t="n"/>
      <c r="AD895" s="3" t="n"/>
      <c r="AE895" s="3" t="n"/>
      <c r="AF895" s="3" t="n"/>
      <c r="AG895" s="3" t="n"/>
      <c r="AH895" s="3" t="n"/>
      <c r="AI895" s="3" t="n"/>
    </row>
    <row r="896" ht="15.75" customHeight="1" s="307">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c r="AC896" s="3" t="n"/>
      <c r="AD896" s="3" t="n"/>
      <c r="AE896" s="3" t="n"/>
      <c r="AF896" s="3" t="n"/>
      <c r="AG896" s="3" t="n"/>
      <c r="AH896" s="3" t="n"/>
      <c r="AI896" s="3" t="n"/>
    </row>
    <row r="897" ht="15.75" customHeight="1" s="30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c r="AC897" s="3" t="n"/>
      <c r="AD897" s="3" t="n"/>
      <c r="AE897" s="3" t="n"/>
      <c r="AF897" s="3" t="n"/>
      <c r="AG897" s="3" t="n"/>
      <c r="AH897" s="3" t="n"/>
      <c r="AI897" s="3" t="n"/>
    </row>
    <row r="898" ht="15.75" customHeight="1" s="307">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c r="AC898" s="3" t="n"/>
      <c r="AD898" s="3" t="n"/>
      <c r="AE898" s="3" t="n"/>
      <c r="AF898" s="3" t="n"/>
      <c r="AG898" s="3" t="n"/>
      <c r="AH898" s="3" t="n"/>
      <c r="AI898" s="3" t="n"/>
    </row>
    <row r="899" ht="15.75" customHeight="1" s="307">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c r="AC899" s="3" t="n"/>
      <c r="AD899" s="3" t="n"/>
      <c r="AE899" s="3" t="n"/>
      <c r="AF899" s="3" t="n"/>
      <c r="AG899" s="3" t="n"/>
      <c r="AH899" s="3" t="n"/>
      <c r="AI899" s="3" t="n"/>
    </row>
    <row r="900" ht="15.75" customHeight="1" s="307">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c r="AC900" s="3" t="n"/>
      <c r="AD900" s="3" t="n"/>
      <c r="AE900" s="3" t="n"/>
      <c r="AF900" s="3" t="n"/>
      <c r="AG900" s="3" t="n"/>
      <c r="AH900" s="3" t="n"/>
      <c r="AI900" s="3" t="n"/>
    </row>
    <row r="901" ht="15.75" customHeight="1" s="307">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c r="AC901" s="3" t="n"/>
      <c r="AD901" s="3" t="n"/>
      <c r="AE901" s="3" t="n"/>
      <c r="AF901" s="3" t="n"/>
      <c r="AG901" s="3" t="n"/>
      <c r="AH901" s="3" t="n"/>
      <c r="AI901" s="3" t="n"/>
    </row>
    <row r="902" ht="15.75" customHeight="1" s="307">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c r="AC902" s="3" t="n"/>
      <c r="AD902" s="3" t="n"/>
      <c r="AE902" s="3" t="n"/>
      <c r="AF902" s="3" t="n"/>
      <c r="AG902" s="3" t="n"/>
      <c r="AH902" s="3" t="n"/>
      <c r="AI902" s="3" t="n"/>
    </row>
    <row r="903" ht="15.75" customHeight="1" s="307">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c r="AC903" s="3" t="n"/>
      <c r="AD903" s="3" t="n"/>
      <c r="AE903" s="3" t="n"/>
      <c r="AF903" s="3" t="n"/>
      <c r="AG903" s="3" t="n"/>
      <c r="AH903" s="3" t="n"/>
      <c r="AI903" s="3" t="n"/>
    </row>
    <row r="904" ht="15.75" customHeight="1" s="307">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c r="AC904" s="3" t="n"/>
      <c r="AD904" s="3" t="n"/>
      <c r="AE904" s="3" t="n"/>
      <c r="AF904" s="3" t="n"/>
      <c r="AG904" s="3" t="n"/>
      <c r="AH904" s="3" t="n"/>
      <c r="AI904" s="3" t="n"/>
    </row>
    <row r="905" ht="15.75" customHeight="1" s="307">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c r="AC905" s="3" t="n"/>
      <c r="AD905" s="3" t="n"/>
      <c r="AE905" s="3" t="n"/>
      <c r="AF905" s="3" t="n"/>
      <c r="AG905" s="3" t="n"/>
      <c r="AH905" s="3" t="n"/>
      <c r="AI905" s="3" t="n"/>
    </row>
    <row r="906" ht="15.75" customHeight="1" s="307">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c r="AC906" s="3" t="n"/>
      <c r="AD906" s="3" t="n"/>
      <c r="AE906" s="3" t="n"/>
      <c r="AF906" s="3" t="n"/>
      <c r="AG906" s="3" t="n"/>
      <c r="AH906" s="3" t="n"/>
      <c r="AI906" s="3" t="n"/>
    </row>
    <row r="907" ht="15.75" customHeight="1" s="3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c r="AC907" s="3" t="n"/>
      <c r="AD907" s="3" t="n"/>
      <c r="AE907" s="3" t="n"/>
      <c r="AF907" s="3" t="n"/>
      <c r="AG907" s="3" t="n"/>
      <c r="AH907" s="3" t="n"/>
      <c r="AI907" s="3" t="n"/>
    </row>
    <row r="908" ht="15.75" customHeight="1" s="307">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c r="AC908" s="3" t="n"/>
      <c r="AD908" s="3" t="n"/>
      <c r="AE908" s="3" t="n"/>
      <c r="AF908" s="3" t="n"/>
      <c r="AG908" s="3" t="n"/>
      <c r="AH908" s="3" t="n"/>
      <c r="AI908" s="3" t="n"/>
    </row>
    <row r="909" ht="15.75" customHeight="1" s="307">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c r="AC909" s="3" t="n"/>
      <c r="AD909" s="3" t="n"/>
      <c r="AE909" s="3" t="n"/>
      <c r="AF909" s="3" t="n"/>
      <c r="AG909" s="3" t="n"/>
      <c r="AH909" s="3" t="n"/>
      <c r="AI909" s="3" t="n"/>
    </row>
    <row r="910" ht="15.75" customHeight="1" s="307">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c r="AD910" s="3" t="n"/>
      <c r="AE910" s="3" t="n"/>
      <c r="AF910" s="3" t="n"/>
      <c r="AG910" s="3" t="n"/>
      <c r="AH910" s="3" t="n"/>
      <c r="AI910" s="3" t="n"/>
    </row>
    <row r="911" ht="15.75" customHeight="1" s="307">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c r="AD911" s="3" t="n"/>
      <c r="AE911" s="3" t="n"/>
      <c r="AF911" s="3" t="n"/>
      <c r="AG911" s="3" t="n"/>
      <c r="AH911" s="3" t="n"/>
      <c r="AI911" s="3" t="n"/>
    </row>
    <row r="912" ht="15.75" customHeight="1" s="307">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c r="AD912" s="3" t="n"/>
      <c r="AE912" s="3" t="n"/>
      <c r="AF912" s="3" t="n"/>
      <c r="AG912" s="3" t="n"/>
      <c r="AH912" s="3" t="n"/>
      <c r="AI912" s="3" t="n"/>
    </row>
    <row r="913" ht="15.75" customHeight="1" s="307">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c r="AC913" s="3" t="n"/>
      <c r="AD913" s="3" t="n"/>
      <c r="AE913" s="3" t="n"/>
      <c r="AF913" s="3" t="n"/>
      <c r="AG913" s="3" t="n"/>
      <c r="AH913" s="3" t="n"/>
      <c r="AI913" s="3" t="n"/>
    </row>
    <row r="914" ht="15.75" customHeight="1" s="307">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c r="AC914" s="3" t="n"/>
      <c r="AD914" s="3" t="n"/>
      <c r="AE914" s="3" t="n"/>
      <c r="AF914" s="3" t="n"/>
      <c r="AG914" s="3" t="n"/>
      <c r="AH914" s="3" t="n"/>
      <c r="AI914" s="3" t="n"/>
    </row>
    <row r="915" ht="15.75" customHeight="1" s="307">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c r="AC915" s="3" t="n"/>
      <c r="AD915" s="3" t="n"/>
      <c r="AE915" s="3" t="n"/>
      <c r="AF915" s="3" t="n"/>
      <c r="AG915" s="3" t="n"/>
      <c r="AH915" s="3" t="n"/>
      <c r="AI915" s="3" t="n"/>
    </row>
    <row r="916" ht="15.75" customHeight="1" s="307">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c r="AC916" s="3" t="n"/>
      <c r="AD916" s="3" t="n"/>
      <c r="AE916" s="3" t="n"/>
      <c r="AF916" s="3" t="n"/>
      <c r="AG916" s="3" t="n"/>
      <c r="AH916" s="3" t="n"/>
      <c r="AI916" s="3" t="n"/>
    </row>
    <row r="917" ht="15.75" customHeight="1" s="30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c r="AC917" s="3" t="n"/>
      <c r="AD917" s="3" t="n"/>
      <c r="AE917" s="3" t="n"/>
      <c r="AF917" s="3" t="n"/>
      <c r="AG917" s="3" t="n"/>
      <c r="AH917" s="3" t="n"/>
      <c r="AI917" s="3" t="n"/>
    </row>
    <row r="918" ht="15.75" customHeight="1" s="307">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c r="AC918" s="3" t="n"/>
      <c r="AD918" s="3" t="n"/>
      <c r="AE918" s="3" t="n"/>
      <c r="AF918" s="3" t="n"/>
      <c r="AG918" s="3" t="n"/>
      <c r="AH918" s="3" t="n"/>
      <c r="AI918" s="3" t="n"/>
    </row>
    <row r="919" ht="15.75" customHeight="1" s="307">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c r="AC919" s="3" t="n"/>
      <c r="AD919" s="3" t="n"/>
      <c r="AE919" s="3" t="n"/>
      <c r="AF919" s="3" t="n"/>
      <c r="AG919" s="3" t="n"/>
      <c r="AH919" s="3" t="n"/>
      <c r="AI919" s="3" t="n"/>
    </row>
    <row r="920" ht="15.75" customHeight="1" s="307">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c r="AC920" s="3" t="n"/>
      <c r="AD920" s="3" t="n"/>
      <c r="AE920" s="3" t="n"/>
      <c r="AF920" s="3" t="n"/>
      <c r="AG920" s="3" t="n"/>
      <c r="AH920" s="3" t="n"/>
      <c r="AI920" s="3" t="n"/>
    </row>
    <row r="921" ht="15.75" customHeight="1" s="307">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c r="AC921" s="3" t="n"/>
      <c r="AD921" s="3" t="n"/>
      <c r="AE921" s="3" t="n"/>
      <c r="AF921" s="3" t="n"/>
      <c r="AG921" s="3" t="n"/>
      <c r="AH921" s="3" t="n"/>
      <c r="AI921" s="3" t="n"/>
    </row>
    <row r="922" ht="15.75" customHeight="1" s="307">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c r="AC922" s="3" t="n"/>
      <c r="AD922" s="3" t="n"/>
      <c r="AE922" s="3" t="n"/>
      <c r="AF922" s="3" t="n"/>
      <c r="AG922" s="3" t="n"/>
      <c r="AH922" s="3" t="n"/>
      <c r="AI922" s="3" t="n"/>
    </row>
    <row r="923" ht="15.75" customHeight="1" s="307">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c r="AC923" s="3" t="n"/>
      <c r="AD923" s="3" t="n"/>
      <c r="AE923" s="3" t="n"/>
      <c r="AF923" s="3" t="n"/>
      <c r="AG923" s="3" t="n"/>
      <c r="AH923" s="3" t="n"/>
      <c r="AI923" s="3" t="n"/>
    </row>
    <row r="924" ht="15.75" customHeight="1" s="307">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c r="AC924" s="3" t="n"/>
      <c r="AD924" s="3" t="n"/>
      <c r="AE924" s="3" t="n"/>
      <c r="AF924" s="3" t="n"/>
      <c r="AG924" s="3" t="n"/>
      <c r="AH924" s="3" t="n"/>
      <c r="AI924" s="3" t="n"/>
    </row>
    <row r="925" ht="15.75" customHeight="1" s="307">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c r="AC925" s="3" t="n"/>
      <c r="AD925" s="3" t="n"/>
      <c r="AE925" s="3" t="n"/>
      <c r="AF925" s="3" t="n"/>
      <c r="AG925" s="3" t="n"/>
      <c r="AH925" s="3" t="n"/>
      <c r="AI925" s="3" t="n"/>
    </row>
    <row r="926" ht="15.75" customHeight="1" s="307">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c r="AC926" s="3" t="n"/>
      <c r="AD926" s="3" t="n"/>
      <c r="AE926" s="3" t="n"/>
      <c r="AF926" s="3" t="n"/>
      <c r="AG926" s="3" t="n"/>
      <c r="AH926" s="3" t="n"/>
      <c r="AI926" s="3" t="n"/>
    </row>
    <row r="927" ht="15.75" customHeight="1" s="30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c r="AC927" s="3" t="n"/>
      <c r="AD927" s="3" t="n"/>
      <c r="AE927" s="3" t="n"/>
      <c r="AF927" s="3" t="n"/>
      <c r="AG927" s="3" t="n"/>
      <c r="AH927" s="3" t="n"/>
      <c r="AI927" s="3" t="n"/>
    </row>
    <row r="928" ht="15.75" customHeight="1" s="307">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c r="AC928" s="3" t="n"/>
      <c r="AD928" s="3" t="n"/>
      <c r="AE928" s="3" t="n"/>
      <c r="AF928" s="3" t="n"/>
      <c r="AG928" s="3" t="n"/>
      <c r="AH928" s="3" t="n"/>
      <c r="AI928" s="3" t="n"/>
    </row>
    <row r="929" ht="15.75" customHeight="1" s="307">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c r="AC929" s="3" t="n"/>
      <c r="AD929" s="3" t="n"/>
      <c r="AE929" s="3" t="n"/>
      <c r="AF929" s="3" t="n"/>
      <c r="AG929" s="3" t="n"/>
      <c r="AH929" s="3" t="n"/>
      <c r="AI929" s="3" t="n"/>
    </row>
    <row r="930" ht="15.75" customHeight="1" s="307">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c r="AC930" s="3" t="n"/>
      <c r="AD930" s="3" t="n"/>
      <c r="AE930" s="3" t="n"/>
      <c r="AF930" s="3" t="n"/>
      <c r="AG930" s="3" t="n"/>
      <c r="AH930" s="3" t="n"/>
      <c r="AI930" s="3" t="n"/>
    </row>
    <row r="931" ht="15.75" customHeight="1" s="307">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c r="AC931" s="3" t="n"/>
      <c r="AD931" s="3" t="n"/>
      <c r="AE931" s="3" t="n"/>
      <c r="AF931" s="3" t="n"/>
      <c r="AG931" s="3" t="n"/>
      <c r="AH931" s="3" t="n"/>
      <c r="AI931" s="3" t="n"/>
    </row>
    <row r="932" ht="15.75" customHeight="1" s="307">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c r="AC932" s="3" t="n"/>
      <c r="AD932" s="3" t="n"/>
      <c r="AE932" s="3" t="n"/>
      <c r="AF932" s="3" t="n"/>
      <c r="AG932" s="3" t="n"/>
      <c r="AH932" s="3" t="n"/>
      <c r="AI932" s="3" t="n"/>
    </row>
    <row r="933" ht="15.75" customHeight="1" s="307">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c r="AC933" s="3" t="n"/>
      <c r="AD933" s="3" t="n"/>
      <c r="AE933" s="3" t="n"/>
      <c r="AF933" s="3" t="n"/>
      <c r="AG933" s="3" t="n"/>
      <c r="AH933" s="3" t="n"/>
      <c r="AI933" s="3" t="n"/>
    </row>
    <row r="934" ht="15.75" customHeight="1" s="307">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c r="AC934" s="3" t="n"/>
      <c r="AD934" s="3" t="n"/>
      <c r="AE934" s="3" t="n"/>
      <c r="AF934" s="3" t="n"/>
      <c r="AG934" s="3" t="n"/>
      <c r="AH934" s="3" t="n"/>
      <c r="AI934" s="3" t="n"/>
    </row>
    <row r="935" ht="15.75" customHeight="1" s="307">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c r="AD935" s="3" t="n"/>
      <c r="AE935" s="3" t="n"/>
      <c r="AF935" s="3" t="n"/>
      <c r="AG935" s="3" t="n"/>
      <c r="AH935" s="3" t="n"/>
      <c r="AI935" s="3" t="n"/>
    </row>
    <row r="936" ht="15.75" customHeight="1" s="307">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c r="AC936" s="3" t="n"/>
      <c r="AD936" s="3" t="n"/>
      <c r="AE936" s="3" t="n"/>
      <c r="AF936" s="3" t="n"/>
      <c r="AG936" s="3" t="n"/>
      <c r="AH936" s="3" t="n"/>
      <c r="AI936" s="3" t="n"/>
    </row>
    <row r="937" ht="15.75" customHeight="1" s="30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c r="AC937" s="3" t="n"/>
      <c r="AD937" s="3" t="n"/>
      <c r="AE937" s="3" t="n"/>
      <c r="AF937" s="3" t="n"/>
      <c r="AG937" s="3" t="n"/>
      <c r="AH937" s="3" t="n"/>
      <c r="AI937" s="3" t="n"/>
    </row>
    <row r="938" ht="15.75" customHeight="1" s="307">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c r="AC938" s="3" t="n"/>
      <c r="AD938" s="3" t="n"/>
      <c r="AE938" s="3" t="n"/>
      <c r="AF938" s="3" t="n"/>
      <c r="AG938" s="3" t="n"/>
      <c r="AH938" s="3" t="n"/>
      <c r="AI938" s="3" t="n"/>
    </row>
    <row r="939" ht="15.75" customHeight="1" s="307">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c r="AC939" s="3" t="n"/>
      <c r="AD939" s="3" t="n"/>
      <c r="AE939" s="3" t="n"/>
      <c r="AF939" s="3" t="n"/>
      <c r="AG939" s="3" t="n"/>
      <c r="AH939" s="3" t="n"/>
      <c r="AI939" s="3" t="n"/>
    </row>
    <row r="940" ht="15.75" customHeight="1" s="307">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c r="AC940" s="3" t="n"/>
      <c r="AD940" s="3" t="n"/>
      <c r="AE940" s="3" t="n"/>
      <c r="AF940" s="3" t="n"/>
      <c r="AG940" s="3" t="n"/>
      <c r="AH940" s="3" t="n"/>
      <c r="AI940" s="3" t="n"/>
    </row>
    <row r="941" ht="15.75" customHeight="1" s="307">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c r="AC941" s="3" t="n"/>
      <c r="AD941" s="3" t="n"/>
      <c r="AE941" s="3" t="n"/>
      <c r="AF941" s="3" t="n"/>
      <c r="AG941" s="3" t="n"/>
      <c r="AH941" s="3" t="n"/>
      <c r="AI941" s="3" t="n"/>
    </row>
    <row r="942" ht="15.75" customHeight="1" s="307">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c r="AC942" s="3" t="n"/>
      <c r="AD942" s="3" t="n"/>
      <c r="AE942" s="3" t="n"/>
      <c r="AF942" s="3" t="n"/>
      <c r="AG942" s="3" t="n"/>
      <c r="AH942" s="3" t="n"/>
      <c r="AI942" s="3" t="n"/>
    </row>
    <row r="943" ht="15.75" customHeight="1" s="307">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c r="AC943" s="3" t="n"/>
      <c r="AD943" s="3" t="n"/>
      <c r="AE943" s="3" t="n"/>
      <c r="AF943" s="3" t="n"/>
      <c r="AG943" s="3" t="n"/>
      <c r="AH943" s="3" t="n"/>
      <c r="AI943" s="3" t="n"/>
    </row>
    <row r="944" ht="15.75" customHeight="1" s="307">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c r="AC944" s="3" t="n"/>
      <c r="AD944" s="3" t="n"/>
      <c r="AE944" s="3" t="n"/>
      <c r="AF944" s="3" t="n"/>
      <c r="AG944" s="3" t="n"/>
      <c r="AH944" s="3" t="n"/>
      <c r="AI944" s="3" t="n"/>
    </row>
    <row r="945" ht="15.75" customHeight="1" s="307">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c r="AC945" s="3" t="n"/>
      <c r="AD945" s="3" t="n"/>
      <c r="AE945" s="3" t="n"/>
      <c r="AF945" s="3" t="n"/>
      <c r="AG945" s="3" t="n"/>
      <c r="AH945" s="3" t="n"/>
      <c r="AI945" s="3" t="n"/>
    </row>
    <row r="946" ht="15.75" customHeight="1" s="307">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c r="AC946" s="3" t="n"/>
      <c r="AD946" s="3" t="n"/>
      <c r="AE946" s="3" t="n"/>
      <c r="AF946" s="3" t="n"/>
      <c r="AG946" s="3" t="n"/>
      <c r="AH946" s="3" t="n"/>
      <c r="AI946" s="3" t="n"/>
    </row>
    <row r="947" ht="15.75" customHeight="1" s="30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c r="AC947" s="3" t="n"/>
      <c r="AD947" s="3" t="n"/>
      <c r="AE947" s="3" t="n"/>
      <c r="AF947" s="3" t="n"/>
      <c r="AG947" s="3" t="n"/>
      <c r="AH947" s="3" t="n"/>
      <c r="AI947" s="3" t="n"/>
    </row>
    <row r="948" ht="15.75" customHeight="1" s="307">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c r="AC948" s="3" t="n"/>
      <c r="AD948" s="3" t="n"/>
      <c r="AE948" s="3" t="n"/>
      <c r="AF948" s="3" t="n"/>
      <c r="AG948" s="3" t="n"/>
      <c r="AH948" s="3" t="n"/>
      <c r="AI948" s="3" t="n"/>
    </row>
    <row r="949" ht="15.75" customHeight="1" s="307">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c r="AC949" s="3" t="n"/>
      <c r="AD949" s="3" t="n"/>
      <c r="AE949" s="3" t="n"/>
      <c r="AF949" s="3" t="n"/>
      <c r="AG949" s="3" t="n"/>
      <c r="AH949" s="3" t="n"/>
      <c r="AI949" s="3" t="n"/>
    </row>
    <row r="950" ht="15.75" customHeight="1" s="307">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c r="AC950" s="3" t="n"/>
      <c r="AD950" s="3" t="n"/>
      <c r="AE950" s="3" t="n"/>
      <c r="AF950" s="3" t="n"/>
      <c r="AG950" s="3" t="n"/>
      <c r="AH950" s="3" t="n"/>
      <c r="AI950" s="3" t="n"/>
    </row>
    <row r="951" ht="15.75" customHeight="1" s="307">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c r="AC951" s="3" t="n"/>
      <c r="AD951" s="3" t="n"/>
      <c r="AE951" s="3" t="n"/>
      <c r="AF951" s="3" t="n"/>
      <c r="AG951" s="3" t="n"/>
      <c r="AH951" s="3" t="n"/>
      <c r="AI951" s="3" t="n"/>
    </row>
    <row r="952" ht="15.75" customHeight="1" s="307">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c r="AC952" s="3" t="n"/>
      <c r="AD952" s="3" t="n"/>
      <c r="AE952" s="3" t="n"/>
      <c r="AF952" s="3" t="n"/>
      <c r="AG952" s="3" t="n"/>
      <c r="AH952" s="3" t="n"/>
      <c r="AI952" s="3" t="n"/>
    </row>
    <row r="953" ht="15.75" customHeight="1" s="307">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c r="AC953" s="3" t="n"/>
      <c r="AD953" s="3" t="n"/>
      <c r="AE953" s="3" t="n"/>
      <c r="AF953" s="3" t="n"/>
      <c r="AG953" s="3" t="n"/>
      <c r="AH953" s="3" t="n"/>
      <c r="AI953" s="3" t="n"/>
    </row>
    <row r="954" ht="15.75" customHeight="1" s="307">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c r="AC954" s="3" t="n"/>
      <c r="AD954" s="3" t="n"/>
      <c r="AE954" s="3" t="n"/>
      <c r="AF954" s="3" t="n"/>
      <c r="AG954" s="3" t="n"/>
      <c r="AH954" s="3" t="n"/>
      <c r="AI954" s="3" t="n"/>
    </row>
    <row r="955" ht="15.75" customHeight="1" s="307">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c r="AC955" s="3" t="n"/>
      <c r="AD955" s="3" t="n"/>
      <c r="AE955" s="3" t="n"/>
      <c r="AF955" s="3" t="n"/>
      <c r="AG955" s="3" t="n"/>
      <c r="AH955" s="3" t="n"/>
      <c r="AI955" s="3" t="n"/>
    </row>
    <row r="956" ht="15.75" customHeight="1" s="307">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c r="AC956" s="3" t="n"/>
      <c r="AD956" s="3" t="n"/>
      <c r="AE956" s="3" t="n"/>
      <c r="AF956" s="3" t="n"/>
      <c r="AG956" s="3" t="n"/>
      <c r="AH956" s="3" t="n"/>
      <c r="AI956" s="3" t="n"/>
    </row>
    <row r="957" ht="15.75" customHeight="1" s="30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c r="AC957" s="3" t="n"/>
      <c r="AD957" s="3" t="n"/>
      <c r="AE957" s="3" t="n"/>
      <c r="AF957" s="3" t="n"/>
      <c r="AG957" s="3" t="n"/>
      <c r="AH957" s="3" t="n"/>
      <c r="AI957" s="3" t="n"/>
    </row>
    <row r="958" ht="15.75" customHeight="1" s="307">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c r="AC958" s="3" t="n"/>
      <c r="AD958" s="3" t="n"/>
      <c r="AE958" s="3" t="n"/>
      <c r="AF958" s="3" t="n"/>
      <c r="AG958" s="3" t="n"/>
      <c r="AH958" s="3" t="n"/>
      <c r="AI958" s="3" t="n"/>
    </row>
    <row r="959" ht="15.75" customHeight="1" s="307">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c r="AC959" s="3" t="n"/>
      <c r="AD959" s="3" t="n"/>
      <c r="AE959" s="3" t="n"/>
      <c r="AF959" s="3" t="n"/>
      <c r="AG959" s="3" t="n"/>
      <c r="AH959" s="3" t="n"/>
      <c r="AI959" s="3" t="n"/>
    </row>
    <row r="960" ht="15.75" customHeight="1" s="307">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c r="AC960" s="3" t="n"/>
      <c r="AD960" s="3" t="n"/>
      <c r="AE960" s="3" t="n"/>
      <c r="AF960" s="3" t="n"/>
      <c r="AG960" s="3" t="n"/>
      <c r="AH960" s="3" t="n"/>
      <c r="AI960" s="3" t="n"/>
    </row>
    <row r="961" ht="15.75" customHeight="1" s="307">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c r="AC961" s="3" t="n"/>
      <c r="AD961" s="3" t="n"/>
      <c r="AE961" s="3" t="n"/>
      <c r="AF961" s="3" t="n"/>
      <c r="AG961" s="3" t="n"/>
      <c r="AH961" s="3" t="n"/>
      <c r="AI961" s="3" t="n"/>
    </row>
    <row r="962" ht="15.75" customHeight="1" s="307">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c r="AC962" s="3" t="n"/>
      <c r="AD962" s="3" t="n"/>
      <c r="AE962" s="3" t="n"/>
      <c r="AF962" s="3" t="n"/>
      <c r="AG962" s="3" t="n"/>
      <c r="AH962" s="3" t="n"/>
      <c r="AI962" s="3" t="n"/>
    </row>
    <row r="963" ht="15.75" customHeight="1" s="307">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c r="AC963" s="3" t="n"/>
      <c r="AD963" s="3" t="n"/>
      <c r="AE963" s="3" t="n"/>
      <c r="AF963" s="3" t="n"/>
      <c r="AG963" s="3" t="n"/>
      <c r="AH963" s="3" t="n"/>
      <c r="AI963" s="3" t="n"/>
    </row>
    <row r="964" ht="15.75" customHeight="1" s="307">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c r="AC964" s="3" t="n"/>
      <c r="AD964" s="3" t="n"/>
      <c r="AE964" s="3" t="n"/>
      <c r="AF964" s="3" t="n"/>
      <c r="AG964" s="3" t="n"/>
      <c r="AH964" s="3" t="n"/>
      <c r="AI964" s="3" t="n"/>
    </row>
    <row r="965" ht="15.75" customHeight="1" s="307">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c r="AC965" s="3" t="n"/>
      <c r="AD965" s="3" t="n"/>
      <c r="AE965" s="3" t="n"/>
      <c r="AF965" s="3" t="n"/>
      <c r="AG965" s="3" t="n"/>
      <c r="AH965" s="3" t="n"/>
      <c r="AI965" s="3" t="n"/>
    </row>
    <row r="966" ht="15.75" customHeight="1" s="307">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c r="AC966" s="3" t="n"/>
      <c r="AD966" s="3" t="n"/>
      <c r="AE966" s="3" t="n"/>
      <c r="AF966" s="3" t="n"/>
      <c r="AG966" s="3" t="n"/>
      <c r="AH966" s="3" t="n"/>
      <c r="AI966" s="3" t="n"/>
    </row>
    <row r="967" ht="15.75" customHeight="1" s="30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c r="AC967" s="3" t="n"/>
      <c r="AD967" s="3" t="n"/>
      <c r="AE967" s="3" t="n"/>
      <c r="AF967" s="3" t="n"/>
      <c r="AG967" s="3" t="n"/>
      <c r="AH967" s="3" t="n"/>
      <c r="AI967" s="3" t="n"/>
    </row>
    <row r="968" ht="15.75" customHeight="1" s="307">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c r="AD968" s="3" t="n"/>
      <c r="AE968" s="3" t="n"/>
      <c r="AF968" s="3" t="n"/>
      <c r="AG968" s="3" t="n"/>
      <c r="AH968" s="3" t="n"/>
      <c r="AI968" s="3" t="n"/>
    </row>
    <row r="969" ht="15.75" customHeight="1" s="307">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c r="AC969" s="3" t="n"/>
      <c r="AD969" s="3" t="n"/>
      <c r="AE969" s="3" t="n"/>
      <c r="AF969" s="3" t="n"/>
      <c r="AG969" s="3" t="n"/>
      <c r="AH969" s="3" t="n"/>
      <c r="AI969" s="3" t="n"/>
    </row>
    <row r="970" ht="15.75" customHeight="1" s="307">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c r="AC970" s="3" t="n"/>
      <c r="AD970" s="3" t="n"/>
      <c r="AE970" s="3" t="n"/>
      <c r="AF970" s="3" t="n"/>
      <c r="AG970" s="3" t="n"/>
      <c r="AH970" s="3" t="n"/>
      <c r="AI970" s="3" t="n"/>
    </row>
    <row r="971" ht="15.75" customHeight="1" s="307">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c r="AC971" s="3" t="n"/>
      <c r="AD971" s="3" t="n"/>
      <c r="AE971" s="3" t="n"/>
      <c r="AF971" s="3" t="n"/>
      <c r="AG971" s="3" t="n"/>
      <c r="AH971" s="3" t="n"/>
      <c r="AI971" s="3" t="n"/>
    </row>
    <row r="972" ht="15.75" customHeight="1" s="307">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c r="AC972" s="3" t="n"/>
      <c r="AD972" s="3" t="n"/>
      <c r="AE972" s="3" t="n"/>
      <c r="AF972" s="3" t="n"/>
      <c r="AG972" s="3" t="n"/>
      <c r="AH972" s="3" t="n"/>
      <c r="AI972" s="3" t="n"/>
    </row>
    <row r="973" ht="15.75" customHeight="1" s="307">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c r="AC973" s="3" t="n"/>
      <c r="AD973" s="3" t="n"/>
      <c r="AE973" s="3" t="n"/>
      <c r="AF973" s="3" t="n"/>
      <c r="AG973" s="3" t="n"/>
      <c r="AH973" s="3" t="n"/>
      <c r="AI973" s="3" t="n"/>
    </row>
    <row r="974" ht="15.75" customHeight="1" s="307">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c r="AC974" s="3" t="n"/>
      <c r="AD974" s="3" t="n"/>
      <c r="AE974" s="3" t="n"/>
      <c r="AF974" s="3" t="n"/>
      <c r="AG974" s="3" t="n"/>
      <c r="AH974" s="3" t="n"/>
      <c r="AI974" s="3" t="n"/>
    </row>
    <row r="975" ht="15.75" customHeight="1" s="307">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c r="AC975" s="3" t="n"/>
      <c r="AD975" s="3" t="n"/>
      <c r="AE975" s="3" t="n"/>
      <c r="AF975" s="3" t="n"/>
      <c r="AG975" s="3" t="n"/>
      <c r="AH975" s="3" t="n"/>
      <c r="AI975" s="3" t="n"/>
    </row>
    <row r="976" ht="15.75" customHeight="1" s="307">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c r="AC976" s="3" t="n"/>
      <c r="AD976" s="3" t="n"/>
      <c r="AE976" s="3" t="n"/>
      <c r="AF976" s="3" t="n"/>
      <c r="AG976" s="3" t="n"/>
      <c r="AH976" s="3" t="n"/>
      <c r="AI976" s="3" t="n"/>
    </row>
    <row r="977" ht="15.75" customHeight="1" s="30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c r="AC977" s="3" t="n"/>
      <c r="AD977" s="3" t="n"/>
      <c r="AE977" s="3" t="n"/>
      <c r="AF977" s="3" t="n"/>
      <c r="AG977" s="3" t="n"/>
      <c r="AH977" s="3" t="n"/>
      <c r="AI977" s="3" t="n"/>
    </row>
    <row r="978" ht="15.75" customHeight="1" s="307">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c r="AC978" s="3" t="n"/>
      <c r="AD978" s="3" t="n"/>
      <c r="AE978" s="3" t="n"/>
      <c r="AF978" s="3" t="n"/>
      <c r="AG978" s="3" t="n"/>
      <c r="AH978" s="3" t="n"/>
      <c r="AI978" s="3" t="n"/>
    </row>
    <row r="979" ht="15.75" customHeight="1" s="307">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c r="AC979" s="3" t="n"/>
      <c r="AD979" s="3" t="n"/>
      <c r="AE979" s="3" t="n"/>
      <c r="AF979" s="3" t="n"/>
      <c r="AG979" s="3" t="n"/>
      <c r="AH979" s="3" t="n"/>
      <c r="AI979" s="3" t="n"/>
    </row>
    <row r="980" ht="15.75" customHeight="1" s="307">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c r="AC980" s="3" t="n"/>
      <c r="AD980" s="3" t="n"/>
      <c r="AE980" s="3" t="n"/>
      <c r="AF980" s="3" t="n"/>
      <c r="AG980" s="3" t="n"/>
      <c r="AH980" s="3" t="n"/>
      <c r="AI980" s="3" t="n"/>
    </row>
    <row r="981" ht="15.75" customHeight="1" s="307">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c r="AC981" s="3" t="n"/>
      <c r="AD981" s="3" t="n"/>
      <c r="AE981" s="3" t="n"/>
      <c r="AF981" s="3" t="n"/>
      <c r="AG981" s="3" t="n"/>
      <c r="AH981" s="3" t="n"/>
      <c r="AI981" s="3" t="n"/>
    </row>
    <row r="982" ht="15.75" customHeight="1" s="307">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c r="AC982" s="3" t="n"/>
      <c r="AD982" s="3" t="n"/>
      <c r="AE982" s="3" t="n"/>
      <c r="AF982" s="3" t="n"/>
      <c r="AG982" s="3" t="n"/>
      <c r="AH982" s="3" t="n"/>
      <c r="AI982" s="3" t="n"/>
    </row>
    <row r="983" ht="15.75" customHeight="1" s="307">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c r="AC983" s="3" t="n"/>
      <c r="AD983" s="3" t="n"/>
      <c r="AE983" s="3" t="n"/>
      <c r="AF983" s="3" t="n"/>
      <c r="AG983" s="3" t="n"/>
      <c r="AH983" s="3" t="n"/>
      <c r="AI983" s="3" t="n"/>
    </row>
    <row r="984" ht="15.75" customHeight="1" s="307">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c r="AC984" s="3" t="n"/>
      <c r="AD984" s="3" t="n"/>
      <c r="AE984" s="3" t="n"/>
      <c r="AF984" s="3" t="n"/>
      <c r="AG984" s="3" t="n"/>
      <c r="AH984" s="3" t="n"/>
      <c r="AI984" s="3" t="n"/>
    </row>
    <row r="985" ht="15.75" customHeight="1" s="307">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c r="AC985" s="3" t="n"/>
      <c r="AD985" s="3" t="n"/>
      <c r="AE985" s="3" t="n"/>
      <c r="AF985" s="3" t="n"/>
      <c r="AG985" s="3" t="n"/>
      <c r="AH985" s="3" t="n"/>
      <c r="AI985" s="3" t="n"/>
    </row>
    <row r="986" ht="15.75" customHeight="1" s="307">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c r="AC986" s="3" t="n"/>
      <c r="AD986" s="3" t="n"/>
      <c r="AE986" s="3" t="n"/>
      <c r="AF986" s="3" t="n"/>
      <c r="AG986" s="3" t="n"/>
      <c r="AH986" s="3" t="n"/>
      <c r="AI986" s="3" t="n"/>
    </row>
    <row r="987" ht="15.75" customHeight="1" s="30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c r="AC987" s="3" t="n"/>
      <c r="AD987" s="3" t="n"/>
      <c r="AE987" s="3" t="n"/>
      <c r="AF987" s="3" t="n"/>
      <c r="AG987" s="3" t="n"/>
      <c r="AH987" s="3" t="n"/>
      <c r="AI987" s="3" t="n"/>
    </row>
    <row r="988" ht="15.75" customHeight="1" s="307">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c r="AC988" s="3" t="n"/>
      <c r="AD988" s="3" t="n"/>
      <c r="AE988" s="3" t="n"/>
      <c r="AF988" s="3" t="n"/>
      <c r="AG988" s="3" t="n"/>
      <c r="AH988" s="3" t="n"/>
      <c r="AI988" s="3" t="n"/>
    </row>
    <row r="989" ht="15.75" customHeight="1" s="307">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c r="AC989" s="3" t="n"/>
      <c r="AD989" s="3" t="n"/>
      <c r="AE989" s="3" t="n"/>
      <c r="AF989" s="3" t="n"/>
      <c r="AG989" s="3" t="n"/>
      <c r="AH989" s="3" t="n"/>
      <c r="AI989" s="3" t="n"/>
    </row>
    <row r="990" ht="15.75" customHeight="1" s="307">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c r="AC990" s="3" t="n"/>
      <c r="AD990" s="3" t="n"/>
      <c r="AE990" s="3" t="n"/>
      <c r="AF990" s="3" t="n"/>
      <c r="AG990" s="3" t="n"/>
      <c r="AH990" s="3" t="n"/>
      <c r="AI990" s="3" t="n"/>
    </row>
    <row r="991" ht="15.75" customHeight="1" s="307">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c r="AC991" s="3" t="n"/>
      <c r="AD991" s="3" t="n"/>
      <c r="AE991" s="3" t="n"/>
      <c r="AF991" s="3" t="n"/>
      <c r="AG991" s="3" t="n"/>
      <c r="AH991" s="3" t="n"/>
      <c r="AI991" s="3" t="n"/>
    </row>
    <row r="992" ht="15.75" customHeight="1" s="307">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c r="AC992" s="3" t="n"/>
      <c r="AD992" s="3" t="n"/>
      <c r="AE992" s="3" t="n"/>
      <c r="AF992" s="3" t="n"/>
      <c r="AG992" s="3" t="n"/>
      <c r="AH992" s="3" t="n"/>
      <c r="AI992" s="3" t="n"/>
    </row>
    <row r="993" ht="15.75" customHeight="1" s="307">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c r="AC993" s="3" t="n"/>
      <c r="AD993" s="3" t="n"/>
      <c r="AE993" s="3" t="n"/>
      <c r="AF993" s="3" t="n"/>
      <c r="AG993" s="3" t="n"/>
      <c r="AH993" s="3" t="n"/>
      <c r="AI993" s="3" t="n"/>
    </row>
    <row r="994" ht="15.75" customHeight="1" s="307">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c r="AC994" s="3" t="n"/>
      <c r="AD994" s="3" t="n"/>
      <c r="AE994" s="3" t="n"/>
      <c r="AF994" s="3" t="n"/>
      <c r="AG994" s="3" t="n"/>
      <c r="AH994" s="3" t="n"/>
      <c r="AI994" s="3" t="n"/>
    </row>
    <row r="995" ht="15.75" customHeight="1" s="307">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c r="AC995" s="3" t="n"/>
      <c r="AD995" s="3" t="n"/>
      <c r="AE995" s="3" t="n"/>
      <c r="AF995" s="3" t="n"/>
      <c r="AG995" s="3" t="n"/>
      <c r="AH995" s="3" t="n"/>
      <c r="AI995" s="3" t="n"/>
    </row>
    <row r="996" ht="15.75" customHeight="1" s="307">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c r="AC996" s="3" t="n"/>
      <c r="AD996" s="3" t="n"/>
      <c r="AE996" s="3" t="n"/>
      <c r="AF996" s="3" t="n"/>
      <c r="AG996" s="3" t="n"/>
      <c r="AH996" s="3" t="n"/>
      <c r="AI996" s="3" t="n"/>
    </row>
    <row r="997" ht="15.75" customHeight="1" s="30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c r="AC997" s="3" t="n"/>
      <c r="AD997" s="3" t="n"/>
      <c r="AE997" s="3" t="n"/>
      <c r="AF997" s="3" t="n"/>
      <c r="AG997" s="3" t="n"/>
      <c r="AH997" s="3" t="n"/>
      <c r="AI997" s="3" t="n"/>
    </row>
    <row r="998" ht="15.75" customHeight="1" s="307">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c r="AC998" s="3" t="n"/>
      <c r="AD998" s="3" t="n"/>
      <c r="AE998" s="3" t="n"/>
      <c r="AF998" s="3" t="n"/>
      <c r="AG998" s="3" t="n"/>
      <c r="AH998" s="3" t="n"/>
      <c r="AI998" s="3" t="n"/>
    </row>
    <row r="999" ht="15.75" customHeight="1" s="307">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c r="AC999" s="3" t="n"/>
      <c r="AD999" s="3" t="n"/>
      <c r="AE999" s="3" t="n"/>
      <c r="AF999" s="3" t="n"/>
      <c r="AG999" s="3" t="n"/>
      <c r="AH999" s="3" t="n"/>
      <c r="AI999" s="3" t="n"/>
    </row>
    <row r="1000" ht="15.75" customHeight="1" s="307">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c r="AC1000" s="3" t="n"/>
      <c r="AD1000" s="3" t="n"/>
      <c r="AE1000" s="3" t="n"/>
      <c r="AF1000" s="3" t="n"/>
      <c r="AG1000" s="3" t="n"/>
      <c r="AH1000" s="3" t="n"/>
      <c r="AI1000" s="3" t="n"/>
    </row>
  </sheetData>
  <mergeCells count="4">
    <mergeCell ref="J1:Q1"/>
    <mergeCell ref="S1:Z1"/>
    <mergeCell ref="AB1:AI1"/>
    <mergeCell ref="A1:H1"/>
  </mergeCells>
  <pageMargins left="0.1968503937007874" right="0.1968503937007874" top="0.7480314960629921" bottom="0.7480314960629921" header="0" footer="0"/>
  <pageSetup orientation="landscape" paperSize="8"/>
  <colBreaks count="1" manualBreakCount="1">
    <brk id="18" min="0" max="16383" man="1"/>
  </colBreaks>
</worksheet>
</file>

<file path=xl/worksheets/sheet3.xml><?xml version="1.0" encoding="utf-8"?>
<worksheet xmlns="http://schemas.openxmlformats.org/spreadsheetml/2006/main">
  <sheetPr>
    <tabColor rgb="FFFF0000"/>
    <outlinePr summaryBelow="1" summaryRight="1"/>
    <pageSetUpPr/>
  </sheetPr>
  <dimension ref="A1:AT23"/>
  <sheetViews>
    <sheetView topLeftCell="T1" workbookViewId="0">
      <selection activeCell="C5" sqref="C5"/>
    </sheetView>
  </sheetViews>
  <sheetFormatPr baseColWidth="8" defaultColWidth="14.44140625" defaultRowHeight="15" customHeight="1"/>
  <cols>
    <col width="6" customWidth="1" style="307" min="1" max="1"/>
    <col width="40.5546875" customWidth="1" style="307" min="2" max="2"/>
    <col width="12.6640625" customWidth="1" style="307" min="3" max="3"/>
    <col width="12.109375" customWidth="1" style="307" min="4" max="4"/>
    <col width="11.44140625" customWidth="1" style="307" min="5" max="5"/>
    <col width="17.44140625" customWidth="1" style="307" min="6" max="6"/>
    <col width="15.109375" customWidth="1" style="307" min="7" max="7"/>
    <col width="15.33203125" customWidth="1" style="307" min="8" max="8"/>
    <col width="10.6640625" customWidth="1" style="307" min="9" max="9"/>
    <col width="6" customWidth="1" style="307" min="10" max="10"/>
    <col width="35.6640625" customWidth="1" style="307" min="11" max="11"/>
    <col width="4.44140625" customWidth="1" style="307" min="12" max="12"/>
    <col width="5.33203125" customWidth="1" style="307" min="13" max="13"/>
    <col width="7.109375" customWidth="1" style="307" min="14" max="14"/>
    <col width="8.6640625" customWidth="1" style="307" min="15" max="15"/>
    <col width="9.6640625" customWidth="1" style="307" min="16" max="16"/>
    <col width="15.33203125" customWidth="1" style="307" min="17" max="17"/>
    <col width="3.44140625" customWidth="1" style="307" min="18" max="18"/>
    <col width="6.109375" customWidth="1" style="307" min="19" max="19"/>
    <col width="39.33203125" customWidth="1" style="307" min="20" max="20"/>
    <col width="4.6640625" customWidth="1" style="307" min="21" max="21"/>
    <col width="5.33203125" customWidth="1" style="307" min="22" max="22"/>
    <col width="7.109375" customWidth="1" style="307" min="23" max="23"/>
    <col width="9" customWidth="1" style="307" min="24" max="24"/>
    <col width="10.109375" customWidth="1" style="307" min="25" max="25"/>
    <col width="15.88671875" customWidth="1" style="307" min="26" max="26"/>
    <col width="3.33203125" customWidth="1" style="307" min="27" max="27"/>
    <col width="6.109375" customWidth="1" style="307" min="28" max="28"/>
    <col width="47.5546875" customWidth="1" style="307" min="29" max="29"/>
    <col width="6" customWidth="1" style="307" min="30" max="30"/>
    <col width="5.33203125" customWidth="1" style="307" min="31" max="31"/>
    <col width="7.109375" customWidth="1" style="307" min="32" max="32"/>
    <col width="9" customWidth="1" style="307" min="33" max="33"/>
    <col width="10.109375" customWidth="1" style="307" min="34" max="34"/>
    <col width="15.88671875" customWidth="1" style="307" min="35" max="35"/>
    <col width="7.5546875" customWidth="1" style="307" min="36" max="36"/>
    <col width="3" customWidth="1" style="307" min="37" max="37"/>
    <col width="47.5546875" customWidth="1" style="307" min="38" max="38"/>
    <col width="6" customWidth="1" style="307" min="39" max="39"/>
    <col width="4" customWidth="1" style="307" min="40" max="40"/>
    <col width="6.5546875" customWidth="1" style="307" min="41" max="41"/>
    <col width="8.6640625" customWidth="1" style="307" min="42" max="46"/>
  </cols>
  <sheetData>
    <row r="1" ht="22.8" customHeight="1" s="307">
      <c r="A1" s="403" t="inlineStr">
        <is>
          <t xml:space="preserve"> HV BURNER PARTS-2A/3A</t>
        </is>
      </c>
      <c r="B1" s="390" t="n"/>
      <c r="C1" s="390" t="n"/>
      <c r="D1" s="390" t="n"/>
      <c r="E1" s="390" t="n"/>
      <c r="F1" s="390" t="n"/>
      <c r="G1" s="390" t="n"/>
      <c r="H1" s="391" t="n"/>
      <c r="J1" s="403" t="inlineStr">
        <is>
          <t xml:space="preserve"> HV BURNER PARTS-4A</t>
        </is>
      </c>
      <c r="K1" s="390" t="n"/>
      <c r="L1" s="390" t="n"/>
      <c r="M1" s="390" t="n"/>
      <c r="N1" s="390" t="n"/>
      <c r="O1" s="390" t="n"/>
      <c r="P1" s="390" t="n"/>
      <c r="Q1" s="391" t="n"/>
      <c r="S1" s="403" t="inlineStr">
        <is>
          <t xml:space="preserve"> HV BURNER PARTS-5A/6A</t>
        </is>
      </c>
      <c r="T1" s="390" t="n"/>
      <c r="U1" s="390" t="n"/>
      <c r="V1" s="390" t="n"/>
      <c r="W1" s="390" t="n"/>
      <c r="X1" s="390" t="n"/>
      <c r="Y1" s="390" t="n"/>
      <c r="Z1" s="391" t="n"/>
      <c r="AB1" s="403" t="inlineStr">
        <is>
          <t xml:space="preserve"> HV BURNER PARTS-7A</t>
        </is>
      </c>
      <c r="AC1" s="390" t="n"/>
      <c r="AD1" s="390" t="n"/>
      <c r="AE1" s="390" t="n"/>
      <c r="AF1" s="390" t="n"/>
      <c r="AG1" s="390" t="n"/>
      <c r="AH1" s="390" t="n"/>
      <c r="AI1" s="391" t="n"/>
    </row>
    <row r="2" ht="14.4" customHeight="1" s="307">
      <c r="A2" s="26" t="inlineStr">
        <is>
          <t>S.NO.</t>
        </is>
      </c>
      <c r="B2" s="26" t="inlineStr">
        <is>
          <t>PARTICULARS</t>
        </is>
      </c>
      <c r="C2" s="30" t="inlineStr">
        <is>
          <t>QTY</t>
        </is>
      </c>
      <c r="D2" s="26" t="inlineStr">
        <is>
          <t>UNIT</t>
        </is>
      </c>
      <c r="E2" s="30" t="inlineStr">
        <is>
          <t>RATE</t>
        </is>
      </c>
      <c r="F2" s="30" t="inlineStr">
        <is>
          <t>AMOUNT</t>
        </is>
      </c>
      <c r="G2" s="30" t="inlineStr">
        <is>
          <t>M/C COST</t>
        </is>
      </c>
      <c r="H2" s="30" t="inlineStr">
        <is>
          <t>TOTAL AMOUNT</t>
        </is>
      </c>
      <c r="J2" s="7" t="inlineStr">
        <is>
          <t>S.NO.</t>
        </is>
      </c>
      <c r="K2" s="26" t="inlineStr">
        <is>
          <t>PARTICULARS</t>
        </is>
      </c>
      <c r="L2" s="30" t="inlineStr">
        <is>
          <t>QTY</t>
        </is>
      </c>
      <c r="M2" s="26" t="inlineStr">
        <is>
          <t>UNIT</t>
        </is>
      </c>
      <c r="N2" s="30" t="inlineStr">
        <is>
          <t>RATE</t>
        </is>
      </c>
      <c r="O2" s="30" t="inlineStr">
        <is>
          <t>AMOUNT</t>
        </is>
      </c>
      <c r="P2" s="30" t="inlineStr">
        <is>
          <t>M/C COST</t>
        </is>
      </c>
      <c r="Q2" s="30" t="inlineStr">
        <is>
          <t>TOTAL AMOUNT</t>
        </is>
      </c>
      <c r="S2" s="47" t="inlineStr">
        <is>
          <t>S.NO.</t>
        </is>
      </c>
      <c r="T2" s="48" t="inlineStr">
        <is>
          <t>PARTICULARS</t>
        </is>
      </c>
      <c r="U2" s="49" t="inlineStr">
        <is>
          <t>QTY</t>
        </is>
      </c>
      <c r="V2" s="48" t="inlineStr">
        <is>
          <t>UNIT</t>
        </is>
      </c>
      <c r="W2" s="49" t="inlineStr">
        <is>
          <t>RATE</t>
        </is>
      </c>
      <c r="X2" s="49" t="inlineStr">
        <is>
          <t>AMOUNT</t>
        </is>
      </c>
      <c r="Y2" s="49" t="inlineStr">
        <is>
          <t>M/C COST</t>
        </is>
      </c>
      <c r="Z2" s="49" t="inlineStr">
        <is>
          <t>TOTAL AMOUNT</t>
        </is>
      </c>
      <c r="AB2" s="47" t="inlineStr">
        <is>
          <t>S.NO.</t>
        </is>
      </c>
      <c r="AC2" s="48" t="inlineStr">
        <is>
          <t>PARTICULARS</t>
        </is>
      </c>
      <c r="AD2" s="49" t="inlineStr">
        <is>
          <t>QTY</t>
        </is>
      </c>
      <c r="AE2" s="48" t="inlineStr">
        <is>
          <t>UNIT</t>
        </is>
      </c>
      <c r="AF2" s="49" t="inlineStr">
        <is>
          <t>RATE</t>
        </is>
      </c>
      <c r="AG2" s="49" t="inlineStr">
        <is>
          <t>AMOUNT</t>
        </is>
      </c>
      <c r="AH2" s="49" t="inlineStr">
        <is>
          <t>M/C COST</t>
        </is>
      </c>
      <c r="AI2" s="49" t="inlineStr">
        <is>
          <t>TOTAL AMOUNT</t>
        </is>
      </c>
    </row>
    <row r="3" ht="14.4" customHeight="1" s="307">
      <c r="A3" s="26" t="n">
        <v>1</v>
      </c>
      <c r="B3" s="26" t="inlineStr">
        <is>
          <t>H.V. BURNER-2A/3A</t>
        </is>
      </c>
      <c r="C3" s="30" t="n"/>
      <c r="D3" s="26" t="n"/>
      <c r="E3" s="30" t="n"/>
      <c r="F3" s="30" t="n"/>
      <c r="G3" s="30" t="n"/>
      <c r="H3" s="50">
        <f>SUM(' Oil Burner'!H5:H6,' Oil Burner'!H8)</f>
        <v/>
      </c>
      <c r="J3" s="7" t="n">
        <v>1</v>
      </c>
      <c r="K3" s="26" t="inlineStr">
        <is>
          <t>H.V. BURNER-4A</t>
        </is>
      </c>
      <c r="L3" s="30" t="n"/>
      <c r="M3" s="26" t="n"/>
      <c r="N3" s="30" t="n"/>
      <c r="O3" s="30" t="n"/>
      <c r="P3" s="30" t="n"/>
      <c r="Q3" s="50">
        <f>SUM(' Oil Burner'!Q5:Q6,' Oil Burner'!Q8)</f>
        <v/>
      </c>
      <c r="S3" s="7" t="n">
        <v>1</v>
      </c>
      <c r="T3" s="26" t="inlineStr">
        <is>
          <t>H.V. BURNER-5A/6A</t>
        </is>
      </c>
      <c r="U3" s="30" t="n"/>
      <c r="V3" s="26" t="n"/>
      <c r="W3" s="30" t="n"/>
      <c r="X3" s="30" t="n"/>
      <c r="Y3" s="30" t="n"/>
      <c r="Z3" s="30">
        <f>SUM(' Oil Burner'!Z5,' Oil Burner'!Z6,' Oil Burner'!Z8)</f>
        <v/>
      </c>
      <c r="AB3" s="7" t="n">
        <v>1</v>
      </c>
      <c r="AC3" s="26" t="inlineStr">
        <is>
          <t>ENCON-7A AIR TUBE-205(dia)*180(I.D)*375(Lenth)</t>
        </is>
      </c>
      <c r="AD3" s="30" t="n">
        <v>22.24</v>
      </c>
      <c r="AE3" s="26" t="inlineStr">
        <is>
          <t>Kgs</t>
        </is>
      </c>
      <c r="AF3" s="30">
        <f>' Oil Burner'!AF4</f>
        <v/>
      </c>
      <c r="AG3" s="30">
        <f>AD3*AF3</f>
        <v/>
      </c>
      <c r="AH3" s="30" t="n"/>
      <c r="AI3" s="30">
        <f>AG3+AH3</f>
        <v/>
      </c>
    </row>
    <row r="4" ht="14.4" customHeight="1" s="307">
      <c r="A4" s="26" t="n">
        <v>2</v>
      </c>
      <c r="B4" s="26" t="inlineStr">
        <is>
          <t>H.V. BURNER block -2A/3A</t>
        </is>
      </c>
      <c r="C4" s="30" t="n"/>
      <c r="D4" s="26" t="n"/>
      <c r="E4" s="30" t="n"/>
      <c r="F4" s="30" t="n"/>
      <c r="G4" s="30" t="n"/>
      <c r="H4" s="50" t="n">
        <v>9102</v>
      </c>
      <c r="J4" s="7" t="n">
        <v>2</v>
      </c>
      <c r="K4" s="26" t="inlineStr">
        <is>
          <t>H.V. BURNER block -4A</t>
        </is>
      </c>
      <c r="L4" s="30" t="n"/>
      <c r="M4" s="26" t="n"/>
      <c r="N4" s="30" t="n"/>
      <c r="O4" s="30" t="n"/>
      <c r="P4" s="30" t="n"/>
      <c r="Q4" s="50" t="n">
        <v>11454</v>
      </c>
      <c r="S4" s="7" t="n">
        <v>2</v>
      </c>
      <c r="T4" s="26" t="inlineStr">
        <is>
          <t>H.V. BURNER block -5A/6A</t>
        </is>
      </c>
      <c r="U4" s="30" t="n"/>
      <c r="V4" s="26" t="n"/>
      <c r="W4" s="30" t="n"/>
      <c r="X4" s="30" t="n"/>
      <c r="Y4" s="30" t="n"/>
      <c r="Z4" s="30" t="n">
        <v>16654</v>
      </c>
      <c r="AB4" s="7" t="n">
        <v>2</v>
      </c>
      <c r="AC4" s="26" t="inlineStr">
        <is>
          <t>M.S.FLANGE-300 (dia)* 195 (I.D)*12MM Thick</t>
        </is>
      </c>
      <c r="AD4" s="30" t="n">
        <v>7.68</v>
      </c>
      <c r="AE4" s="26" t="inlineStr">
        <is>
          <t>Kgs</t>
        </is>
      </c>
      <c r="AF4" s="30">
        <f>' Oil Burner'!AF5</f>
        <v/>
      </c>
      <c r="AG4" s="30">
        <f>AD4*AF4</f>
        <v/>
      </c>
      <c r="AH4" s="30" t="n">
        <v>1500</v>
      </c>
      <c r="AI4" s="30">
        <f>AG4+AH4</f>
        <v/>
      </c>
      <c r="AT4" s="3" t="n"/>
    </row>
    <row r="5" ht="14.4" customHeight="1" s="307">
      <c r="A5" s="26" t="n">
        <v>3</v>
      </c>
      <c r="B5" s="26" t="inlineStr">
        <is>
          <t>ENCON-2A/3A BUTTERFLY VALVE-2.5 (INCH )</t>
        </is>
      </c>
      <c r="C5" s="30" t="n">
        <v>1</v>
      </c>
      <c r="D5" s="26" t="inlineStr">
        <is>
          <t>NO</t>
        </is>
      </c>
      <c r="E5" s="30">
        <f>Rates!K21</f>
        <v/>
      </c>
      <c r="F5" s="30">
        <f>C5*E5</f>
        <v/>
      </c>
      <c r="G5" s="30" t="n"/>
      <c r="H5" s="50">
        <f>F5+G5</f>
        <v/>
      </c>
      <c r="J5" s="7" t="n">
        <v>3</v>
      </c>
      <c r="K5" s="26" t="inlineStr">
        <is>
          <t>ENCON-4A BUTTERFLY VALVE-4 (INCH )</t>
        </is>
      </c>
      <c r="L5" s="30" t="n">
        <v>1</v>
      </c>
      <c r="M5" s="26" t="inlineStr">
        <is>
          <t>NO</t>
        </is>
      </c>
      <c r="N5" s="30">
        <f>Rates!K22</f>
        <v/>
      </c>
      <c r="O5" s="30">
        <f>L5*N5</f>
        <v/>
      </c>
      <c r="P5" s="30" t="n"/>
      <c r="Q5" s="50">
        <f>O5+P5</f>
        <v/>
      </c>
      <c r="S5" s="7" t="n">
        <v>3</v>
      </c>
      <c r="T5" s="26" t="inlineStr">
        <is>
          <t>ENCON-5A/6A BUTTERFLY VALVE-4 (INCH )</t>
        </is>
      </c>
      <c r="U5" s="30" t="n">
        <v>1</v>
      </c>
      <c r="V5" s="26" t="inlineStr">
        <is>
          <t>NO</t>
        </is>
      </c>
      <c r="W5" s="30">
        <f>Rates!K22</f>
        <v/>
      </c>
      <c r="X5" s="30">
        <f>U5*W5</f>
        <v/>
      </c>
      <c r="Y5" s="30" t="n"/>
      <c r="Z5" s="30">
        <f>X5+Y5</f>
        <v/>
      </c>
      <c r="AB5" s="7" t="n">
        <v>3</v>
      </c>
      <c r="AC5" s="26" t="inlineStr">
        <is>
          <t>M.S. PIPE-100NB*125MM</t>
        </is>
      </c>
      <c r="AD5" s="30" t="n">
        <v>1</v>
      </c>
      <c r="AE5" s="26" t="inlineStr">
        <is>
          <t>NO</t>
        </is>
      </c>
      <c r="AF5" s="30">
        <f>' Oil Burner'!AF6</f>
        <v/>
      </c>
      <c r="AG5" s="30">
        <f>AD5*AF5</f>
        <v/>
      </c>
      <c r="AH5" s="30" t="n"/>
      <c r="AI5" s="30">
        <f>AG5+AH5</f>
        <v/>
      </c>
      <c r="AT5" s="3" t="n"/>
    </row>
    <row r="6" ht="14.4" customHeight="1" s="307">
      <c r="A6" s="26" t="n">
        <v>4</v>
      </c>
      <c r="B6" s="26" t="inlineStr">
        <is>
          <t>ENCON-2A/3A Y-STRAINER 20NB</t>
        </is>
      </c>
      <c r="C6" s="30" t="n">
        <v>1</v>
      </c>
      <c r="D6" s="26" t="inlineStr">
        <is>
          <t>NO</t>
        </is>
      </c>
      <c r="E6" s="30">
        <f>Rates!K24</f>
        <v/>
      </c>
      <c r="F6" s="30">
        <f>C6*E6</f>
        <v/>
      </c>
      <c r="G6" s="30" t="n"/>
      <c r="H6" s="50">
        <f>F6+G6</f>
        <v/>
      </c>
      <c r="J6" s="7" t="n">
        <v>4</v>
      </c>
      <c r="K6" s="26" t="inlineStr">
        <is>
          <t>ENCON-4A Y-STRAINER 20NB</t>
        </is>
      </c>
      <c r="L6" s="30" t="n">
        <v>1</v>
      </c>
      <c r="M6" s="26" t="inlineStr">
        <is>
          <t>NO</t>
        </is>
      </c>
      <c r="N6" s="30">
        <f>E6</f>
        <v/>
      </c>
      <c r="O6" s="30">
        <f>L6*N6</f>
        <v/>
      </c>
      <c r="P6" s="30" t="n"/>
      <c r="Q6" s="50">
        <f>O6+P6</f>
        <v/>
      </c>
      <c r="S6" s="7" t="n">
        <v>4</v>
      </c>
      <c r="T6" s="26" t="inlineStr">
        <is>
          <t>ENCON-5A/6AY-STRAINER 20NB</t>
        </is>
      </c>
      <c r="U6" s="30" t="n">
        <v>1</v>
      </c>
      <c r="V6" s="26" t="inlineStr">
        <is>
          <t>NO</t>
        </is>
      </c>
      <c r="W6" s="30">
        <f>Rates!K24</f>
        <v/>
      </c>
      <c r="X6" s="30">
        <f>U6*W6</f>
        <v/>
      </c>
      <c r="Y6" s="30" t="n"/>
      <c r="Z6" s="30">
        <f>X6+Y6</f>
        <v/>
      </c>
      <c r="AB6" s="7" t="n">
        <v>4</v>
      </c>
      <c r="AC6" s="26" t="inlineStr">
        <is>
          <t>ENCON-7A AIR MIXER-86(dia)*72(I.D)*385(Lenth)</t>
        </is>
      </c>
      <c r="AD6" s="30" t="n">
        <v>5.24</v>
      </c>
      <c r="AE6" s="26" t="inlineStr">
        <is>
          <t>Kgs</t>
        </is>
      </c>
      <c r="AF6" s="30">
        <f>' Oil Burner'!AF7</f>
        <v/>
      </c>
      <c r="AG6" s="30">
        <f>AD6*AF6</f>
        <v/>
      </c>
      <c r="AH6" s="30" t="n"/>
      <c r="AI6" s="30">
        <f>AG6+AH6</f>
        <v/>
      </c>
      <c r="AT6" s="3" t="n"/>
    </row>
    <row r="7" ht="14.4" customHeight="1" s="307">
      <c r="A7" s="26" t="n">
        <v>5</v>
      </c>
      <c r="B7" s="26" t="inlineStr">
        <is>
          <t>FLEXIBLE HOSE-15NB*750MM (OIL )</t>
        </is>
      </c>
      <c r="C7" s="30" t="n">
        <v>2</v>
      </c>
      <c r="D7" s="26" t="inlineStr">
        <is>
          <t>NO</t>
        </is>
      </c>
      <c r="E7" s="30">
        <f>Rates!K14</f>
        <v/>
      </c>
      <c r="F7" s="30">
        <f>C7*E7</f>
        <v/>
      </c>
      <c r="G7" s="30" t="n"/>
      <c r="H7" s="50">
        <f>F7+G7</f>
        <v/>
      </c>
      <c r="J7" s="7" t="n">
        <v>5</v>
      </c>
      <c r="K7" s="26" t="inlineStr">
        <is>
          <t>FLEXIBLE HOSE-15NB*750MM (OIL )</t>
        </is>
      </c>
      <c r="L7" s="30" t="n">
        <v>2</v>
      </c>
      <c r="M7" s="26" t="inlineStr">
        <is>
          <t>NO</t>
        </is>
      </c>
      <c r="N7" s="30">
        <f>E7</f>
        <v/>
      </c>
      <c r="O7" s="30">
        <f>L7*N7</f>
        <v/>
      </c>
      <c r="P7" s="30" t="n"/>
      <c r="Q7" s="50">
        <f>O7+P7</f>
        <v/>
      </c>
      <c r="S7" s="7" t="n">
        <v>5</v>
      </c>
      <c r="T7" s="26" t="inlineStr">
        <is>
          <t>FLEXIBLE HOSE-15NB*1000MM(OIL )</t>
        </is>
      </c>
      <c r="U7" s="30" t="n">
        <v>1</v>
      </c>
      <c r="V7" s="26" t="inlineStr">
        <is>
          <t>NO</t>
        </is>
      </c>
      <c r="W7" s="30">
        <f>Rates!K15</f>
        <v/>
      </c>
      <c r="X7" s="30">
        <f>U7*W7</f>
        <v/>
      </c>
      <c r="Y7" s="30" t="n"/>
      <c r="Z7" s="30">
        <f>X7+Y7</f>
        <v/>
      </c>
      <c r="AB7" s="7" t="n">
        <v>5</v>
      </c>
      <c r="AC7" s="26" t="inlineStr">
        <is>
          <t>M.S.TIKKY-300(dia)*80(I.D)*40MM Thick</t>
        </is>
      </c>
      <c r="AD7" s="30" t="n">
        <v>20.6</v>
      </c>
      <c r="AE7" s="26" t="inlineStr">
        <is>
          <t>Kgs</t>
        </is>
      </c>
      <c r="AF7" s="30">
        <f>' Oil Burner'!AF8</f>
        <v/>
      </c>
      <c r="AG7" s="30">
        <f>AD7*AF7</f>
        <v/>
      </c>
      <c r="AH7" s="30" t="n"/>
      <c r="AI7" s="30">
        <f>AG7+AH7</f>
        <v/>
      </c>
      <c r="AT7" s="3" t="n"/>
    </row>
    <row r="8" ht="14.4" customHeight="1" s="307">
      <c r="A8" s="26" t="n">
        <v>6</v>
      </c>
      <c r="B8" s="26" t="inlineStr">
        <is>
          <t>FLEXIBLE HOSE-15NB*750MM (AIR )</t>
        </is>
      </c>
      <c r="C8" s="30" t="n">
        <v>2</v>
      </c>
      <c r="D8" s="26" t="inlineStr">
        <is>
          <t>NO</t>
        </is>
      </c>
      <c r="E8" s="30">
        <f>E7</f>
        <v/>
      </c>
      <c r="F8" s="30">
        <f>C8*E8</f>
        <v/>
      </c>
      <c r="G8" s="30" t="n"/>
      <c r="H8" s="50">
        <f>F8+G8</f>
        <v/>
      </c>
      <c r="J8" s="7" t="n">
        <v>6</v>
      </c>
      <c r="K8" s="26" t="inlineStr">
        <is>
          <t>FLEXIBLE HOSE-15NB*750MM (AIR )</t>
        </is>
      </c>
      <c r="L8" s="30" t="n">
        <v>2</v>
      </c>
      <c r="M8" s="26" t="inlineStr">
        <is>
          <t>NO</t>
        </is>
      </c>
      <c r="N8" s="30">
        <f>E8</f>
        <v/>
      </c>
      <c r="O8" s="30">
        <f>L8*N8</f>
        <v/>
      </c>
      <c r="P8" s="30" t="n"/>
      <c r="Q8" s="50">
        <f>O8+P8</f>
        <v/>
      </c>
      <c r="S8" s="7" t="n">
        <v>6</v>
      </c>
      <c r="T8" s="26" t="inlineStr">
        <is>
          <t>FLEXIBLE HOSE-20NB*1000MM (AIR )</t>
        </is>
      </c>
      <c r="U8" s="30" t="n">
        <v>1</v>
      </c>
      <c r="V8" s="26" t="inlineStr">
        <is>
          <t>NO</t>
        </is>
      </c>
      <c r="W8" s="30">
        <f>Rates!K16</f>
        <v/>
      </c>
      <c r="X8" s="30">
        <f>U8*W8</f>
        <v/>
      </c>
      <c r="Y8" s="30" t="n"/>
      <c r="Z8" s="30">
        <f>X8+Y8</f>
        <v/>
      </c>
      <c r="AB8" s="7" t="n">
        <v>6</v>
      </c>
      <c r="AC8" s="26" t="inlineStr">
        <is>
          <t>ENCON-7A AIR TUBE-88(dia)*72(I.D)*135MM(Lenth)</t>
        </is>
      </c>
      <c r="AD8" s="30" t="n">
        <v>2.12</v>
      </c>
      <c r="AE8" s="26" t="inlineStr">
        <is>
          <t>Kgs</t>
        </is>
      </c>
      <c r="AF8" s="30">
        <f>' Oil Burner'!AF9</f>
        <v/>
      </c>
      <c r="AG8" s="30">
        <f>AD8*AF8</f>
        <v/>
      </c>
      <c r="AH8" s="30" t="n"/>
      <c r="AI8" s="30">
        <f>AG8+AH8</f>
        <v/>
      </c>
      <c r="AT8" s="3" t="n"/>
    </row>
    <row r="9" ht="14.4" customHeight="1" s="307">
      <c r="A9" s="26" t="n">
        <v>7</v>
      </c>
      <c r="B9" s="26" t="inlineStr">
        <is>
          <t>GUN METAL MICRO VALVE -2A/3A</t>
        </is>
      </c>
      <c r="C9" s="30" t="n">
        <v>1</v>
      </c>
      <c r="D9" s="26" t="inlineStr">
        <is>
          <t>NO</t>
        </is>
      </c>
      <c r="E9" s="30">
        <f>Rates!K10</f>
        <v/>
      </c>
      <c r="F9" s="30">
        <f>C9*E9</f>
        <v/>
      </c>
      <c r="G9" s="30" t="n"/>
      <c r="H9" s="50">
        <f>F9+G9</f>
        <v/>
      </c>
      <c r="J9" s="7" t="n">
        <v>7</v>
      </c>
      <c r="K9" s="26" t="inlineStr">
        <is>
          <t>GUN METAL MICRO VALVE -4A</t>
        </is>
      </c>
      <c r="L9" s="30" t="n">
        <v>1</v>
      </c>
      <c r="M9" s="26" t="inlineStr">
        <is>
          <t>NO</t>
        </is>
      </c>
      <c r="N9" s="30">
        <f>Rates!K11</f>
        <v/>
      </c>
      <c r="O9" s="30">
        <f>L9*N9</f>
        <v/>
      </c>
      <c r="P9" s="30" t="n"/>
      <c r="Q9" s="50">
        <f>O9+P9</f>
        <v/>
      </c>
      <c r="S9" s="7" t="n">
        <v>7</v>
      </c>
      <c r="T9" s="26" t="inlineStr">
        <is>
          <t>FLEXIBLE HOSE-15NB*750MM with adopter</t>
        </is>
      </c>
      <c r="U9" s="30" t="n">
        <v>2</v>
      </c>
      <c r="V9" s="26" t="inlineStr">
        <is>
          <t>set</t>
        </is>
      </c>
      <c r="W9" s="30">
        <f>Rates!K14</f>
        <v/>
      </c>
      <c r="X9" s="30">
        <f>U9*W9</f>
        <v/>
      </c>
      <c r="Y9" s="30" t="n"/>
      <c r="Z9" s="30">
        <f>X9+Y9</f>
        <v/>
      </c>
      <c r="AB9" s="7" t="n">
        <v>7</v>
      </c>
      <c r="AC9" s="26" t="inlineStr">
        <is>
          <t>M.S.TIKKY- 175(dia)*80(I.D)*16MM Thick</t>
        </is>
      </c>
      <c r="AD9" s="30" t="n">
        <v>2.38</v>
      </c>
      <c r="AE9" s="26" t="inlineStr">
        <is>
          <t>Kgs</t>
        </is>
      </c>
      <c r="AF9" s="30">
        <f>' Oil Burner'!AF10</f>
        <v/>
      </c>
      <c r="AG9" s="30">
        <f>AD9*AF9</f>
        <v/>
      </c>
      <c r="AH9" s="30" t="n"/>
      <c r="AI9" s="30">
        <f>AG9+AH9</f>
        <v/>
      </c>
      <c r="AT9" s="3" t="n"/>
    </row>
    <row r="10" ht="14.4" customHeight="1" s="307">
      <c r="A10" s="26" t="n">
        <v>8</v>
      </c>
      <c r="B10" s="26" t="inlineStr">
        <is>
          <t>ADOPTER 15NB*20NB (OIL)</t>
        </is>
      </c>
      <c r="C10" s="30" t="n">
        <v>3</v>
      </c>
      <c r="D10" s="26" t="inlineStr">
        <is>
          <t>NO</t>
        </is>
      </c>
      <c r="E10" s="30" t="n">
        <v>30</v>
      </c>
      <c r="F10" s="30">
        <f>C10*E10</f>
        <v/>
      </c>
      <c r="G10" s="30" t="n"/>
      <c r="H10" s="50">
        <f>F10+G10</f>
        <v/>
      </c>
      <c r="J10" s="7" t="n">
        <v>8</v>
      </c>
      <c r="K10" s="26" t="inlineStr">
        <is>
          <t>ADOPTER 15NB*20NB (OIL)</t>
        </is>
      </c>
      <c r="L10" s="30" t="n">
        <v>3</v>
      </c>
      <c r="M10" s="26" t="inlineStr">
        <is>
          <t>NO</t>
        </is>
      </c>
      <c r="N10" s="30" t="n">
        <v>30</v>
      </c>
      <c r="O10" s="30">
        <f>L10*N10</f>
        <v/>
      </c>
      <c r="P10" s="30" t="n"/>
      <c r="Q10" s="50">
        <f>O10+P10</f>
        <v/>
      </c>
      <c r="S10" s="7" t="n">
        <v>8</v>
      </c>
      <c r="T10" s="26" t="inlineStr">
        <is>
          <t>GUN METAL MICRO VALVE -5A/6A</t>
        </is>
      </c>
      <c r="U10" s="30" t="n">
        <v>1</v>
      </c>
      <c r="V10" s="26" t="inlineStr">
        <is>
          <t>NO</t>
        </is>
      </c>
      <c r="W10" s="30">
        <f>Rates!K12</f>
        <v/>
      </c>
      <c r="X10" s="30">
        <f>U10*W10</f>
        <v/>
      </c>
      <c r="Y10" s="30" t="n"/>
      <c r="Z10" s="30">
        <f>X10+Y10</f>
        <v/>
      </c>
      <c r="AB10" s="7" t="n">
        <v>8</v>
      </c>
      <c r="AC10" s="26" t="inlineStr">
        <is>
          <t>M.S. TIKKY-90(dia)*40(I.D)*40MM Thick</t>
        </is>
      </c>
      <c r="AD10" s="30" t="n">
        <v>1.6</v>
      </c>
      <c r="AE10" s="26" t="inlineStr">
        <is>
          <t>Kgs</t>
        </is>
      </c>
      <c r="AF10" s="30">
        <f>' Oil Burner'!AF11</f>
        <v/>
      </c>
      <c r="AG10" s="30">
        <f>AD10*AF10</f>
        <v/>
      </c>
      <c r="AH10" s="30" t="n"/>
      <c r="AI10" s="30">
        <f>AG10+AH10</f>
        <v/>
      </c>
      <c r="AT10" s="3" t="n"/>
    </row>
    <row r="11" ht="14.4" customHeight="1" s="307">
      <c r="A11" s="26" t="n">
        <v>9</v>
      </c>
      <c r="B11" s="26" t="inlineStr">
        <is>
          <t>ADOPTER 15NB*15NB (AIR)</t>
        </is>
      </c>
      <c r="C11" s="30" t="n">
        <v>4</v>
      </c>
      <c r="D11" s="26" t="inlineStr">
        <is>
          <t>Nos</t>
        </is>
      </c>
      <c r="E11" s="30" t="n">
        <v>30</v>
      </c>
      <c r="F11" s="30">
        <f>C11*E11</f>
        <v/>
      </c>
      <c r="G11" s="30" t="n"/>
      <c r="H11" s="50">
        <f>F11+G11</f>
        <v/>
      </c>
      <c r="J11" s="7" t="n">
        <v>9</v>
      </c>
      <c r="K11" s="26" t="inlineStr">
        <is>
          <t>ADOPTER 20NB*20NB (AIR)</t>
        </is>
      </c>
      <c r="L11" s="30" t="n">
        <v>4</v>
      </c>
      <c r="M11" s="26" t="inlineStr">
        <is>
          <t>Nos</t>
        </is>
      </c>
      <c r="N11" s="30" t="n">
        <v>30</v>
      </c>
      <c r="O11" s="30">
        <f>L11*N11</f>
        <v/>
      </c>
      <c r="P11" s="30" t="n"/>
      <c r="Q11" s="50">
        <f>O11+P11</f>
        <v/>
      </c>
      <c r="S11" s="7" t="n">
        <v>9</v>
      </c>
      <c r="T11" s="26" t="inlineStr">
        <is>
          <t>ADOPTER 15NB*20NB (OIL)</t>
        </is>
      </c>
      <c r="U11" s="30" t="n">
        <v>1</v>
      </c>
      <c r="V11" s="26" t="inlineStr">
        <is>
          <t>NO</t>
        </is>
      </c>
      <c r="W11" s="30" t="n">
        <v>30</v>
      </c>
      <c r="X11" s="30">
        <f>U11*W11</f>
        <v/>
      </c>
      <c r="Y11" s="30" t="n"/>
      <c r="Z11" s="30">
        <f>X11+Y11</f>
        <v/>
      </c>
      <c r="AB11" s="7" t="n">
        <v>9</v>
      </c>
      <c r="AC11" s="26" t="inlineStr">
        <is>
          <t>ENCON-7A SPACER-80(dia)*40(I.D)*35MM(Lenth)</t>
        </is>
      </c>
      <c r="AD11" s="30" t="n">
        <v>1</v>
      </c>
      <c r="AE11" s="26" t="inlineStr">
        <is>
          <t>Kgs</t>
        </is>
      </c>
      <c r="AF11" s="30">
        <f>' Oil Burner'!AF12</f>
        <v/>
      </c>
      <c r="AG11" s="30">
        <f>AD11*AF11</f>
        <v/>
      </c>
      <c r="AH11" s="30" t="n"/>
      <c r="AI11" s="30">
        <f>AG11+AH11</f>
        <v/>
      </c>
      <c r="AT11" s="3" t="n"/>
    </row>
    <row r="12" ht="14.4" customHeight="1" s="307">
      <c r="A12" s="26" t="n">
        <v>10</v>
      </c>
      <c r="B12" s="26" t="inlineStr">
        <is>
          <t>Labour charge</t>
        </is>
      </c>
      <c r="C12" s="30" t="n"/>
      <c r="D12" s="26" t="n"/>
      <c r="E12" s="30" t="n"/>
      <c r="F12" s="30" t="n"/>
      <c r="G12" s="30" t="n"/>
      <c r="H12" s="50" t="n">
        <v>2100</v>
      </c>
      <c r="J12" s="7" t="n">
        <v>10</v>
      </c>
      <c r="K12" s="26" t="inlineStr">
        <is>
          <t>labour charge</t>
        </is>
      </c>
      <c r="L12" s="30" t="n"/>
      <c r="M12" s="26" t="n"/>
      <c r="N12" s="30" t="n"/>
      <c r="O12" s="30" t="n"/>
      <c r="P12" s="30" t="n"/>
      <c r="Q12" s="50" t="n">
        <v>2400</v>
      </c>
      <c r="S12" s="7" t="n">
        <v>10</v>
      </c>
      <c r="T12" s="26" t="inlineStr">
        <is>
          <t>ADOPTER 20NB*20NB (AIR)</t>
        </is>
      </c>
      <c r="U12" s="30" t="n">
        <v>2</v>
      </c>
      <c r="V12" s="26" t="inlineStr">
        <is>
          <t>Nos</t>
        </is>
      </c>
      <c r="W12" s="30" t="n">
        <v>30</v>
      </c>
      <c r="X12" s="30">
        <f>U12*W12</f>
        <v/>
      </c>
      <c r="Y12" s="30" t="n"/>
      <c r="Z12" s="30">
        <f>X12+Y12</f>
        <v/>
      </c>
      <c r="AB12" s="7" t="n">
        <v>10</v>
      </c>
      <c r="AC12" s="26" t="inlineStr">
        <is>
          <t>ENCON-7A S.S ASSY.</t>
        </is>
      </c>
      <c r="AD12" s="30" t="n">
        <v>1</v>
      </c>
      <c r="AE12" s="26" t="inlineStr">
        <is>
          <t>Set</t>
        </is>
      </c>
      <c r="AF12" s="30">
        <f>' Oil Burner'!AF13</f>
        <v/>
      </c>
      <c r="AG12" s="30">
        <f>AD12*AF12</f>
        <v/>
      </c>
      <c r="AH12" s="30" t="n"/>
      <c r="AI12" s="30">
        <f>AG12+AH12</f>
        <v/>
      </c>
      <c r="AT12" s="3" t="n"/>
    </row>
    <row r="13" ht="14.4" customHeight="1" s="307">
      <c r="A13" s="26" t="n">
        <v>11</v>
      </c>
      <c r="B13" s="26" t="inlineStr">
        <is>
          <t>PAINT PRIMER,BOLT</t>
        </is>
      </c>
      <c r="C13" s="30" t="n"/>
      <c r="D13" s="26" t="n"/>
      <c r="E13" s="30" t="n"/>
      <c r="F13" s="30" t="n"/>
      <c r="G13" s="30" t="n"/>
      <c r="H13" s="50" t="n">
        <v>400</v>
      </c>
      <c r="J13" s="7" t="n">
        <v>11</v>
      </c>
      <c r="K13" s="26" t="inlineStr">
        <is>
          <t>PAINT PRIMER,BOLT</t>
        </is>
      </c>
      <c r="L13" s="30" t="n"/>
      <c r="M13" s="26" t="n"/>
      <c r="N13" s="30" t="n"/>
      <c r="O13" s="30" t="n">
        <v>300</v>
      </c>
      <c r="P13" s="30" t="n"/>
      <c r="Q13" s="50" t="n">
        <v>400</v>
      </c>
      <c r="S13" s="7" t="n">
        <v>11</v>
      </c>
      <c r="T13" s="26" t="inlineStr">
        <is>
          <t>labour charge</t>
        </is>
      </c>
      <c r="U13" s="30" t="n"/>
      <c r="V13" s="26" t="n"/>
      <c r="W13" s="30" t="n"/>
      <c r="X13" s="30" t="n"/>
      <c r="Y13" s="30" t="n"/>
      <c r="Z13" s="30" t="n">
        <v>2900</v>
      </c>
      <c r="AB13" s="7" t="n">
        <v>11</v>
      </c>
      <c r="AC13" s="26" t="inlineStr">
        <is>
          <t>ENCON-7A MICRO VALVE</t>
        </is>
      </c>
      <c r="AD13" s="30" t="n">
        <v>1</v>
      </c>
      <c r="AE13" s="26" t="inlineStr">
        <is>
          <t>NO</t>
        </is>
      </c>
      <c r="AF13" s="30">
        <f>' Oil Burner'!AF14</f>
        <v/>
      </c>
      <c r="AG13" s="30">
        <f>AD13*AF13</f>
        <v/>
      </c>
      <c r="AH13" s="30" t="n"/>
      <c r="AI13" s="30">
        <f>AG13+AH13</f>
        <v/>
      </c>
      <c r="AT13" s="3" t="n"/>
    </row>
    <row r="14" ht="14.4" customHeight="1" s="307">
      <c r="A14" s="26" t="n"/>
      <c r="B14" s="26" t="n"/>
      <c r="C14" s="30" t="n"/>
      <c r="D14" s="26" t="n"/>
      <c r="E14" s="49" t="n"/>
      <c r="F14" s="49" t="n"/>
      <c r="G14" s="30" t="inlineStr">
        <is>
          <t>Total</t>
        </is>
      </c>
      <c r="H14" s="50">
        <f>SUM(H3:H13)</f>
        <v/>
      </c>
      <c r="J14" s="7" t="n"/>
      <c r="K14" s="26" t="n"/>
      <c r="L14" s="30" t="n"/>
      <c r="M14" s="26" t="n"/>
      <c r="N14" s="49" t="inlineStr">
        <is>
          <t>TOTAL</t>
        </is>
      </c>
      <c r="O14" s="30" t="n"/>
      <c r="P14" s="30" t="n"/>
      <c r="Q14" s="50">
        <f>SUM(Q3:Q13)</f>
        <v/>
      </c>
      <c r="S14" s="7" t="n">
        <v>12</v>
      </c>
      <c r="T14" s="26" t="inlineStr">
        <is>
          <t>PAINT  PRIMER,BOLT</t>
        </is>
      </c>
      <c r="U14" s="30" t="n"/>
      <c r="V14" s="26" t="n"/>
      <c r="W14" s="30" t="n"/>
      <c r="X14" s="30" t="n">
        <v>350</v>
      </c>
      <c r="Y14" s="30" t="n"/>
      <c r="Z14" s="30" t="n">
        <v>400</v>
      </c>
      <c r="AB14" s="7" t="n">
        <v>12</v>
      </c>
      <c r="AC14" s="26" t="inlineStr">
        <is>
          <t>FLEXIBLE HOSE-20NB*1000MM (OIL )</t>
        </is>
      </c>
      <c r="AD14" s="30" t="n">
        <v>3</v>
      </c>
      <c r="AE14" s="26" t="inlineStr">
        <is>
          <t>set</t>
        </is>
      </c>
      <c r="AF14" s="30">
        <f>' Oil Burner'!AF15</f>
        <v/>
      </c>
      <c r="AG14" s="30">
        <f>AD14*AF14</f>
        <v/>
      </c>
      <c r="AH14" s="30" t="n"/>
      <c r="AI14" s="30">
        <f>AG14+AH14</f>
        <v/>
      </c>
      <c r="AT14" s="3" t="n"/>
    </row>
    <row r="15" ht="14.4" customHeight="1" s="307">
      <c r="S15" s="7" t="n"/>
      <c r="T15" s="26" t="n"/>
      <c r="U15" s="30" t="n"/>
      <c r="V15" s="26" t="n"/>
      <c r="W15" s="49" t="inlineStr">
        <is>
          <t>TOTAL</t>
        </is>
      </c>
      <c r="X15" s="30" t="n"/>
      <c r="Y15" s="30" t="n"/>
      <c r="Z15" s="30">
        <f>SUM(Z3:Z14)</f>
        <v/>
      </c>
      <c r="AB15" s="7" t="n">
        <v>13</v>
      </c>
      <c r="AC15" s="26" t="inlineStr">
        <is>
          <t>FLEXIBLE HOSE-25NB*1000MM (AIR )</t>
        </is>
      </c>
      <c r="AD15" s="30" t="n">
        <v>1</v>
      </c>
      <c r="AE15" s="26" t="inlineStr">
        <is>
          <t>No</t>
        </is>
      </c>
      <c r="AF15" s="30">
        <f>' Oil Burner'!AF16</f>
        <v/>
      </c>
      <c r="AG15" s="30">
        <f>AD15*AF15</f>
        <v/>
      </c>
      <c r="AH15" s="30" t="n"/>
      <c r="AI15" s="30">
        <f>AG15+AH15</f>
        <v/>
      </c>
      <c r="AT15" s="3" t="n"/>
    </row>
    <row r="16" ht="14.4" customHeight="1" s="307">
      <c r="B16" s="3" t="n"/>
      <c r="C16" s="3" t="n"/>
      <c r="D16" s="3" t="n"/>
      <c r="E16" s="3" t="n"/>
      <c r="F16" s="3" t="n"/>
      <c r="G16" s="3" t="n"/>
      <c r="H16" s="3" t="n"/>
      <c r="I16" s="3" t="n"/>
      <c r="AB16" s="7" t="n">
        <v>14</v>
      </c>
      <c r="AC16" s="26" t="inlineStr">
        <is>
          <t>Butterfly valve</t>
        </is>
      </c>
      <c r="AD16" s="30" t="n">
        <v>1</v>
      </c>
      <c r="AE16" s="26" t="inlineStr">
        <is>
          <t>No</t>
        </is>
      </c>
      <c r="AF16" s="30">
        <f>' Oil Burner'!AF17</f>
        <v/>
      </c>
      <c r="AG16" s="30">
        <f>AD16*AF16</f>
        <v/>
      </c>
      <c r="AH16" s="30" t="n"/>
      <c r="AI16" s="30">
        <f>AG16+AH16</f>
        <v/>
      </c>
      <c r="AT16" s="3" t="n"/>
    </row>
    <row r="17" ht="14.4" customHeight="1" s="307">
      <c r="A17" s="3" t="n"/>
      <c r="B17" s="3" t="n"/>
      <c r="C17" s="3" t="n"/>
      <c r="D17" s="3" t="n"/>
      <c r="E17" s="3" t="n"/>
      <c r="F17" s="3" t="n"/>
      <c r="G17" s="3" t="n"/>
      <c r="H17" s="3" t="n"/>
      <c r="I17" s="3" t="n"/>
      <c r="AB17" s="7" t="n">
        <v>15</v>
      </c>
      <c r="AC17" s="26" t="inlineStr">
        <is>
          <t>Y-STRAINER 25NB</t>
        </is>
      </c>
      <c r="AD17" s="30" t="n">
        <v>1</v>
      </c>
      <c r="AE17" s="26" t="inlineStr">
        <is>
          <t>No</t>
        </is>
      </c>
      <c r="AF17" s="30">
        <f>' Oil Burner'!AF18</f>
        <v/>
      </c>
      <c r="AG17" s="30">
        <f>AD17*AF17</f>
        <v/>
      </c>
      <c r="AH17" s="30" t="n"/>
      <c r="AI17" s="30">
        <f>AG17+AH17</f>
        <v/>
      </c>
      <c r="AT17" s="3" t="n"/>
    </row>
    <row r="18" ht="15.75" customHeight="1" s="307">
      <c r="A18" s="3" t="n"/>
      <c r="B18" s="3" t="n"/>
      <c r="C18" s="3" t="n"/>
      <c r="D18" s="3" t="n"/>
      <c r="E18" s="3" t="n"/>
      <c r="F18" s="3" t="n"/>
      <c r="G18" s="3" t="n"/>
      <c r="H18" s="3" t="n"/>
      <c r="I18" s="3" t="n"/>
      <c r="AB18" s="7" t="n">
        <v>16</v>
      </c>
      <c r="AC18" s="26" t="inlineStr">
        <is>
          <t>ENCON-7A BURNER BLOCK</t>
        </is>
      </c>
      <c r="AD18" s="30" t="n">
        <v>1</v>
      </c>
      <c r="AE18" s="26" t="inlineStr">
        <is>
          <t>No</t>
        </is>
      </c>
      <c r="AF18" s="30">
        <f>' Oil Burner'!AF19</f>
        <v/>
      </c>
      <c r="AG18" s="30" t="n"/>
      <c r="AH18" s="30" t="n"/>
      <c r="AI18" s="30" t="n">
        <v>31048</v>
      </c>
      <c r="AT18" s="3" t="n"/>
    </row>
    <row r="19" ht="15.75" customHeight="1" s="307">
      <c r="A19" s="3" t="n"/>
      <c r="B19" s="3" t="n"/>
      <c r="C19" s="3" t="n"/>
      <c r="D19" s="3" t="n"/>
      <c r="E19" s="3" t="n"/>
      <c r="F19" s="3" t="n"/>
      <c r="G19" s="3" t="n"/>
      <c r="H19" s="3" t="n"/>
      <c r="I19" s="3" t="n"/>
      <c r="AB19" s="7" t="n">
        <v>17</v>
      </c>
      <c r="AC19" s="26" t="inlineStr">
        <is>
          <t>M.S.PIPE-50NB*100MM</t>
        </is>
      </c>
      <c r="AD19" s="30" t="n">
        <v>1</v>
      </c>
      <c r="AE19" s="26" t="inlineStr">
        <is>
          <t>NO</t>
        </is>
      </c>
      <c r="AF19" s="30">
        <f>' Oil Burner'!AF21</f>
        <v/>
      </c>
      <c r="AG19" s="30">
        <f>AD19*AF19</f>
        <v/>
      </c>
      <c r="AH19" s="30" t="n"/>
      <c r="AI19" s="30">
        <f>AG19+AH19</f>
        <v/>
      </c>
      <c r="AT19" s="3" t="n"/>
    </row>
    <row r="20" ht="15.75" customHeight="1" s="307">
      <c r="A20" s="3" t="n"/>
      <c r="B20" s="3" t="n"/>
      <c r="C20" s="3" t="n"/>
      <c r="D20" s="3" t="n"/>
      <c r="E20" s="3" t="n"/>
      <c r="F20" s="3" t="n"/>
      <c r="G20" s="3" t="n"/>
      <c r="H20" s="3" t="n"/>
      <c r="I20" s="3" t="n"/>
      <c r="AB20" s="7" t="n">
        <v>18</v>
      </c>
      <c r="AC20" s="26" t="inlineStr">
        <is>
          <t>Labour charge</t>
        </is>
      </c>
      <c r="AD20" s="30" t="n"/>
      <c r="AE20" s="26" t="n"/>
      <c r="AF20" s="30" t="n"/>
      <c r="AG20" s="30" t="n"/>
      <c r="AH20" s="30" t="n"/>
      <c r="AI20" s="30" t="n">
        <v>5000</v>
      </c>
      <c r="AT20" s="3" t="n"/>
    </row>
    <row r="21" ht="15.75" customHeight="1" s="307">
      <c r="A21" s="3" t="n"/>
      <c r="B21" s="3" t="n"/>
      <c r="C21" s="3" t="n"/>
      <c r="D21" s="3" t="n"/>
      <c r="E21" s="3" t="n"/>
      <c r="F21" s="3" t="n"/>
      <c r="G21" s="3" t="n"/>
      <c r="H21" s="3" t="n"/>
      <c r="I21" s="3" t="n"/>
      <c r="AB21" s="7" t="n">
        <v>19</v>
      </c>
      <c r="AC21" s="26" t="inlineStr">
        <is>
          <t>PAINT PRIMER,BOLT</t>
        </is>
      </c>
      <c r="AD21" s="30" t="n"/>
      <c r="AE21" s="26" t="n"/>
      <c r="AF21" s="30" t="n"/>
      <c r="AG21" s="30" t="n">
        <v>400</v>
      </c>
      <c r="AH21" s="30" t="n"/>
      <c r="AI21" s="30" t="n">
        <v>500</v>
      </c>
      <c r="AT21" s="3" t="n"/>
    </row>
    <row r="22" ht="16.5" customHeight="1" s="307">
      <c r="A22" s="3" t="n"/>
      <c r="B22" s="3" t="n"/>
      <c r="C22" s="3" t="n"/>
      <c r="D22" s="3" t="n"/>
      <c r="E22" s="3" t="n"/>
      <c r="F22" s="3" t="n"/>
      <c r="G22" s="3" t="n"/>
      <c r="H22" s="3" t="n"/>
      <c r="I22" s="3" t="n"/>
      <c r="AB22" s="7" t="n"/>
      <c r="AC22" s="26" t="n"/>
      <c r="AD22" s="30" t="n"/>
      <c r="AE22" s="26" t="n"/>
      <c r="AF22" s="49" t="inlineStr">
        <is>
          <t>TOTAL</t>
        </is>
      </c>
      <c r="AG22" s="30" t="n"/>
      <c r="AH22" s="30" t="n"/>
      <c r="AI22" s="30">
        <f>SUM(AI3:AI21)</f>
        <v/>
      </c>
      <c r="AT22" s="3" t="n"/>
    </row>
    <row r="23" ht="15.75" customHeight="1" s="307">
      <c r="AT23" s="3" t="n"/>
    </row>
    <row r="24" ht="15.75" customHeight="1" s="307"/>
    <row r="25" ht="15.75" customHeight="1" s="307"/>
    <row r="26" ht="15.75" customHeight="1" s="307"/>
    <row r="27" ht="15.75" customHeight="1" s="307"/>
    <row r="28" ht="15.75" customHeight="1" s="307"/>
    <row r="29" ht="15.75" customHeight="1" s="307"/>
    <row r="30" ht="15.75" customHeight="1" s="307"/>
    <row r="31" ht="15.75" customHeight="1" s="307"/>
    <row r="32" ht="15.75" customHeight="1" s="307"/>
    <row r="33" ht="15.75" customHeight="1" s="307"/>
    <row r="34" ht="15.75" customHeight="1" s="307"/>
    <row r="35" ht="15.75" customHeight="1" s="307"/>
    <row r="36" ht="15.75" customHeight="1" s="307"/>
    <row r="37" ht="15.75" customHeight="1" s="307"/>
    <row r="38" ht="15.75" customHeight="1" s="307"/>
    <row r="39" ht="15.75" customHeight="1" s="307"/>
    <row r="40" ht="15.75" customHeight="1" s="307"/>
    <row r="41" ht="15.75" customHeight="1" s="307"/>
    <row r="42" ht="15.75" customHeight="1" s="307"/>
    <row r="43" ht="15.75" customHeight="1" s="307"/>
    <row r="44" ht="15.75" customHeight="1" s="307"/>
    <row r="45" ht="15.75" customHeight="1" s="307"/>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mergeCells count="4">
    <mergeCell ref="J1:Q1"/>
    <mergeCell ref="S1:Z1"/>
    <mergeCell ref="AB1:AI1"/>
    <mergeCell ref="A1:H1"/>
  </mergeCells>
  <pageMargins left="0.25" right="0.25" top="0.75" bottom="0.75" header="0" footer="0"/>
  <pageSetup orientation="landscape" paperSize="9"/>
  <colBreaks count="1" manualBreakCount="1">
    <brk id="17" min="0" max="16383" man="1"/>
  </colBreaks>
</worksheet>
</file>

<file path=xl/worksheets/sheet4.xml><?xml version="1.0" encoding="utf-8"?>
<worksheet xmlns="http://schemas.openxmlformats.org/spreadsheetml/2006/main">
  <sheetPr>
    <tabColor rgb="FFFF0000"/>
    <outlinePr summaryBelow="1" summaryRight="1"/>
    <pageSetUpPr fitToPage="1"/>
  </sheetPr>
  <dimension ref="A1:T37"/>
  <sheetViews>
    <sheetView topLeftCell="H1" workbookViewId="0">
      <selection activeCell="I5" sqref="I5"/>
    </sheetView>
  </sheetViews>
  <sheetFormatPr baseColWidth="8" defaultColWidth="14.44140625" defaultRowHeight="15" customHeight="1"/>
  <cols>
    <col width="15.33203125" customWidth="1" style="307" min="1" max="1"/>
    <col width="12" customWidth="1" style="307" min="2" max="2"/>
    <col width="10.109375" customWidth="1" style="307" min="3" max="3"/>
    <col width="7" customWidth="1" style="307" min="4" max="4"/>
    <col width="10.33203125" customWidth="1" style="307" min="5" max="5"/>
    <col width="10.5546875" customWidth="1" style="307" min="6" max="6"/>
    <col width="8.6640625" customWidth="1" style="307" min="7" max="7"/>
    <col width="11.33203125" customWidth="1" style="307" min="8" max="8"/>
    <col width="14.5546875" customWidth="1" style="307" min="9" max="9"/>
    <col width="15.44140625" customWidth="1" style="307" min="10" max="10"/>
    <col width="14.44140625" customWidth="1" style="307" min="11" max="11"/>
    <col width="12" customWidth="1" style="307" min="12" max="12"/>
    <col width="14.6640625" customWidth="1" style="307" min="13" max="13"/>
    <col width="9.88671875" customWidth="1" style="307" min="14" max="14"/>
    <col width="6" customWidth="1" style="307" min="15" max="15"/>
    <col width="6.109375" customWidth="1" style="307" min="16" max="16"/>
    <col width="8.6640625" customWidth="1" style="307" min="17" max="17"/>
    <col width="14.44140625" customWidth="1" style="307" min="18" max="20"/>
    <col width="8.6640625" customWidth="1" style="307" min="21" max="26"/>
  </cols>
  <sheetData>
    <row r="1" ht="14.4" customHeight="1" s="307">
      <c r="A1" s="51" t="inlineStr">
        <is>
          <t>Recuperator F</t>
        </is>
      </c>
      <c r="B1" s="52" t="n"/>
      <c r="C1" s="52" t="n"/>
      <c r="D1" s="52" t="n"/>
      <c r="E1" s="52" t="n"/>
      <c r="F1" s="52" t="n"/>
      <c r="G1" s="52" t="n"/>
      <c r="H1" s="52" t="n"/>
      <c r="I1" s="52" t="n"/>
      <c r="J1" s="52" t="n"/>
      <c r="K1" s="53" t="n"/>
      <c r="M1" s="51" t="inlineStr">
        <is>
          <t>Recuperator HT</t>
        </is>
      </c>
      <c r="N1" s="52" t="n"/>
      <c r="O1" s="52" t="n"/>
      <c r="P1" s="52" t="n"/>
      <c r="Q1" s="52" t="n"/>
      <c r="R1" s="52" t="n"/>
      <c r="S1" s="52" t="n"/>
      <c r="T1" s="53" t="n"/>
    </row>
    <row r="2" ht="53.4" customHeight="1" s="307">
      <c r="A2" s="54" t="inlineStr">
        <is>
          <t>Model</t>
        </is>
      </c>
      <c r="B2" s="22" t="inlineStr">
        <is>
          <t>MS Tube "C" Class (mtr)</t>
        </is>
      </c>
      <c r="C2" s="22" t="inlineStr">
        <is>
          <t>CI Gills (Nos)</t>
        </is>
      </c>
      <c r="D2" s="22" t="inlineStr">
        <is>
          <t>M.S. Angle 65,50 (Kg)</t>
        </is>
      </c>
      <c r="E2" s="22" t="inlineStr">
        <is>
          <t>M.S. Angle 100,100 (Kg)</t>
        </is>
      </c>
      <c r="F2" s="22" t="inlineStr">
        <is>
          <t>M.S Plate 16mm* 5mm</t>
        </is>
      </c>
      <c r="G2" s="22" t="inlineStr">
        <is>
          <t>Hardware Bolt (KG)</t>
        </is>
      </c>
      <c r="H2" s="22" t="inlineStr">
        <is>
          <t>M.S.Chanel (Kg)</t>
        </is>
      </c>
      <c r="I2" s="404" t="inlineStr">
        <is>
          <t>Toal Cost</t>
        </is>
      </c>
      <c r="J2" s="56" t="n"/>
      <c r="K2" s="57" t="n"/>
      <c r="M2" s="58" t="inlineStr">
        <is>
          <t>Model</t>
        </is>
      </c>
      <c r="N2" s="59" t="inlineStr">
        <is>
          <t>M.S. Plate 16mm*10mm</t>
        </is>
      </c>
      <c r="O2" s="59" t="inlineStr">
        <is>
          <t>M.S. Plate 5mm</t>
        </is>
      </c>
      <c r="P2" s="59" t="inlineStr">
        <is>
          <t>M.S. Angle 50*6</t>
        </is>
      </c>
      <c r="Q2" s="59" t="inlineStr">
        <is>
          <t>S.S Sheet</t>
        </is>
      </c>
      <c r="R2" s="59" t="inlineStr">
        <is>
          <t>Total Cost</t>
        </is>
      </c>
      <c r="S2" s="60" t="n"/>
      <c r="T2" s="61" t="n"/>
    </row>
    <row r="3" ht="14.4" customHeight="1" s="307">
      <c r="A3" s="62" t="inlineStr">
        <is>
          <t>10 F</t>
        </is>
      </c>
      <c r="B3" s="4" t="n">
        <v>38</v>
      </c>
      <c r="C3" s="4" t="n"/>
      <c r="D3" s="4" t="n">
        <v>269</v>
      </c>
      <c r="E3" s="4" t="n">
        <v>103</v>
      </c>
      <c r="F3" s="4" t="n">
        <v>200</v>
      </c>
      <c r="G3" s="4" t="n">
        <v>18</v>
      </c>
      <c r="H3" s="4" t="n">
        <v>98</v>
      </c>
      <c r="I3" s="405">
        <f>K12</f>
        <v/>
      </c>
      <c r="J3" s="64" t="n"/>
      <c r="K3" s="65" t="n"/>
      <c r="M3" s="29" t="inlineStr">
        <is>
          <t>1 HT</t>
        </is>
      </c>
      <c r="N3" s="26" t="n">
        <v>29</v>
      </c>
      <c r="O3" s="26" t="n">
        <v>129</v>
      </c>
      <c r="P3" s="26" t="n">
        <v>9</v>
      </c>
      <c r="Q3" s="26" t="n">
        <v>62</v>
      </c>
      <c r="R3" s="406">
        <f>T12</f>
        <v/>
      </c>
      <c r="S3" s="3" t="n"/>
      <c r="T3" s="67" t="n"/>
    </row>
    <row r="4" ht="14.4" customHeight="1" s="307">
      <c r="A4" s="62" t="inlineStr">
        <is>
          <t>20 F</t>
        </is>
      </c>
      <c r="B4" s="4" t="n">
        <v>64</v>
      </c>
      <c r="C4" s="4" t="n"/>
      <c r="D4" s="4" t="n">
        <v>270</v>
      </c>
      <c r="E4" s="4" t="n">
        <v>56</v>
      </c>
      <c r="F4" s="4" t="n">
        <v>450</v>
      </c>
      <c r="G4" s="4" t="n">
        <v>20</v>
      </c>
      <c r="H4" s="4" t="n"/>
      <c r="I4" s="405">
        <f>K13</f>
        <v/>
      </c>
      <c r="J4" s="64" t="n"/>
      <c r="K4" s="65" t="n"/>
      <c r="M4" s="29" t="inlineStr">
        <is>
          <t>2 HT</t>
        </is>
      </c>
      <c r="N4" s="26" t="n">
        <v>32</v>
      </c>
      <c r="O4" s="26" t="n">
        <v>150</v>
      </c>
      <c r="P4" s="26" t="n">
        <v>9</v>
      </c>
      <c r="Q4" s="26" t="n">
        <v>86</v>
      </c>
      <c r="R4" s="406">
        <f>T13</f>
        <v/>
      </c>
      <c r="S4" s="3" t="n"/>
      <c r="T4" s="67" t="n"/>
    </row>
    <row r="5" ht="14.4" customHeight="1" s="307">
      <c r="A5" s="62" t="inlineStr">
        <is>
          <t>30 F</t>
        </is>
      </c>
      <c r="B5" s="4" t="n">
        <v>128</v>
      </c>
      <c r="C5" s="4" t="n"/>
      <c r="D5" s="4" t="n">
        <v>427</v>
      </c>
      <c r="E5" s="4" t="n">
        <v>279</v>
      </c>
      <c r="F5" s="4" t="n">
        <v>795</v>
      </c>
      <c r="G5" s="4" t="n">
        <v>30</v>
      </c>
      <c r="H5" s="4" t="n"/>
      <c r="I5" s="405">
        <f>K14</f>
        <v/>
      </c>
      <c r="J5" s="64" t="n"/>
      <c r="K5" s="65" t="n"/>
      <c r="M5" s="29" t="inlineStr">
        <is>
          <t>5 HT</t>
        </is>
      </c>
      <c r="N5" s="26" t="n">
        <v>53</v>
      </c>
      <c r="O5" s="26" t="n">
        <v>311</v>
      </c>
      <c r="P5" s="26" t="n">
        <v>13.5</v>
      </c>
      <c r="Q5" s="26" t="n">
        <v>223</v>
      </c>
      <c r="R5" s="406">
        <f>T14</f>
        <v/>
      </c>
      <c r="S5" s="3" t="n"/>
      <c r="T5" s="67" t="n"/>
    </row>
    <row r="6" ht="14.4" customHeight="1" s="307">
      <c r="A6" s="62" t="inlineStr">
        <is>
          <t>40 F</t>
        </is>
      </c>
      <c r="B6" s="4" t="n">
        <v>146</v>
      </c>
      <c r="C6" s="4" t="n"/>
      <c r="D6" s="4" t="n">
        <v>392</v>
      </c>
      <c r="E6" s="4" t="n">
        <v>305</v>
      </c>
      <c r="F6" s="4" t="n">
        <v>795</v>
      </c>
      <c r="G6" s="4" t="n">
        <v>40</v>
      </c>
      <c r="H6" s="4" t="n"/>
      <c r="I6" s="405">
        <f>K15</f>
        <v/>
      </c>
      <c r="J6" s="64" t="n"/>
      <c r="K6" s="65" t="n"/>
      <c r="M6" s="29" t="inlineStr">
        <is>
          <t>10 HT</t>
        </is>
      </c>
      <c r="N6" s="26" t="n">
        <v>93</v>
      </c>
      <c r="O6" s="26" t="n">
        <v>571</v>
      </c>
      <c r="P6" s="26" t="n">
        <v>22</v>
      </c>
      <c r="Q6" s="26" t="n">
        <v>435</v>
      </c>
      <c r="R6" s="406">
        <f>T15</f>
        <v/>
      </c>
      <c r="S6" s="3" t="n"/>
      <c r="T6" s="67" t="n"/>
    </row>
    <row r="7" ht="14.4" customHeight="1" s="307">
      <c r="A7" s="62" t="inlineStr">
        <is>
          <t>50 F</t>
        </is>
      </c>
      <c r="B7" s="4" t="n">
        <v>182</v>
      </c>
      <c r="C7" s="4" t="n"/>
      <c r="D7" s="4" t="n">
        <v>431</v>
      </c>
      <c r="E7" s="4" t="n">
        <v>312</v>
      </c>
      <c r="F7" s="4" t="n">
        <v>960</v>
      </c>
      <c r="G7" s="4" t="n">
        <v>40</v>
      </c>
      <c r="H7" s="4" t="n"/>
      <c r="I7" s="405">
        <f>K16</f>
        <v/>
      </c>
      <c r="J7" s="64" t="n"/>
      <c r="K7" s="65" t="n"/>
      <c r="M7" s="68" t="n"/>
      <c r="N7" s="3" t="n"/>
      <c r="O7" s="3" t="n"/>
      <c r="P7" s="3" t="n"/>
      <c r="Q7" s="3" t="n"/>
      <c r="R7" s="3" t="n"/>
      <c r="S7" s="3" t="n"/>
      <c r="T7" s="67" t="n"/>
    </row>
    <row r="8" ht="14.4" customHeight="1" s="307">
      <c r="A8" s="62" t="inlineStr">
        <is>
          <t>100 F</t>
        </is>
      </c>
      <c r="B8" s="4" t="n">
        <v>354</v>
      </c>
      <c r="C8" s="4" t="n"/>
      <c r="D8" s="4" t="n">
        <v>456</v>
      </c>
      <c r="E8" s="4" t="n">
        <v>381</v>
      </c>
      <c r="F8" s="4" t="n">
        <v>170</v>
      </c>
      <c r="G8" s="4" t="n">
        <v>35</v>
      </c>
      <c r="H8" s="4" t="n"/>
      <c r="I8" s="405">
        <f>K17</f>
        <v/>
      </c>
      <c r="J8" s="64" t="n"/>
      <c r="K8" s="65" t="n"/>
      <c r="M8" s="68" t="n"/>
      <c r="N8" s="3" t="n"/>
      <c r="O8" s="3" t="n"/>
      <c r="P8" s="3" t="n"/>
      <c r="Q8" s="3" t="n"/>
      <c r="R8" s="3" t="n"/>
      <c r="S8" s="3" t="n"/>
      <c r="T8" s="67" t="n"/>
    </row>
    <row r="9" ht="14.4" customHeight="1" s="307">
      <c r="A9" s="69" t="n"/>
      <c r="B9" s="64" t="n"/>
      <c r="C9" s="64" t="n"/>
      <c r="D9" s="64" t="n"/>
      <c r="E9" s="64" t="n"/>
      <c r="F9" s="64" t="n"/>
      <c r="G9" s="64" t="n"/>
      <c r="H9" s="64" t="n"/>
      <c r="I9" s="407" t="n"/>
      <c r="J9" s="64" t="n"/>
      <c r="K9" s="65" t="n"/>
      <c r="M9" s="68" t="n"/>
      <c r="N9" s="3" t="n"/>
      <c r="O9" s="3" t="n"/>
      <c r="P9" s="3" t="n"/>
      <c r="Q9" s="3" t="n"/>
      <c r="R9" s="3" t="n"/>
      <c r="S9" s="3" t="n"/>
      <c r="T9" s="67" t="n"/>
    </row>
    <row r="10" ht="14.4" customHeight="1" s="307">
      <c r="A10" s="69" t="n"/>
      <c r="B10" s="64" t="n"/>
      <c r="C10" s="64" t="n"/>
      <c r="D10" s="64" t="n"/>
      <c r="E10" s="64" t="n"/>
      <c r="F10" s="64" t="n"/>
      <c r="G10" s="64" t="n"/>
      <c r="H10" s="64" t="n"/>
      <c r="I10" s="407" t="n"/>
      <c r="J10" s="64" t="n"/>
      <c r="K10" s="65" t="n"/>
      <c r="M10" s="68" t="n"/>
      <c r="N10" s="3" t="n"/>
      <c r="O10" s="3" t="n"/>
      <c r="P10" s="3" t="n"/>
      <c r="Q10" s="3" t="n"/>
      <c r="R10" s="3" t="n"/>
      <c r="S10" s="3" t="n"/>
      <c r="T10" s="67" t="n"/>
    </row>
    <row r="11" ht="52.8" customHeight="1" s="307">
      <c r="A11" s="71" t="inlineStr">
        <is>
          <t>Model</t>
        </is>
      </c>
      <c r="B11" s="72" t="inlineStr">
        <is>
          <t>MS Tube "C" Class (mtr)</t>
        </is>
      </c>
      <c r="C11" s="72" t="inlineStr">
        <is>
          <t>CI Gills (Nos)</t>
        </is>
      </c>
      <c r="D11" s="72" t="inlineStr">
        <is>
          <t>M.S. Angle 65,50 (Kg)</t>
        </is>
      </c>
      <c r="E11" s="72" t="inlineStr">
        <is>
          <t>M.S. Angle 100,100 (Kg)</t>
        </is>
      </c>
      <c r="F11" s="72" t="inlineStr">
        <is>
          <t>M.S Plate 16mm* 5mm</t>
        </is>
      </c>
      <c r="G11" s="72" t="inlineStr">
        <is>
          <t>Hardware Bolt (KG)</t>
        </is>
      </c>
      <c r="H11" s="72" t="inlineStr">
        <is>
          <t>M.S.Chanel (Kg)</t>
        </is>
      </c>
      <c r="I11" s="408" t="inlineStr">
        <is>
          <t>Toal Cost</t>
        </is>
      </c>
      <c r="J11" s="74" t="n">
        <v>0.3</v>
      </c>
      <c r="K11" s="75" t="n">
        <v>0.8</v>
      </c>
      <c r="M11" s="58" t="inlineStr">
        <is>
          <t>Model</t>
        </is>
      </c>
      <c r="N11" s="59" t="inlineStr">
        <is>
          <t>M.S. Plate 16mm*10mm</t>
        </is>
      </c>
      <c r="O11" s="59" t="inlineStr">
        <is>
          <t>M.S. Plate 5mm</t>
        </is>
      </c>
      <c r="P11" s="59" t="inlineStr">
        <is>
          <t>M.S. Angle 50*6</t>
        </is>
      </c>
      <c r="Q11" s="59" t="inlineStr">
        <is>
          <t>S.S Sheet</t>
        </is>
      </c>
      <c r="R11" s="59" t="inlineStr">
        <is>
          <t xml:space="preserve">cost </t>
        </is>
      </c>
      <c r="S11" s="76" t="n">
        <v>0.3</v>
      </c>
      <c r="T11" s="77" t="n">
        <v>0.8</v>
      </c>
    </row>
    <row r="12" ht="14.4" customHeight="1" s="307">
      <c r="A12" s="62" t="inlineStr">
        <is>
          <t>10 F</t>
        </is>
      </c>
      <c r="B12" s="409">
        <f>(B3/0.3*Rates!$C$23)</f>
        <v/>
      </c>
      <c r="C12" s="4" t="n">
        <v>0</v>
      </c>
      <c r="D12" s="26">
        <f>D3*Rates!$C$9</f>
        <v/>
      </c>
      <c r="E12" s="26">
        <f>E3*Rates!$C$7</f>
        <v/>
      </c>
      <c r="F12" s="26">
        <f>F3*Rates!$C$12</f>
        <v/>
      </c>
      <c r="G12" s="26">
        <f>G3*Rates!$C$6</f>
        <v/>
      </c>
      <c r="H12" s="26">
        <f>H3*Rates!C10</f>
        <v/>
      </c>
      <c r="I12" s="406">
        <f>SUM(B12:G12)</f>
        <v/>
      </c>
      <c r="J12" s="406">
        <f>I12*1.3</f>
        <v/>
      </c>
      <c r="K12" s="410">
        <f>J12*1.8</f>
        <v/>
      </c>
      <c r="M12" s="29" t="inlineStr">
        <is>
          <t>1 HT</t>
        </is>
      </c>
      <c r="N12" s="26">
        <f>N3*Rates!$C$13</f>
        <v/>
      </c>
      <c r="O12" s="26">
        <f>O3*Rates!$C$14</f>
        <v/>
      </c>
      <c r="P12" s="26">
        <f>P3*Rates!$C$8</f>
        <v/>
      </c>
      <c r="Q12" s="26">
        <f>Q3*Rates!$C$27</f>
        <v/>
      </c>
      <c r="R12" s="406">
        <f>SUM(N12:Q12)</f>
        <v/>
      </c>
      <c r="S12" s="406">
        <f>R12*1.3</f>
        <v/>
      </c>
      <c r="T12" s="410">
        <f>S12*1.8</f>
        <v/>
      </c>
    </row>
    <row r="13" ht="14.4" customHeight="1" s="307">
      <c r="A13" s="62" t="inlineStr">
        <is>
          <t>20 F</t>
        </is>
      </c>
      <c r="B13" s="409">
        <f>(B4/0.3*Rates!$C$23)</f>
        <v/>
      </c>
      <c r="C13" s="4" t="n">
        <v>0</v>
      </c>
      <c r="D13" s="26">
        <f>D4*Rates!$C$9</f>
        <v/>
      </c>
      <c r="E13" s="26">
        <f>E4*Rates!$C$7</f>
        <v/>
      </c>
      <c r="F13" s="26">
        <f>F4*Rates!$C$12</f>
        <v/>
      </c>
      <c r="G13" s="26">
        <f>G4*Rates!$C$6</f>
        <v/>
      </c>
      <c r="H13" s="26" t="n"/>
      <c r="I13" s="406">
        <f>SUM(B13:G13)</f>
        <v/>
      </c>
      <c r="J13" s="406">
        <f>I13*1.3</f>
        <v/>
      </c>
      <c r="K13" s="410">
        <f>J13*1.8</f>
        <v/>
      </c>
      <c r="M13" s="29" t="inlineStr">
        <is>
          <t>2 HT</t>
        </is>
      </c>
      <c r="N13" s="26">
        <f>N4*Rates!$C$13</f>
        <v/>
      </c>
      <c r="O13" s="26">
        <f>O4*Rates!$C$14</f>
        <v/>
      </c>
      <c r="P13" s="26">
        <f>P4*Rates!$C$8</f>
        <v/>
      </c>
      <c r="Q13" s="26">
        <f>Q4*Rates!$C$27</f>
        <v/>
      </c>
      <c r="R13" s="406">
        <f>SUM(N13:Q13)</f>
        <v/>
      </c>
      <c r="S13" s="406">
        <f>R13*1.3</f>
        <v/>
      </c>
      <c r="T13" s="410">
        <f>S13*1.8</f>
        <v/>
      </c>
    </row>
    <row r="14" ht="14.4" customHeight="1" s="307">
      <c r="A14" s="62" t="inlineStr">
        <is>
          <t>30 F</t>
        </is>
      </c>
      <c r="B14" s="409">
        <f>(B5/0.3*Rates!$C$23)</f>
        <v/>
      </c>
      <c r="C14" s="4" t="n">
        <v>0</v>
      </c>
      <c r="D14" s="26">
        <f>D5*Rates!$C$9</f>
        <v/>
      </c>
      <c r="E14" s="26">
        <f>E5*Rates!$C$7</f>
        <v/>
      </c>
      <c r="F14" s="26">
        <f>F5*Rates!$C$12</f>
        <v/>
      </c>
      <c r="G14" s="26">
        <f>G5*Rates!$C$6</f>
        <v/>
      </c>
      <c r="H14" s="26" t="n"/>
      <c r="I14" s="406">
        <f>SUM(B14:G14)</f>
        <v/>
      </c>
      <c r="J14" s="406">
        <f>I14*1.3</f>
        <v/>
      </c>
      <c r="K14" s="410">
        <f>J14*1.8</f>
        <v/>
      </c>
      <c r="M14" s="29" t="inlineStr">
        <is>
          <t>5 HT</t>
        </is>
      </c>
      <c r="N14" s="26">
        <f>N5*Rates!$C$13</f>
        <v/>
      </c>
      <c r="O14" s="26">
        <f>O5*Rates!$C$14</f>
        <v/>
      </c>
      <c r="P14" s="26">
        <f>P5*Rates!$C$8</f>
        <v/>
      </c>
      <c r="Q14" s="26">
        <f>Q5*Rates!$C$27</f>
        <v/>
      </c>
      <c r="R14" s="406">
        <f>SUM(N14:Q14)</f>
        <v/>
      </c>
      <c r="S14" s="406">
        <f>R14*1.3</f>
        <v/>
      </c>
      <c r="T14" s="410">
        <f>S14*1.8</f>
        <v/>
      </c>
    </row>
    <row r="15" ht="14.4" customHeight="1" s="307">
      <c r="A15" s="62" t="inlineStr">
        <is>
          <t>40 F</t>
        </is>
      </c>
      <c r="B15" s="409">
        <f>(B6/0.3*Rates!$C$23)</f>
        <v/>
      </c>
      <c r="C15" s="4" t="n">
        <v>0</v>
      </c>
      <c r="D15" s="26">
        <f>D6*Rates!$C$9</f>
        <v/>
      </c>
      <c r="E15" s="26">
        <f>E6*Rates!$C$7</f>
        <v/>
      </c>
      <c r="F15" s="26">
        <f>F6*Rates!$C$12</f>
        <v/>
      </c>
      <c r="G15" s="26">
        <f>G6*Rates!$C$6</f>
        <v/>
      </c>
      <c r="H15" s="26" t="n"/>
      <c r="I15" s="406">
        <f>SUM(B15:G15)</f>
        <v/>
      </c>
      <c r="J15" s="406">
        <f>I15*1.3</f>
        <v/>
      </c>
      <c r="K15" s="410">
        <f>J15*1.8</f>
        <v/>
      </c>
      <c r="M15" s="36" t="inlineStr">
        <is>
          <t>10 HT</t>
        </is>
      </c>
      <c r="N15" s="37">
        <f>N6*Rates!$C$13</f>
        <v/>
      </c>
      <c r="O15" s="37">
        <f>O6*Rates!$C$14</f>
        <v/>
      </c>
      <c r="P15" s="37">
        <f>P6*Rates!$C$8</f>
        <v/>
      </c>
      <c r="Q15" s="37">
        <f>Q6*Rates!$C$27</f>
        <v/>
      </c>
      <c r="R15" s="411">
        <f>SUM(N15:Q15)</f>
        <v/>
      </c>
      <c r="S15" s="411">
        <f>R15*1.3</f>
        <v/>
      </c>
      <c r="T15" s="412">
        <f>S15*1.8</f>
        <v/>
      </c>
    </row>
    <row r="16" ht="14.4" customHeight="1" s="307">
      <c r="A16" s="62" t="inlineStr">
        <is>
          <t>50 F</t>
        </is>
      </c>
      <c r="B16" s="409">
        <f>(B7/0.3*Rates!$C$23)</f>
        <v/>
      </c>
      <c r="C16" s="4" t="n">
        <v>0</v>
      </c>
      <c r="D16" s="26">
        <f>D7*Rates!$C$9</f>
        <v/>
      </c>
      <c r="E16" s="26">
        <f>E7*Rates!$C$7</f>
        <v/>
      </c>
      <c r="F16" s="26">
        <f>F7*Rates!$C$12</f>
        <v/>
      </c>
      <c r="G16" s="26">
        <f>G7*Rates!$C$6</f>
        <v/>
      </c>
      <c r="H16" s="26" t="n"/>
      <c r="I16" s="406">
        <f>SUM(B16:G16)</f>
        <v/>
      </c>
      <c r="J16" s="406">
        <f>I16*1.3</f>
        <v/>
      </c>
      <c r="K16" s="410">
        <f>J16*1.8</f>
        <v/>
      </c>
    </row>
    <row r="17" ht="14.4" customHeight="1" s="307">
      <c r="A17" s="82" t="inlineStr">
        <is>
          <t>100 F</t>
        </is>
      </c>
      <c r="B17" s="413">
        <f>(B8/0.3*Rates!$C$23)</f>
        <v/>
      </c>
      <c r="C17" s="84" t="n">
        <v>0</v>
      </c>
      <c r="D17" s="37">
        <f>D8*Rates!$C$9</f>
        <v/>
      </c>
      <c r="E17" s="37">
        <f>E8*Rates!$C$7</f>
        <v/>
      </c>
      <c r="F17" s="37">
        <f>F8*Rates!$C$12</f>
        <v/>
      </c>
      <c r="G17" s="37">
        <f>G8*Rates!$C$6</f>
        <v/>
      </c>
      <c r="H17" s="37" t="n"/>
      <c r="I17" s="411">
        <f>SUM(B17:G17)</f>
        <v/>
      </c>
      <c r="J17" s="411">
        <f>I17*1.3</f>
        <v/>
      </c>
      <c r="K17" s="412">
        <f>J17*1.8</f>
        <v/>
      </c>
    </row>
    <row r="19" ht="14.4" customHeight="1" s="307">
      <c r="A19" s="85" t="inlineStr">
        <is>
          <t>Recuperator FS</t>
        </is>
      </c>
      <c r="B19" s="86" t="n"/>
      <c r="C19" s="52" t="n"/>
      <c r="D19" s="52" t="n"/>
      <c r="E19" s="52" t="n"/>
      <c r="F19" s="52" t="n"/>
      <c r="G19" s="52" t="n"/>
      <c r="H19" s="52" t="n"/>
      <c r="I19" s="52" t="n"/>
      <c r="J19" s="52" t="n"/>
      <c r="K19" s="52" t="n"/>
      <c r="L19" s="53" t="n"/>
    </row>
    <row r="20" ht="43.2" customHeight="1" s="307">
      <c r="A20" s="87" t="inlineStr">
        <is>
          <t>Model</t>
        </is>
      </c>
      <c r="B20" s="88" t="inlineStr">
        <is>
          <t>MS Tube "C" Class (mtr)</t>
        </is>
      </c>
      <c r="C20" s="88" t="inlineStr">
        <is>
          <t>MS Tube "B" Class (mtr)</t>
        </is>
      </c>
      <c r="D20" s="88" t="inlineStr">
        <is>
          <t>CI Gills (Nos)</t>
        </is>
      </c>
      <c r="E20" s="88" t="inlineStr">
        <is>
          <t>M.S. Angle 65,50 (Kg)</t>
        </is>
      </c>
      <c r="F20" s="88" t="inlineStr">
        <is>
          <t>M.S. Angle 100,100 (Kg)</t>
        </is>
      </c>
      <c r="G20" s="88" t="inlineStr">
        <is>
          <t>M.S Plate 16mm* 5mm</t>
        </is>
      </c>
      <c r="H20" s="88" t="inlineStr">
        <is>
          <t>Hardware Bolt (kg)</t>
        </is>
      </c>
      <c r="I20" s="88" t="inlineStr">
        <is>
          <t>M.S.Chanel (kg)</t>
        </is>
      </c>
      <c r="J20" s="406" t="inlineStr">
        <is>
          <t>Total Cost</t>
        </is>
      </c>
      <c r="K20" s="3" t="n"/>
      <c r="L20" s="67" t="n"/>
    </row>
    <row r="21" ht="15.75" customHeight="1" s="307">
      <c r="A21" s="29" t="inlineStr">
        <is>
          <t>10 FS</t>
        </is>
      </c>
      <c r="B21" s="26" t="n">
        <v>25</v>
      </c>
      <c r="C21" s="26" t="n">
        <v>25</v>
      </c>
      <c r="D21" s="26" t="n"/>
      <c r="E21" s="26" t="n">
        <v>269</v>
      </c>
      <c r="F21" s="26" t="n">
        <v>103</v>
      </c>
      <c r="G21" s="26" t="n">
        <v>245</v>
      </c>
      <c r="H21" s="26" t="n">
        <v>18</v>
      </c>
      <c r="I21" s="26" t="n">
        <v>98</v>
      </c>
      <c r="J21" s="406">
        <f>L31</f>
        <v/>
      </c>
      <c r="K21" s="3" t="n"/>
      <c r="L21" s="67" t="n"/>
    </row>
    <row r="22" ht="15.75" customHeight="1" s="307">
      <c r="A22" s="29" t="inlineStr">
        <is>
          <t>20 FS</t>
        </is>
      </c>
      <c r="B22" s="26" t="n">
        <v>52</v>
      </c>
      <c r="C22" s="26" t="n">
        <v>52</v>
      </c>
      <c r="D22" s="26" t="n"/>
      <c r="E22" s="26" t="n">
        <v>344</v>
      </c>
      <c r="F22" s="26" t="n">
        <v>227</v>
      </c>
      <c r="G22" s="26" t="n">
        <v>575</v>
      </c>
      <c r="H22" s="26" t="n">
        <v>23</v>
      </c>
      <c r="I22" s="26" t="n"/>
      <c r="J22" s="406">
        <f>L32</f>
        <v/>
      </c>
      <c r="K22" s="3" t="n"/>
      <c r="L22" s="67" t="n"/>
    </row>
    <row r="23" ht="15.75" customHeight="1" s="307">
      <c r="A23" s="29" t="inlineStr">
        <is>
          <t>30 FS</t>
        </is>
      </c>
      <c r="B23" s="26" t="n">
        <v>91</v>
      </c>
      <c r="C23" s="26" t="n">
        <v>91</v>
      </c>
      <c r="D23" s="26" t="n"/>
      <c r="E23" s="26" t="n">
        <v>390</v>
      </c>
      <c r="F23" s="26" t="n">
        <v>280</v>
      </c>
      <c r="G23" s="26" t="n">
        <v>798</v>
      </c>
      <c r="H23" s="26" t="n">
        <v>30</v>
      </c>
      <c r="I23" s="26" t="n"/>
      <c r="J23" s="406">
        <f>L33</f>
        <v/>
      </c>
      <c r="K23" s="3" t="n"/>
      <c r="L23" s="67" t="n"/>
    </row>
    <row r="24" ht="15.75" customHeight="1" s="307">
      <c r="A24" s="29" t="inlineStr">
        <is>
          <t>40 FS</t>
        </is>
      </c>
      <c r="B24" s="26" t="n">
        <v>124</v>
      </c>
      <c r="C24" s="26" t="n">
        <v>124</v>
      </c>
      <c r="D24" s="26" t="n"/>
      <c r="E24" s="26" t="n">
        <v>395</v>
      </c>
      <c r="F24" s="26" t="n">
        <v>305</v>
      </c>
      <c r="G24" s="26" t="n">
        <v>825</v>
      </c>
      <c r="H24" s="26" t="n">
        <v>35</v>
      </c>
      <c r="I24" s="26" t="n"/>
      <c r="J24" s="406">
        <f>L34</f>
        <v/>
      </c>
      <c r="K24" s="3" t="n"/>
      <c r="L24" s="67" t="n"/>
    </row>
    <row r="25" ht="15.75" customHeight="1" s="307">
      <c r="A25" s="29" t="inlineStr">
        <is>
          <t>50 FS</t>
        </is>
      </c>
      <c r="B25" s="26" t="n">
        <v>158</v>
      </c>
      <c r="C25" s="26" t="n">
        <v>158</v>
      </c>
      <c r="D25" s="26" t="n"/>
      <c r="E25" s="26" t="n">
        <v>510</v>
      </c>
      <c r="F25" s="26" t="n">
        <v>312</v>
      </c>
      <c r="G25" s="26" t="n">
        <v>950</v>
      </c>
      <c r="H25" s="26" t="n">
        <v>37</v>
      </c>
      <c r="I25" s="26" t="n"/>
      <c r="J25" s="406">
        <f>L35</f>
        <v/>
      </c>
      <c r="K25" s="3" t="n"/>
      <c r="L25" s="67" t="n"/>
    </row>
    <row r="26" ht="15.75" customHeight="1" s="307">
      <c r="A26" s="29" t="inlineStr">
        <is>
          <t>70 FS</t>
        </is>
      </c>
      <c r="B26" s="26" t="n">
        <v>261</v>
      </c>
      <c r="C26" s="26" t="n">
        <v>261</v>
      </c>
      <c r="D26" s="26" t="n"/>
      <c r="E26" s="26" t="n">
        <v>516</v>
      </c>
      <c r="F26" s="26" t="n">
        <v>352</v>
      </c>
      <c r="G26" s="26" t="n">
        <v>1015</v>
      </c>
      <c r="H26" s="26" t="n">
        <v>30</v>
      </c>
      <c r="I26" s="26" t="n"/>
      <c r="J26" s="406">
        <f>L36</f>
        <v/>
      </c>
      <c r="K26" s="3" t="n"/>
      <c r="L26" s="67" t="n"/>
    </row>
    <row r="27" ht="15.75" customHeight="1" s="307">
      <c r="A27" s="29" t="inlineStr">
        <is>
          <t>100 FS</t>
        </is>
      </c>
      <c r="B27" s="26" t="n">
        <v>315</v>
      </c>
      <c r="C27" s="26" t="n">
        <v>315</v>
      </c>
      <c r="D27" s="26" t="n"/>
      <c r="E27" s="26" t="n">
        <v>456</v>
      </c>
      <c r="F27" s="26" t="n">
        <v>381</v>
      </c>
      <c r="G27" s="26" t="n">
        <v>1190</v>
      </c>
      <c r="H27" s="26" t="n">
        <v>35</v>
      </c>
      <c r="I27" s="26" t="n"/>
      <c r="J27" s="406">
        <f>L37</f>
        <v/>
      </c>
      <c r="K27" s="3" t="n"/>
      <c r="L27" s="67" t="n"/>
    </row>
    <row r="28" ht="15.75" customHeight="1" s="307">
      <c r="A28" s="68" t="n"/>
      <c r="B28" s="3" t="n"/>
      <c r="C28" s="3" t="n"/>
      <c r="D28" s="3" t="n"/>
      <c r="E28" s="3" t="n"/>
      <c r="F28" s="3" t="n"/>
      <c r="G28" s="3" t="n"/>
      <c r="H28" s="3" t="n"/>
      <c r="I28" s="3" t="n"/>
      <c r="J28" s="414" t="n"/>
      <c r="K28" s="3" t="n"/>
      <c r="L28" s="67" t="n"/>
    </row>
    <row r="29" ht="15.75" customHeight="1" s="307">
      <c r="A29" s="68" t="n"/>
      <c r="B29" s="3" t="n"/>
      <c r="C29" s="3" t="n"/>
      <c r="D29" s="3" t="n"/>
      <c r="E29" s="3" t="n"/>
      <c r="F29" s="3" t="n"/>
      <c r="G29" s="3" t="n"/>
      <c r="H29" s="3" t="n"/>
      <c r="I29" s="3" t="n"/>
      <c r="J29" s="414" t="n"/>
      <c r="K29" s="3" t="n"/>
      <c r="L29" s="67" t="n"/>
    </row>
    <row r="30" ht="15.75" customHeight="1" s="307">
      <c r="A30" s="90" t="inlineStr">
        <is>
          <t>Model</t>
        </is>
      </c>
      <c r="B30" s="91" t="inlineStr">
        <is>
          <t>MS Tube "C" Class (mtr)</t>
        </is>
      </c>
      <c r="C30" s="91" t="inlineStr">
        <is>
          <t>MS Tube "B" Class (mtr)</t>
        </is>
      </c>
      <c r="D30" s="91" t="inlineStr">
        <is>
          <t>CI Gills (Nos)</t>
        </is>
      </c>
      <c r="E30" s="91" t="inlineStr">
        <is>
          <t>M.S. Angle 65,50 (Kg)</t>
        </is>
      </c>
      <c r="F30" s="91" t="inlineStr">
        <is>
          <t>M.S. Angle 100,100 (Kg)</t>
        </is>
      </c>
      <c r="G30" s="91" t="inlineStr">
        <is>
          <t>M.S Plate 16mm* 5mm</t>
        </is>
      </c>
      <c r="H30" s="91" t="inlineStr">
        <is>
          <t>Hardware Bolt (kg)</t>
        </is>
      </c>
      <c r="I30" s="91" t="inlineStr">
        <is>
          <t>M.S.Chanel (kg)</t>
        </is>
      </c>
      <c r="J30" s="415" t="n"/>
      <c r="K30" s="93" t="n">
        <v>0.3</v>
      </c>
      <c r="L30" s="94" t="n">
        <v>0.8</v>
      </c>
    </row>
    <row r="31" ht="15.75" customHeight="1" s="307">
      <c r="A31" s="29" t="inlineStr">
        <is>
          <t>10 FS</t>
        </is>
      </c>
      <c r="B31" s="26">
        <f>B21*Rates!$C$23*4.27</f>
        <v/>
      </c>
      <c r="C31" s="26">
        <f>C21*Rates!$C$22*4.27</f>
        <v/>
      </c>
      <c r="D31" s="26" t="n"/>
      <c r="E31" s="26">
        <f>E21*Rates!$C$9</f>
        <v/>
      </c>
      <c r="F31" s="26">
        <f>F21*Rates!$C$7</f>
        <v/>
      </c>
      <c r="G31" s="26">
        <f>G21*Rates!$C$12</f>
        <v/>
      </c>
      <c r="H31" s="26">
        <f>H21*Rates!$C$6</f>
        <v/>
      </c>
      <c r="I31" s="26">
        <f>I21*Rates!$C$10</f>
        <v/>
      </c>
      <c r="J31" s="406">
        <f>SUM(B31:I31)</f>
        <v/>
      </c>
      <c r="K31" s="26">
        <f>J31*1.3</f>
        <v/>
      </c>
      <c r="L31" s="95">
        <f>K31*1.8</f>
        <v/>
      </c>
    </row>
    <row r="32" ht="15.75" customHeight="1" s="307">
      <c r="A32" s="29" t="inlineStr">
        <is>
          <t>20 FS</t>
        </is>
      </c>
      <c r="B32" s="26">
        <f>B22*Rates!$C$23*4.27</f>
        <v/>
      </c>
      <c r="C32" s="26">
        <f>C22*Rates!$C$22*4.27</f>
        <v/>
      </c>
      <c r="D32" s="26" t="n"/>
      <c r="E32" s="26">
        <f>E22*Rates!$C$9</f>
        <v/>
      </c>
      <c r="F32" s="26">
        <f>F22*Rates!$C$7</f>
        <v/>
      </c>
      <c r="G32" s="26">
        <f>G22*Rates!$C$12</f>
        <v/>
      </c>
      <c r="H32" s="26">
        <f>H22*Rates!$C$6</f>
        <v/>
      </c>
      <c r="I32" s="26">
        <f>I22*Rates!$C$10</f>
        <v/>
      </c>
      <c r="J32" s="406">
        <f>SUM(B32:I32)</f>
        <v/>
      </c>
      <c r="K32" s="26">
        <f>J32*1.3</f>
        <v/>
      </c>
      <c r="L32" s="95">
        <f>K32*1.8</f>
        <v/>
      </c>
    </row>
    <row r="33" ht="15.75" customHeight="1" s="307">
      <c r="A33" s="29" t="inlineStr">
        <is>
          <t>30 FS</t>
        </is>
      </c>
      <c r="B33" s="26">
        <f>B23*Rates!$C$23*4.27</f>
        <v/>
      </c>
      <c r="C33" s="26">
        <f>C23*Rates!$C$22*4.27</f>
        <v/>
      </c>
      <c r="D33" s="26" t="n"/>
      <c r="E33" s="26">
        <f>E23*Rates!$C$9</f>
        <v/>
      </c>
      <c r="F33" s="26">
        <f>F23*Rates!$C$7</f>
        <v/>
      </c>
      <c r="G33" s="26">
        <f>G23*Rates!$C$12</f>
        <v/>
      </c>
      <c r="H33" s="26">
        <f>H23*Rates!$C$6</f>
        <v/>
      </c>
      <c r="I33" s="26">
        <f>I23*Rates!$C$10</f>
        <v/>
      </c>
      <c r="J33" s="406">
        <f>SUM(B33:I33)</f>
        <v/>
      </c>
      <c r="K33" s="26">
        <f>J33*1.3</f>
        <v/>
      </c>
      <c r="L33" s="95">
        <f>K33*1.8</f>
        <v/>
      </c>
    </row>
    <row r="34" ht="15.75" customHeight="1" s="307">
      <c r="A34" s="29" t="inlineStr">
        <is>
          <t>40 FS</t>
        </is>
      </c>
      <c r="B34" s="26">
        <f>B24*Rates!$C$23*4.27</f>
        <v/>
      </c>
      <c r="C34" s="26">
        <f>C24*Rates!$C$22*4.27</f>
        <v/>
      </c>
      <c r="D34" s="26" t="n"/>
      <c r="E34" s="26">
        <f>E24*Rates!$C$9</f>
        <v/>
      </c>
      <c r="F34" s="26">
        <f>F24*Rates!$C$7</f>
        <v/>
      </c>
      <c r="G34" s="26">
        <f>G24*Rates!$C$12</f>
        <v/>
      </c>
      <c r="H34" s="26">
        <f>H24*Rates!$C$6</f>
        <v/>
      </c>
      <c r="I34" s="26">
        <f>I24*Rates!$C$10</f>
        <v/>
      </c>
      <c r="J34" s="406">
        <f>SUM(B34:I34)</f>
        <v/>
      </c>
      <c r="K34" s="26">
        <f>J34*1.3</f>
        <v/>
      </c>
      <c r="L34" s="95">
        <f>K34*1.8</f>
        <v/>
      </c>
    </row>
    <row r="35" ht="15.75" customHeight="1" s="307">
      <c r="A35" s="29" t="inlineStr">
        <is>
          <t>50 FS</t>
        </is>
      </c>
      <c r="B35" s="26">
        <f>B25*Rates!$C$23*4.27</f>
        <v/>
      </c>
      <c r="C35" s="26">
        <f>C25*Rates!$C$22*4.27</f>
        <v/>
      </c>
      <c r="D35" s="26" t="n"/>
      <c r="E35" s="26">
        <f>E25*Rates!$C$9</f>
        <v/>
      </c>
      <c r="F35" s="26">
        <f>F25*Rates!$C$7</f>
        <v/>
      </c>
      <c r="G35" s="26">
        <f>G25*Rates!$C$12</f>
        <v/>
      </c>
      <c r="H35" s="26">
        <f>H25*Rates!$C$6</f>
        <v/>
      </c>
      <c r="I35" s="26">
        <f>I25*Rates!$C$10</f>
        <v/>
      </c>
      <c r="J35" s="406">
        <f>SUM(B35:I35)</f>
        <v/>
      </c>
      <c r="K35" s="26">
        <f>J35*1.3</f>
        <v/>
      </c>
      <c r="L35" s="95">
        <f>K35*1.8</f>
        <v/>
      </c>
    </row>
    <row r="36" ht="15.75" customHeight="1" s="307">
      <c r="A36" s="29" t="inlineStr">
        <is>
          <t>70 FS</t>
        </is>
      </c>
      <c r="B36" s="26">
        <f>B26*Rates!$C$23*4.27</f>
        <v/>
      </c>
      <c r="C36" s="26">
        <f>C26*Rates!$C$22*4.27</f>
        <v/>
      </c>
      <c r="D36" s="26" t="n"/>
      <c r="E36" s="26">
        <f>E26*Rates!$C$9</f>
        <v/>
      </c>
      <c r="F36" s="26">
        <f>F26*Rates!$C$7</f>
        <v/>
      </c>
      <c r="G36" s="26">
        <f>G26*Rates!$C$12</f>
        <v/>
      </c>
      <c r="H36" s="26">
        <f>H26*Rates!$C$6</f>
        <v/>
      </c>
      <c r="I36" s="26">
        <f>I26*Rates!$C$10</f>
        <v/>
      </c>
      <c r="J36" s="406">
        <f>SUM(B36:I36)</f>
        <v/>
      </c>
      <c r="K36" s="26">
        <f>J36*1.3</f>
        <v/>
      </c>
      <c r="L36" s="95">
        <f>K36*1.8</f>
        <v/>
      </c>
    </row>
    <row r="37" ht="15.75" customHeight="1" s="307">
      <c r="A37" s="36" t="inlineStr">
        <is>
          <t>100 FS</t>
        </is>
      </c>
      <c r="B37" s="37">
        <f>B27*Rates!$C$23*4.27</f>
        <v/>
      </c>
      <c r="C37" s="37">
        <f>C27*Rates!$C$22*4.27</f>
        <v/>
      </c>
      <c r="D37" s="37" t="n"/>
      <c r="E37" s="37">
        <f>E27*Rates!$C$9</f>
        <v/>
      </c>
      <c r="F37" s="37">
        <f>F27*Rates!$C$7</f>
        <v/>
      </c>
      <c r="G37" s="37">
        <f>G27*Rates!$C$12</f>
        <v/>
      </c>
      <c r="H37" s="37">
        <f>H27*Rates!$C$6</f>
        <v/>
      </c>
      <c r="I37" s="37">
        <f>I27*Rates!$C$10</f>
        <v/>
      </c>
      <c r="J37" s="411">
        <f>SUM(B37:I37)</f>
        <v/>
      </c>
      <c r="K37" s="37">
        <f>J37*1.3</f>
        <v/>
      </c>
      <c r="L37" s="96">
        <f>K37*1.8</f>
        <v/>
      </c>
    </row>
    <row r="38" ht="15.75" customHeight="1" s="307"/>
    <row r="39" ht="15.75" customHeight="1" s="307"/>
    <row r="40" ht="15.75" customHeight="1" s="307"/>
    <row r="41" ht="15.75" customHeight="1" s="307"/>
    <row r="42" ht="15.75" customHeight="1" s="307"/>
    <row r="43" ht="15.75" customHeight="1" s="307"/>
    <row r="44" ht="15.75" customHeight="1" s="307"/>
    <row r="45" ht="15.75" customHeight="1" s="307"/>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pageMargins left="0.7086614173228347" right="0.7086614173228347" top="0.7480314960629921" bottom="0.7480314960629921" header="0" footer="0"/>
  <pageSetup orientation="landscape" paperSize="8" scale="83"/>
</worksheet>
</file>

<file path=xl/worksheets/sheet5.xml><?xml version="1.0" encoding="utf-8"?>
<worksheet xmlns="http://schemas.openxmlformats.org/spreadsheetml/2006/main">
  <sheetPr>
    <tabColor rgb="FFFF0000"/>
    <outlinePr summaryBelow="1" summaryRight="1"/>
    <pageSetUpPr/>
  </sheetPr>
  <dimension ref="A1:Z41"/>
  <sheetViews>
    <sheetView topLeftCell="A34" workbookViewId="0">
      <selection activeCell="O23" sqref="O23"/>
    </sheetView>
  </sheetViews>
  <sheetFormatPr baseColWidth="8" defaultColWidth="14.44140625" defaultRowHeight="15" customHeight="1"/>
  <cols>
    <col width="6.109375" customWidth="1" style="307" min="1" max="1"/>
    <col width="43" customWidth="1" style="307" min="2" max="2"/>
    <col width="4.6640625" customWidth="1" style="307" min="3" max="3"/>
    <col width="5.33203125" customWidth="1" style="307" min="4" max="4"/>
    <col width="7.109375" customWidth="1" style="307" min="5" max="5"/>
    <col width="9" customWidth="1" style="307" min="6" max="6"/>
    <col width="10.109375" customWidth="1" style="307" min="7" max="7"/>
    <col width="15.88671875" customWidth="1" style="307" min="8" max="8"/>
    <col width="3.33203125" customWidth="1" style="307" min="9" max="9"/>
    <col width="6.109375" customWidth="1" style="307" min="10" max="10"/>
    <col width="43" customWidth="1" style="307" min="11" max="11"/>
    <col width="4.6640625" customWidth="1" style="307" min="12" max="12"/>
    <col width="5.33203125" customWidth="1" style="307" min="13" max="13"/>
    <col width="7.109375" customWidth="1" style="307" min="14" max="14"/>
    <col width="9" customWidth="1" style="307" min="15" max="15"/>
    <col width="10.109375" customWidth="1" style="307" min="16" max="16"/>
    <col width="15.88671875" customWidth="1" style="307" min="17" max="17"/>
    <col width="3.109375" customWidth="1" style="307" min="18" max="18"/>
    <col width="6.109375" customWidth="1" style="307" min="19" max="19"/>
    <col width="44.109375" customWidth="1" style="307" min="20" max="20"/>
    <col width="4.6640625" customWidth="1" style="307" min="21" max="21"/>
    <col width="5.33203125" customWidth="1" style="307" min="22" max="22"/>
    <col width="7.109375" customWidth="1" style="307" min="23" max="23"/>
    <col width="9" customWidth="1" style="307" min="24" max="24"/>
    <col width="10.109375" customWidth="1" style="307" min="25" max="25"/>
    <col width="15.88671875" customWidth="1" style="307" min="26" max="26"/>
  </cols>
  <sheetData>
    <row r="1" ht="23.25" customHeight="1" s="307">
      <c r="A1" s="329" t="inlineStr">
        <is>
          <t>BURNER PARTS 50 NM³              (GAIL design Hole Type)</t>
        </is>
      </c>
      <c r="B1" s="390" t="n"/>
      <c r="C1" s="390" t="n"/>
      <c r="D1" s="390" t="n"/>
      <c r="E1" s="390" t="n"/>
      <c r="F1" s="390" t="n"/>
      <c r="G1" s="390" t="n"/>
      <c r="H1" s="390" t="n"/>
      <c r="J1" s="329" t="inlineStr">
        <is>
          <t>BURNER PARTS 100 NM³  (GAIL design Hole Type)</t>
        </is>
      </c>
      <c r="K1" s="390" t="n"/>
      <c r="L1" s="390" t="n"/>
      <c r="M1" s="390" t="n"/>
      <c r="N1" s="390" t="n"/>
      <c r="O1" s="390" t="n"/>
      <c r="P1" s="390" t="n"/>
      <c r="Q1" s="390" t="n"/>
      <c r="S1" s="329" t="inlineStr">
        <is>
          <t>BURNER PARTS 150 NM³  (GAIL design Hole Type)</t>
        </is>
      </c>
      <c r="T1" s="390" t="n"/>
      <c r="U1" s="390" t="n"/>
      <c r="V1" s="390" t="n"/>
      <c r="W1" s="390" t="n"/>
      <c r="X1" s="390" t="n"/>
      <c r="Y1" s="390" t="n"/>
      <c r="Z1" s="390" t="n"/>
    </row>
    <row r="2" ht="15" customHeight="1" s="307">
      <c r="A2" s="47" t="inlineStr">
        <is>
          <t>S.NO.</t>
        </is>
      </c>
      <c r="B2" s="48" t="inlineStr">
        <is>
          <t>PARTICULARS</t>
        </is>
      </c>
      <c r="C2" s="49" t="inlineStr">
        <is>
          <t>QTY</t>
        </is>
      </c>
      <c r="D2" s="48" t="inlineStr">
        <is>
          <t>UNIT</t>
        </is>
      </c>
      <c r="E2" s="49" t="inlineStr">
        <is>
          <t>RATE</t>
        </is>
      </c>
      <c r="F2" s="49" t="inlineStr">
        <is>
          <t>AMOUNT</t>
        </is>
      </c>
      <c r="G2" s="49" t="inlineStr">
        <is>
          <t>M/C COST</t>
        </is>
      </c>
      <c r="H2" s="49" t="inlineStr">
        <is>
          <t>TOTAL AMOUNT</t>
        </is>
      </c>
      <c r="J2" s="47" t="inlineStr">
        <is>
          <t>S.NO.</t>
        </is>
      </c>
      <c r="K2" s="48" t="inlineStr">
        <is>
          <t>PARTICULARS</t>
        </is>
      </c>
      <c r="L2" s="49" t="inlineStr">
        <is>
          <t>QTY</t>
        </is>
      </c>
      <c r="M2" s="48" t="inlineStr">
        <is>
          <t>UNIT</t>
        </is>
      </c>
      <c r="N2" s="49" t="inlineStr">
        <is>
          <t>RATE</t>
        </is>
      </c>
      <c r="O2" s="49" t="inlineStr">
        <is>
          <t>AMOUNT</t>
        </is>
      </c>
      <c r="P2" s="49" t="inlineStr">
        <is>
          <t>M/C COST</t>
        </is>
      </c>
      <c r="Q2" s="49" t="inlineStr">
        <is>
          <t>TOTAL AMOUNT</t>
        </is>
      </c>
      <c r="S2" s="47" t="n">
        <v>5</v>
      </c>
      <c r="T2" s="48" t="inlineStr">
        <is>
          <t>PARTICULARS</t>
        </is>
      </c>
      <c r="U2" s="49" t="inlineStr">
        <is>
          <t>QTY</t>
        </is>
      </c>
      <c r="V2" s="48" t="inlineStr">
        <is>
          <t>UNIT</t>
        </is>
      </c>
      <c r="W2" s="49" t="inlineStr">
        <is>
          <t>RATE</t>
        </is>
      </c>
      <c r="X2" s="49" t="inlineStr">
        <is>
          <t>AMOUNT</t>
        </is>
      </c>
      <c r="Y2" s="49" t="inlineStr">
        <is>
          <t>M/C COST</t>
        </is>
      </c>
      <c r="Z2" s="49" t="inlineStr">
        <is>
          <t>TOTAL AMOUNT</t>
        </is>
      </c>
    </row>
    <row r="3" ht="15" customHeight="1" s="307">
      <c r="A3" s="7" t="n"/>
      <c r="B3" s="26" t="n"/>
      <c r="C3" s="30" t="n"/>
      <c r="D3" s="26" t="n"/>
      <c r="E3" s="30" t="n"/>
      <c r="F3" s="30" t="n"/>
      <c r="G3" s="30" t="n"/>
      <c r="H3" s="30" t="n"/>
      <c r="J3" s="7" t="n"/>
      <c r="K3" s="26" t="n"/>
      <c r="L3" s="30" t="n"/>
      <c r="M3" s="26" t="n"/>
      <c r="N3" s="30" t="n"/>
      <c r="O3" s="30" t="n"/>
      <c r="P3" s="30" t="n"/>
      <c r="Q3" s="30" t="n"/>
      <c r="S3" s="7" t="n"/>
      <c r="T3" s="26" t="n"/>
      <c r="U3" s="30" t="n"/>
      <c r="V3" s="26" t="n"/>
      <c r="W3" s="30" t="n"/>
      <c r="X3" s="30" t="n"/>
      <c r="Y3" s="30" t="n"/>
      <c r="Z3" s="30" t="n"/>
    </row>
    <row r="4" ht="15" customHeight="1" s="307">
      <c r="A4" s="7" t="n">
        <v>1</v>
      </c>
      <c r="B4" s="4" t="inlineStr">
        <is>
          <t xml:space="preserve">S.S PIPE </t>
        </is>
      </c>
      <c r="C4" s="30" t="n">
        <v>19</v>
      </c>
      <c r="D4" s="26" t="inlineStr">
        <is>
          <t>Kgs</t>
        </is>
      </c>
      <c r="E4" s="30">
        <f>Rates!C30</f>
        <v/>
      </c>
      <c r="F4" s="30">
        <f>C4*E4</f>
        <v/>
      </c>
      <c r="G4" s="30" t="n"/>
      <c r="H4" s="30">
        <f>F4+G4</f>
        <v/>
      </c>
      <c r="J4" s="7" t="n">
        <v>1</v>
      </c>
      <c r="K4" s="4" t="inlineStr">
        <is>
          <t xml:space="preserve">S.S PIPE </t>
        </is>
      </c>
      <c r="L4" s="30" t="n">
        <v>34</v>
      </c>
      <c r="M4" s="26" t="inlineStr">
        <is>
          <t>Kgs</t>
        </is>
      </c>
      <c r="N4" s="30">
        <f>E4</f>
        <v/>
      </c>
      <c r="O4" s="30">
        <f>L4*N4</f>
        <v/>
      </c>
      <c r="P4" s="30" t="n"/>
      <c r="Q4" s="30">
        <f>O4+P4</f>
        <v/>
      </c>
      <c r="S4" s="7" t="n">
        <v>1</v>
      </c>
      <c r="T4" s="4" t="inlineStr">
        <is>
          <t xml:space="preserve">S.S PIPE </t>
        </is>
      </c>
      <c r="U4" s="30" t="n">
        <v>34</v>
      </c>
      <c r="V4" s="26" t="inlineStr">
        <is>
          <t>Kgs</t>
        </is>
      </c>
      <c r="W4" s="30">
        <f>N4</f>
        <v/>
      </c>
      <c r="X4" s="30">
        <f>U4*W4</f>
        <v/>
      </c>
      <c r="Y4" s="30" t="n"/>
      <c r="Z4" s="30">
        <f>X4+Y4</f>
        <v/>
      </c>
    </row>
    <row r="5" ht="15" customHeight="1" s="307">
      <c r="A5" s="7" t="n">
        <v>2</v>
      </c>
      <c r="B5" s="4" t="inlineStr">
        <is>
          <t>M.S PLATE</t>
        </is>
      </c>
      <c r="C5" s="30" t="n">
        <v>27</v>
      </c>
      <c r="D5" s="26" t="inlineStr">
        <is>
          <t>Kgs</t>
        </is>
      </c>
      <c r="E5" s="30">
        <f>Rates!C12</f>
        <v/>
      </c>
      <c r="F5" s="30">
        <f>C5*E5</f>
        <v/>
      </c>
      <c r="G5" s="30" t="n"/>
      <c r="H5" s="30">
        <f>F5+G5</f>
        <v/>
      </c>
      <c r="J5" s="7" t="n">
        <v>2</v>
      </c>
      <c r="K5" s="4" t="inlineStr">
        <is>
          <t>M.S PLATE</t>
        </is>
      </c>
      <c r="L5" s="30" t="n">
        <v>42</v>
      </c>
      <c r="M5" s="26" t="inlineStr">
        <is>
          <t>Kgs</t>
        </is>
      </c>
      <c r="N5" s="30">
        <f>E5</f>
        <v/>
      </c>
      <c r="O5" s="30">
        <f>L5*N5</f>
        <v/>
      </c>
      <c r="P5" s="30" t="n"/>
      <c r="Q5" s="30">
        <f>O5+P5</f>
        <v/>
      </c>
      <c r="S5" s="7" t="n">
        <v>2</v>
      </c>
      <c r="T5" s="4" t="inlineStr">
        <is>
          <t>M.S PLATE</t>
        </is>
      </c>
      <c r="U5" s="30" t="n">
        <v>42</v>
      </c>
      <c r="V5" s="26" t="inlineStr">
        <is>
          <t>Kgs</t>
        </is>
      </c>
      <c r="W5" s="30">
        <f>N5</f>
        <v/>
      </c>
      <c r="X5" s="30">
        <f>U5*W5</f>
        <v/>
      </c>
      <c r="Y5" s="30" t="n"/>
      <c r="Z5" s="30">
        <f>X5+Y5</f>
        <v/>
      </c>
    </row>
    <row r="6" ht="15" customHeight="1" s="307">
      <c r="A6" s="7" t="n">
        <v>3</v>
      </c>
      <c r="B6" s="4" t="inlineStr">
        <is>
          <t>DRILL</t>
        </is>
      </c>
      <c r="C6" s="30" t="n"/>
      <c r="D6" s="26" t="n"/>
      <c r="E6" s="30" t="n"/>
      <c r="F6" s="30" t="n">
        <v>1800</v>
      </c>
      <c r="G6" s="30" t="n"/>
      <c r="H6" s="30">
        <f>F6+G6</f>
        <v/>
      </c>
      <c r="J6" s="7" t="n">
        <v>3</v>
      </c>
      <c r="K6" s="4" t="inlineStr">
        <is>
          <t>DRILL</t>
        </is>
      </c>
      <c r="L6" s="30" t="n"/>
      <c r="M6" s="26" t="n"/>
      <c r="N6" s="30" t="n"/>
      <c r="O6" s="30" t="n"/>
      <c r="P6" s="30" t="n"/>
      <c r="Q6" s="30" t="n">
        <v>2000</v>
      </c>
      <c r="S6" s="7" t="n">
        <v>3</v>
      </c>
      <c r="T6" s="4" t="inlineStr">
        <is>
          <t>DRILL</t>
        </is>
      </c>
      <c r="U6" s="30" t="n"/>
      <c r="V6" s="26" t="n"/>
      <c r="W6" s="30" t="n"/>
      <c r="X6" s="30" t="n"/>
      <c r="Y6" s="30" t="n"/>
      <c r="Z6" s="30" t="n">
        <v>2000</v>
      </c>
    </row>
    <row r="7" ht="15" customHeight="1" s="307">
      <c r="A7" s="7" t="n">
        <v>4</v>
      </c>
      <c r="B7" s="4" t="inlineStr">
        <is>
          <t>BUTTERFLY VALVE-6 (INCH )</t>
        </is>
      </c>
      <c r="C7" s="30" t="n">
        <v>1</v>
      </c>
      <c r="D7" s="26" t="inlineStr">
        <is>
          <t>NO</t>
        </is>
      </c>
      <c r="E7" s="30">
        <f>Rates!K23</f>
        <v/>
      </c>
      <c r="F7" s="30">
        <f>C7*E7</f>
        <v/>
      </c>
      <c r="G7" s="30" t="n"/>
      <c r="H7" s="30">
        <f>F7+G7</f>
        <v/>
      </c>
      <c r="J7" s="7" t="n">
        <v>4</v>
      </c>
      <c r="K7" s="4" t="inlineStr">
        <is>
          <t>BUTTERFLY VALVE-6 (INCH )</t>
        </is>
      </c>
      <c r="L7" s="30" t="n">
        <v>1</v>
      </c>
      <c r="M7" s="26" t="inlineStr">
        <is>
          <t>NO</t>
        </is>
      </c>
      <c r="N7" s="30">
        <f>E7</f>
        <v/>
      </c>
      <c r="O7" s="30">
        <f>L7*N7</f>
        <v/>
      </c>
      <c r="P7" s="30" t="n"/>
      <c r="Q7" s="30">
        <f>O7+P7</f>
        <v/>
      </c>
      <c r="S7" s="7" t="n">
        <v>4</v>
      </c>
      <c r="T7" s="4" t="inlineStr">
        <is>
          <t>BUTTERFLY VALVE-6 (INCH )</t>
        </is>
      </c>
      <c r="U7" s="30" t="n">
        <v>1</v>
      </c>
      <c r="V7" s="26" t="inlineStr">
        <is>
          <t>NO</t>
        </is>
      </c>
      <c r="W7" s="30">
        <f>N7</f>
        <v/>
      </c>
      <c r="X7" s="30">
        <f>U7*W7</f>
        <v/>
      </c>
      <c r="Y7" s="30" t="n"/>
      <c r="Z7" s="30">
        <f>X7+Y7</f>
        <v/>
      </c>
    </row>
    <row r="8" ht="15" customHeight="1" s="307">
      <c r="A8" s="7" t="n">
        <v>5</v>
      </c>
      <c r="B8" s="4" t="inlineStr">
        <is>
          <t>Ball valve</t>
        </is>
      </c>
      <c r="C8" s="30" t="n">
        <v>1</v>
      </c>
      <c r="D8" s="26" t="inlineStr">
        <is>
          <t>NO</t>
        </is>
      </c>
      <c r="E8" s="30">
        <f>Rates!K26</f>
        <v/>
      </c>
      <c r="F8" s="30">
        <f>C8*E8</f>
        <v/>
      </c>
      <c r="G8" s="30" t="n"/>
      <c r="H8" s="30">
        <f>F8+G8</f>
        <v/>
      </c>
      <c r="J8" s="7" t="n">
        <v>5</v>
      </c>
      <c r="K8" s="4" t="inlineStr">
        <is>
          <t>Ball valve</t>
        </is>
      </c>
      <c r="L8" s="30" t="n">
        <v>1</v>
      </c>
      <c r="M8" s="26" t="inlineStr">
        <is>
          <t>NO</t>
        </is>
      </c>
      <c r="N8" s="30">
        <f>E8</f>
        <v/>
      </c>
      <c r="O8" s="30">
        <f>L8*N8</f>
        <v/>
      </c>
      <c r="P8" s="30" t="n"/>
      <c r="Q8" s="30">
        <f>O8+P8</f>
        <v/>
      </c>
      <c r="S8" s="7" t="n">
        <v>5</v>
      </c>
      <c r="T8" s="4" t="inlineStr">
        <is>
          <t>Ball valve</t>
        </is>
      </c>
      <c r="U8" s="30" t="n">
        <v>1</v>
      </c>
      <c r="V8" s="26" t="inlineStr">
        <is>
          <t>NO</t>
        </is>
      </c>
      <c r="W8" s="30">
        <f>N8</f>
        <v/>
      </c>
      <c r="X8" s="30">
        <f>U8*W8</f>
        <v/>
      </c>
      <c r="Y8" s="30" t="n"/>
      <c r="Z8" s="30">
        <f>X8+Y8</f>
        <v/>
      </c>
    </row>
    <row r="9" ht="15" customHeight="1" s="307">
      <c r="A9" s="7" t="n">
        <v>6</v>
      </c>
      <c r="B9" s="4" t="inlineStr">
        <is>
          <t>FLEXIBLE HOSE-40NB*750MM WITH ADOPTER</t>
        </is>
      </c>
      <c r="C9" s="30" t="n">
        <v>1</v>
      </c>
      <c r="D9" s="26" t="inlineStr">
        <is>
          <t>NO</t>
        </is>
      </c>
      <c r="E9" s="30">
        <f>Rates!K27</f>
        <v/>
      </c>
      <c r="F9" s="30">
        <f>C9*E9</f>
        <v/>
      </c>
      <c r="G9" s="30" t="n"/>
      <c r="H9" s="30">
        <f>F9+G9</f>
        <v/>
      </c>
      <c r="J9" s="7" t="n">
        <v>6</v>
      </c>
      <c r="K9" s="4" t="inlineStr">
        <is>
          <t>FLEXIBLE HOSE-40NB*750MM WITH ADOPTER</t>
        </is>
      </c>
      <c r="L9" s="30" t="n">
        <v>1</v>
      </c>
      <c r="M9" s="26" t="inlineStr">
        <is>
          <t>NO</t>
        </is>
      </c>
      <c r="N9" s="30">
        <f>E9</f>
        <v/>
      </c>
      <c r="O9" s="30">
        <f>L9*N9</f>
        <v/>
      </c>
      <c r="P9" s="30" t="n"/>
      <c r="Q9" s="30">
        <f>O9+P9</f>
        <v/>
      </c>
      <c r="S9" s="7" t="n">
        <v>6</v>
      </c>
      <c r="T9" s="4" t="inlineStr">
        <is>
          <t>FLEXIBLE HOSE-40NB*750MM WITH ADOPTER</t>
        </is>
      </c>
      <c r="U9" s="30" t="n">
        <v>1</v>
      </c>
      <c r="V9" s="26" t="inlineStr">
        <is>
          <t>NO</t>
        </is>
      </c>
      <c r="W9" s="30">
        <f>N9</f>
        <v/>
      </c>
      <c r="X9" s="30">
        <f>U9*W9</f>
        <v/>
      </c>
      <c r="Y9" s="30" t="n"/>
      <c r="Z9" s="30">
        <f>X9+Y9</f>
        <v/>
      </c>
    </row>
    <row r="10" ht="15" customHeight="1" s="307">
      <c r="A10" s="7" t="n">
        <v>7</v>
      </c>
      <c r="B10" s="4" t="inlineStr">
        <is>
          <t>BURNER PLATE</t>
        </is>
      </c>
      <c r="C10" s="30" t="n">
        <v>40</v>
      </c>
      <c r="D10" s="26" t="inlineStr">
        <is>
          <t>Kgs</t>
        </is>
      </c>
      <c r="E10" s="30">
        <f>Rates!K5</f>
        <v/>
      </c>
      <c r="F10" s="30">
        <f>C10*E10</f>
        <v/>
      </c>
      <c r="G10" s="30" t="n"/>
      <c r="H10" s="30">
        <f>F10+G10</f>
        <v/>
      </c>
      <c r="J10" s="7" t="n">
        <v>7</v>
      </c>
      <c r="K10" s="4" t="inlineStr">
        <is>
          <t>BURNER PLATE</t>
        </is>
      </c>
      <c r="L10" s="30" t="n">
        <v>50</v>
      </c>
      <c r="M10" s="26" t="inlineStr">
        <is>
          <t>Kgs</t>
        </is>
      </c>
      <c r="N10" s="30">
        <f>E10</f>
        <v/>
      </c>
      <c r="O10" s="30">
        <f>L10*N10</f>
        <v/>
      </c>
      <c r="P10" s="30" t="n"/>
      <c r="Q10" s="30">
        <f>O10+P10</f>
        <v/>
      </c>
      <c r="S10" s="7" t="n">
        <v>7</v>
      </c>
      <c r="T10" s="4" t="inlineStr">
        <is>
          <t>BURNER PLATE</t>
        </is>
      </c>
      <c r="U10" s="30" t="n">
        <v>50</v>
      </c>
      <c r="V10" s="26" t="inlineStr">
        <is>
          <t>Kgs</t>
        </is>
      </c>
      <c r="W10" s="30">
        <f>N10</f>
        <v/>
      </c>
      <c r="X10" s="30">
        <f>U10*W10</f>
        <v/>
      </c>
      <c r="Y10" s="30" t="n"/>
      <c r="Z10" s="30">
        <f>X10+Y10</f>
        <v/>
      </c>
    </row>
    <row r="11" ht="15" customHeight="1" s="307">
      <c r="A11" s="7" t="n">
        <v>8</v>
      </c>
      <c r="B11" s="4" t="inlineStr">
        <is>
          <t>BURNER BLOCK</t>
        </is>
      </c>
      <c r="C11" s="30" t="n">
        <v>70</v>
      </c>
      <c r="D11" s="26" t="inlineStr">
        <is>
          <t>Kgs</t>
        </is>
      </c>
      <c r="E11" s="30">
        <f>Rates!K25</f>
        <v/>
      </c>
      <c r="F11" s="30">
        <f>C11*E11</f>
        <v/>
      </c>
      <c r="G11" s="30" t="n"/>
      <c r="H11" s="30">
        <f>F11+G11</f>
        <v/>
      </c>
      <c r="J11" s="7" t="n">
        <v>8</v>
      </c>
      <c r="K11" s="4" t="inlineStr">
        <is>
          <t>BURNER BLOCK</t>
        </is>
      </c>
      <c r="L11" s="30" t="n">
        <v>110</v>
      </c>
      <c r="M11" s="26" t="inlineStr">
        <is>
          <t>Kgs</t>
        </is>
      </c>
      <c r="N11" s="30">
        <f>E11</f>
        <v/>
      </c>
      <c r="O11" s="30">
        <f>L11*N11</f>
        <v/>
      </c>
      <c r="P11" s="30" t="n"/>
      <c r="Q11" s="30" t="n">
        <v>4760</v>
      </c>
      <c r="S11" s="7" t="n">
        <v>8</v>
      </c>
      <c r="T11" s="4" t="inlineStr">
        <is>
          <t>BURNER BLOCK</t>
        </is>
      </c>
      <c r="U11" s="30" t="n">
        <v>110</v>
      </c>
      <c r="V11" s="26" t="inlineStr">
        <is>
          <t>Kgs</t>
        </is>
      </c>
      <c r="W11" s="30">
        <f>N11</f>
        <v/>
      </c>
      <c r="X11" s="30">
        <f>U11*W11</f>
        <v/>
      </c>
      <c r="Y11" s="30" t="n"/>
      <c r="Z11" s="30" t="n">
        <v>4760</v>
      </c>
    </row>
    <row r="12" ht="15" customHeight="1" s="307">
      <c r="A12" s="7" t="n">
        <v>9</v>
      </c>
      <c r="B12" s="4" t="inlineStr">
        <is>
          <t>labour charge</t>
        </is>
      </c>
      <c r="C12" s="30" t="n"/>
      <c r="D12" s="26" t="n"/>
      <c r="E12" s="30" t="n"/>
      <c r="F12" s="30" t="n">
        <v>5000</v>
      </c>
      <c r="G12" s="30" t="n"/>
      <c r="H12" s="30">
        <f>F12+G12</f>
        <v/>
      </c>
      <c r="J12" s="7" t="n">
        <v>9</v>
      </c>
      <c r="K12" s="4" t="inlineStr">
        <is>
          <t>labour charge</t>
        </is>
      </c>
      <c r="L12" s="30" t="n"/>
      <c r="M12" s="26" t="n"/>
      <c r="N12" s="30" t="n"/>
      <c r="O12" s="30" t="n"/>
      <c r="P12" s="30" t="n"/>
      <c r="Q12" s="30" t="n">
        <v>5500</v>
      </c>
      <c r="S12" s="7" t="n">
        <v>9</v>
      </c>
      <c r="T12" s="4" t="inlineStr">
        <is>
          <t>labour charge</t>
        </is>
      </c>
      <c r="U12" s="30" t="n"/>
      <c r="V12" s="26" t="n"/>
      <c r="W12" s="30" t="n"/>
      <c r="X12" s="30" t="n"/>
      <c r="Y12" s="30" t="n"/>
      <c r="Z12" s="30" t="n">
        <v>5000</v>
      </c>
    </row>
    <row r="13" ht="15" customHeight="1" s="307">
      <c r="A13" s="7" t="n">
        <v>10</v>
      </c>
      <c r="B13" s="4" t="inlineStr">
        <is>
          <t>PAINT  PRIMER,BOLT</t>
        </is>
      </c>
      <c r="C13" s="30" t="n"/>
      <c r="D13" s="26" t="n"/>
      <c r="E13" s="30" t="n"/>
      <c r="F13" s="30" t="n"/>
      <c r="G13" s="30" t="n"/>
      <c r="H13" s="30" t="n">
        <v>350</v>
      </c>
      <c r="J13" s="7" t="n">
        <v>10</v>
      </c>
      <c r="K13" s="4" t="inlineStr">
        <is>
          <t>PAINT  PRIMER,BOLT</t>
        </is>
      </c>
      <c r="L13" s="30" t="n"/>
      <c r="M13" s="26" t="n"/>
      <c r="N13" s="30" t="n"/>
      <c r="O13" s="30" t="n"/>
      <c r="P13" s="30" t="n"/>
      <c r="Q13" s="30" t="n">
        <v>500</v>
      </c>
      <c r="S13" s="7" t="n">
        <v>10</v>
      </c>
      <c r="T13" s="4" t="inlineStr">
        <is>
          <t>PAINT  PRIMER,BOLT</t>
        </is>
      </c>
      <c r="U13" s="30" t="n"/>
      <c r="V13" s="26" t="n"/>
      <c r="W13" s="30" t="n"/>
      <c r="X13" s="30" t="n"/>
      <c r="Y13" s="30" t="n"/>
      <c r="Z13" s="30" t="n">
        <v>400</v>
      </c>
    </row>
    <row r="14" ht="15" customHeight="1" s="307">
      <c r="A14" s="7" t="n"/>
      <c r="B14" s="26" t="n"/>
      <c r="C14" s="30" t="n"/>
      <c r="D14" s="26" t="n"/>
      <c r="E14" s="49" t="inlineStr">
        <is>
          <t>TOTAL</t>
        </is>
      </c>
      <c r="F14" s="30" t="n"/>
      <c r="G14" s="30" t="n"/>
      <c r="H14" s="30">
        <f>SUM(H4:H13)</f>
        <v/>
      </c>
      <c r="J14" s="7" t="n"/>
      <c r="K14" s="26" t="n"/>
      <c r="L14" s="30" t="n"/>
      <c r="M14" s="26" t="n"/>
      <c r="N14" s="49" t="inlineStr">
        <is>
          <t>TOTAL</t>
        </is>
      </c>
      <c r="O14" s="30" t="n"/>
      <c r="P14" s="30" t="n"/>
      <c r="Q14" s="30">
        <f>SUM(Q4:Q13)</f>
        <v/>
      </c>
      <c r="S14" s="7" t="n"/>
      <c r="T14" s="26" t="n"/>
      <c r="U14" s="30" t="n"/>
      <c r="V14" s="26" t="n"/>
      <c r="W14" s="49" t="inlineStr">
        <is>
          <t>TOTAL</t>
        </is>
      </c>
      <c r="X14" s="30" t="n"/>
      <c r="Y14" s="30" t="n"/>
      <c r="Z14" s="30">
        <f>SUM(Z4:Z13)</f>
        <v/>
      </c>
    </row>
    <row r="17" ht="14.4" customHeight="1" s="307">
      <c r="A17" s="330" t="inlineStr">
        <is>
          <t>BURNER PARTS 100 NM³        PowerTrade</t>
        </is>
      </c>
      <c r="B17" s="390" t="n"/>
      <c r="C17" s="390" t="n"/>
      <c r="D17" s="390" t="n"/>
      <c r="E17" s="390" t="n"/>
      <c r="F17" s="390" t="n"/>
      <c r="G17" s="390" t="n"/>
      <c r="H17" s="390" t="n"/>
      <c r="J17" s="330" t="inlineStr">
        <is>
          <t>BURNER PARTS 100 NM³        Ada</t>
        </is>
      </c>
      <c r="K17" s="390" t="n"/>
      <c r="L17" s="390" t="n"/>
      <c r="M17" s="390" t="n"/>
      <c r="N17" s="390" t="n"/>
      <c r="O17" s="390" t="n"/>
      <c r="P17" s="390" t="n"/>
      <c r="Q17" s="390" t="n"/>
    </row>
    <row r="18" ht="14.4" customHeight="1" s="307">
      <c r="A18" s="47" t="inlineStr">
        <is>
          <t>S.NO.</t>
        </is>
      </c>
      <c r="B18" s="48" t="inlineStr">
        <is>
          <t>PARTICULARS</t>
        </is>
      </c>
      <c r="C18" s="49" t="inlineStr">
        <is>
          <t>QTY</t>
        </is>
      </c>
      <c r="D18" s="48" t="inlineStr">
        <is>
          <t>UNIT</t>
        </is>
      </c>
      <c r="E18" s="49" t="inlineStr">
        <is>
          <t>RATE</t>
        </is>
      </c>
      <c r="F18" s="49" t="inlineStr">
        <is>
          <t>AMOUNT</t>
        </is>
      </c>
      <c r="G18" s="49" t="inlineStr">
        <is>
          <t>M/C COST</t>
        </is>
      </c>
      <c r="H18" s="49" t="inlineStr">
        <is>
          <t>TOTAL AMOUNT</t>
        </is>
      </c>
      <c r="J18" s="47" t="inlineStr">
        <is>
          <t>S.NO.</t>
        </is>
      </c>
      <c r="K18" s="48" t="inlineStr">
        <is>
          <t>PARTICULARS</t>
        </is>
      </c>
      <c r="L18" s="49" t="inlineStr">
        <is>
          <t>QTY</t>
        </is>
      </c>
      <c r="M18" s="48" t="inlineStr">
        <is>
          <t>UNIT</t>
        </is>
      </c>
      <c r="N18" s="49" t="inlineStr">
        <is>
          <t>RATE</t>
        </is>
      </c>
      <c r="O18" s="49" t="inlineStr">
        <is>
          <t>AMOUNT</t>
        </is>
      </c>
      <c r="P18" s="49" t="inlineStr">
        <is>
          <t>M/C COST</t>
        </is>
      </c>
      <c r="Q18" s="49" t="inlineStr">
        <is>
          <t>TOTAL AMOUNT</t>
        </is>
      </c>
    </row>
    <row r="19" ht="14.4" customHeight="1" s="307">
      <c r="A19" s="7" t="n"/>
      <c r="B19" s="26" t="n"/>
      <c r="C19" s="30" t="n"/>
      <c r="D19" s="26" t="n"/>
      <c r="E19" s="30" t="n"/>
      <c r="F19" s="30" t="n"/>
      <c r="G19" s="30" t="n"/>
      <c r="H19" s="30" t="n"/>
      <c r="J19" s="7" t="n"/>
      <c r="K19" s="26" t="n"/>
      <c r="L19" s="30" t="n"/>
      <c r="M19" s="26" t="n"/>
      <c r="N19" s="30" t="n"/>
      <c r="O19" s="30" t="n"/>
      <c r="P19" s="30" t="n"/>
      <c r="Q19" s="30" t="n"/>
    </row>
    <row r="20" ht="14.4" customHeight="1" s="307">
      <c r="A20" s="7" t="n">
        <v>1</v>
      </c>
      <c r="B20" s="4" t="inlineStr">
        <is>
          <t>AIR TUBE</t>
        </is>
      </c>
      <c r="C20" s="30" t="n">
        <v>51</v>
      </c>
      <c r="D20" s="26" t="inlineStr">
        <is>
          <t>Kgs</t>
        </is>
      </c>
      <c r="E20" s="30" t="n">
        <v>70</v>
      </c>
      <c r="F20" s="30">
        <f>C20*E20</f>
        <v/>
      </c>
      <c r="G20" s="30" t="n">
        <v>2760</v>
      </c>
      <c r="H20" s="30">
        <f>F20+G20</f>
        <v/>
      </c>
      <c r="J20" s="7" t="n">
        <v>1</v>
      </c>
      <c r="K20" s="4" t="inlineStr">
        <is>
          <t>AIR TUBE</t>
        </is>
      </c>
      <c r="L20" s="30" t="n">
        <v>30</v>
      </c>
      <c r="M20" s="26" t="inlineStr">
        <is>
          <t>Kgs</t>
        </is>
      </c>
      <c r="N20" s="30">
        <f>Rates!K5</f>
        <v/>
      </c>
      <c r="O20" s="30">
        <f>L20*N20</f>
        <v/>
      </c>
      <c r="P20" s="30" t="n">
        <v>2760</v>
      </c>
      <c r="Q20" s="30">
        <f>O20+P20</f>
        <v/>
      </c>
    </row>
    <row r="21" ht="15.75" customHeight="1" s="307">
      <c r="A21" s="7" t="n">
        <v>2</v>
      </c>
      <c r="B21" s="4" t="inlineStr">
        <is>
          <t>BAISE</t>
        </is>
      </c>
      <c r="C21" s="30" t="n">
        <v>24</v>
      </c>
      <c r="D21" s="26" t="inlineStr">
        <is>
          <t>Kgs</t>
        </is>
      </c>
      <c r="E21" s="30" t="n">
        <v>70</v>
      </c>
      <c r="F21" s="30">
        <f>C21*E21</f>
        <v/>
      </c>
      <c r="G21" s="30" t="n">
        <v>1500</v>
      </c>
      <c r="H21" s="30">
        <f>F21+G21</f>
        <v/>
      </c>
      <c r="J21" s="7" t="n">
        <v>2</v>
      </c>
      <c r="K21" s="4" t="inlineStr">
        <is>
          <t>BAISE</t>
        </is>
      </c>
      <c r="L21" s="30" t="n">
        <v>22</v>
      </c>
      <c r="M21" s="26" t="inlineStr">
        <is>
          <t>Kgs</t>
        </is>
      </c>
      <c r="N21" s="30">
        <f>N20</f>
        <v/>
      </c>
      <c r="O21" s="30">
        <f>L21*N21</f>
        <v/>
      </c>
      <c r="P21" s="30" t="n">
        <v>1500</v>
      </c>
      <c r="Q21" s="30">
        <f>O21+P21</f>
        <v/>
      </c>
    </row>
    <row r="22" ht="15.75" customHeight="1" s="307">
      <c r="A22" s="7" t="n">
        <v>3</v>
      </c>
      <c r="B22" s="4" t="inlineStr">
        <is>
          <t>RING</t>
        </is>
      </c>
      <c r="C22" s="30" t="n">
        <v>8</v>
      </c>
      <c r="D22" s="26" t="inlineStr">
        <is>
          <t>Kgs</t>
        </is>
      </c>
      <c r="E22" s="30" t="n">
        <v>70</v>
      </c>
      <c r="F22" s="30">
        <f>C22*E22</f>
        <v/>
      </c>
      <c r="G22" s="30" t="n">
        <v>750</v>
      </c>
      <c r="H22" s="30">
        <f>F22+G22</f>
        <v/>
      </c>
      <c r="J22" s="7" t="n">
        <v>3</v>
      </c>
      <c r="K22" s="4" t="inlineStr">
        <is>
          <t>RING</t>
        </is>
      </c>
      <c r="L22" s="30" t="n">
        <v>8</v>
      </c>
      <c r="M22" s="26" t="inlineStr">
        <is>
          <t>Kgs</t>
        </is>
      </c>
      <c r="N22" s="30">
        <f>N21</f>
        <v/>
      </c>
      <c r="O22" s="30">
        <f>L22*N22</f>
        <v/>
      </c>
      <c r="P22" s="30" t="n">
        <v>750</v>
      </c>
      <c r="Q22" s="30">
        <f>O22+P22</f>
        <v/>
      </c>
    </row>
    <row r="23" ht="15.75" customHeight="1" s="307">
      <c r="A23" s="7" t="n">
        <v>4</v>
      </c>
      <c r="B23" s="4" t="inlineStr">
        <is>
          <t>SS PIPE</t>
        </is>
      </c>
      <c r="C23" s="30" t="n">
        <v>3</v>
      </c>
      <c r="D23" s="26" t="inlineStr">
        <is>
          <t>Kgs</t>
        </is>
      </c>
      <c r="E23" s="30" t="n">
        <v>240</v>
      </c>
      <c r="F23" s="30">
        <f>C23*E23</f>
        <v/>
      </c>
      <c r="G23" s="30" t="n"/>
      <c r="H23" s="30">
        <f>F23+G23</f>
        <v/>
      </c>
      <c r="J23" s="7" t="n">
        <v>4</v>
      </c>
      <c r="K23" s="4" t="inlineStr">
        <is>
          <t>SS PIPE</t>
        </is>
      </c>
      <c r="L23" s="30" t="n">
        <v>3</v>
      </c>
      <c r="M23" s="26" t="inlineStr">
        <is>
          <t>Kgs</t>
        </is>
      </c>
      <c r="N23" s="30">
        <f>N4</f>
        <v/>
      </c>
      <c r="O23" s="30">
        <f>L23*N23</f>
        <v/>
      </c>
      <c r="P23" s="30" t="n"/>
      <c r="Q23" s="30">
        <f>O23+P23</f>
        <v/>
      </c>
    </row>
    <row r="24" ht="15.75" customHeight="1" s="307">
      <c r="A24" s="7" t="n">
        <v>5</v>
      </c>
      <c r="B24" s="4" t="inlineStr">
        <is>
          <t>MS PLATE</t>
        </is>
      </c>
      <c r="C24" s="30" t="n">
        <v>10</v>
      </c>
      <c r="D24" s="26" t="inlineStr">
        <is>
          <t>Kgs</t>
        </is>
      </c>
      <c r="E24" s="30" t="n">
        <v>70</v>
      </c>
      <c r="F24" s="30">
        <f>C24*E24</f>
        <v/>
      </c>
      <c r="G24" s="30" t="n">
        <v>400</v>
      </c>
      <c r="H24" s="30">
        <f>F24+G24</f>
        <v/>
      </c>
      <c r="J24" s="7" t="n">
        <v>5</v>
      </c>
      <c r="K24" s="4" t="inlineStr">
        <is>
          <t>MS PLATE</t>
        </is>
      </c>
      <c r="L24" s="30" t="n">
        <v>10</v>
      </c>
      <c r="M24" s="26" t="inlineStr">
        <is>
          <t>Kgs</t>
        </is>
      </c>
      <c r="N24" s="30">
        <f>N5</f>
        <v/>
      </c>
      <c r="O24" s="30">
        <f>L24*N24</f>
        <v/>
      </c>
      <c r="P24" s="30" t="n">
        <v>400</v>
      </c>
      <c r="Q24" s="30">
        <f>O24+P24</f>
        <v/>
      </c>
    </row>
    <row r="25" ht="15.75" customHeight="1" s="307">
      <c r="A25" s="7" t="n">
        <v>6</v>
      </c>
      <c r="B25" s="4" t="inlineStr">
        <is>
          <t>BUTTERFLY VALVE-6 (INCH )</t>
        </is>
      </c>
      <c r="C25" s="30" t="n">
        <v>1</v>
      </c>
      <c r="D25" s="26" t="inlineStr">
        <is>
          <t>NO</t>
        </is>
      </c>
      <c r="E25" s="30" t="n">
        <v>3000</v>
      </c>
      <c r="F25" s="30">
        <f>C25*E25</f>
        <v/>
      </c>
      <c r="G25" s="30" t="n"/>
      <c r="H25" s="30">
        <f>F25+G25</f>
        <v/>
      </c>
      <c r="J25" s="7" t="n">
        <v>6</v>
      </c>
      <c r="K25" s="4" t="inlineStr">
        <is>
          <t>BUTTERFLY VALVE-6 (INCH )</t>
        </is>
      </c>
      <c r="L25" s="30" t="n">
        <v>1</v>
      </c>
      <c r="M25" s="26" t="inlineStr">
        <is>
          <t>NO</t>
        </is>
      </c>
      <c r="N25" s="30">
        <f>N7</f>
        <v/>
      </c>
      <c r="O25" s="30">
        <f>L25*N25</f>
        <v/>
      </c>
      <c r="P25" s="30" t="n"/>
      <c r="Q25" s="30">
        <f>O25+P25</f>
        <v/>
      </c>
    </row>
    <row r="26" ht="15.75" customHeight="1" s="307">
      <c r="A26" s="7" t="n">
        <v>7</v>
      </c>
      <c r="B26" s="4" t="inlineStr">
        <is>
          <t>Ball valve</t>
        </is>
      </c>
      <c r="C26" s="30" t="n">
        <v>1</v>
      </c>
      <c r="D26" s="26" t="inlineStr">
        <is>
          <t>NO</t>
        </is>
      </c>
      <c r="E26" s="30" t="n">
        <v>2050</v>
      </c>
      <c r="F26" s="30">
        <f>C26*E26</f>
        <v/>
      </c>
      <c r="G26" s="30" t="n"/>
      <c r="H26" s="30">
        <f>F26+G26</f>
        <v/>
      </c>
      <c r="J26" s="7" t="n">
        <v>7</v>
      </c>
      <c r="K26" s="4" t="inlineStr">
        <is>
          <t>Ball valve</t>
        </is>
      </c>
      <c r="L26" s="30" t="n">
        <v>1</v>
      </c>
      <c r="M26" s="26" t="inlineStr">
        <is>
          <t>NO</t>
        </is>
      </c>
      <c r="N26" s="30">
        <f>W8</f>
        <v/>
      </c>
      <c r="O26" s="30">
        <f>L26*N26</f>
        <v/>
      </c>
      <c r="P26" s="30" t="n"/>
      <c r="Q26" s="30">
        <f>O26+P26</f>
        <v/>
      </c>
    </row>
    <row r="27" ht="15.75" customHeight="1" s="307">
      <c r="A27" s="7" t="n">
        <v>8</v>
      </c>
      <c r="B27" s="4" t="inlineStr">
        <is>
          <t>FLEXIBLE HOSE-40NB*750MM WITH ADOPTER</t>
        </is>
      </c>
      <c r="C27" s="30" t="n">
        <v>1</v>
      </c>
      <c r="D27" s="26" t="inlineStr">
        <is>
          <t>NO</t>
        </is>
      </c>
      <c r="E27" s="30" t="n">
        <v>1750</v>
      </c>
      <c r="F27" s="30">
        <f>C27*E27</f>
        <v/>
      </c>
      <c r="G27" s="30" t="n"/>
      <c r="H27" s="30">
        <f>F27+G27</f>
        <v/>
      </c>
      <c r="J27" s="7" t="n">
        <v>8</v>
      </c>
      <c r="K27" s="4" t="inlineStr">
        <is>
          <t>FLEXIBLE HOSE-40NB*750MM WITH ADOPTER</t>
        </is>
      </c>
      <c r="L27" s="30" t="n">
        <v>1</v>
      </c>
      <c r="M27" s="26" t="inlineStr">
        <is>
          <t>NO</t>
        </is>
      </c>
      <c r="N27" s="30">
        <f>W9</f>
        <v/>
      </c>
      <c r="O27" s="30">
        <f>L27*N27</f>
        <v/>
      </c>
      <c r="P27" s="30" t="n"/>
      <c r="Q27" s="30">
        <f>O27+P27</f>
        <v/>
      </c>
    </row>
    <row r="28" ht="15.75" customHeight="1" s="307">
      <c r="A28" s="7" t="n">
        <v>9</v>
      </c>
      <c r="B28" s="4" t="inlineStr">
        <is>
          <t>BURNER PLATE</t>
        </is>
      </c>
      <c r="C28" s="30" t="n">
        <v>50</v>
      </c>
      <c r="D28" s="26" t="inlineStr">
        <is>
          <t>Kgs</t>
        </is>
      </c>
      <c r="E28" s="30" t="n">
        <v>70</v>
      </c>
      <c r="F28" s="30">
        <f>C28*E28</f>
        <v/>
      </c>
      <c r="G28" s="30" t="n"/>
      <c r="H28" s="30">
        <f>F28+G28</f>
        <v/>
      </c>
      <c r="J28" s="7" t="n">
        <v>9</v>
      </c>
      <c r="K28" s="4" t="inlineStr">
        <is>
          <t>BURNER PLATE</t>
        </is>
      </c>
      <c r="L28" s="30" t="n">
        <v>50</v>
      </c>
      <c r="M28" s="26" t="inlineStr">
        <is>
          <t>Kgs</t>
        </is>
      </c>
      <c r="N28" s="30">
        <f>N10</f>
        <v/>
      </c>
      <c r="O28" s="30">
        <f>L28*N28</f>
        <v/>
      </c>
      <c r="P28" s="30" t="n"/>
      <c r="Q28" s="30">
        <f>O28+P28</f>
        <v/>
      </c>
    </row>
    <row r="29" ht="15.75" customHeight="1" s="307">
      <c r="A29" s="7" t="n">
        <v>10</v>
      </c>
      <c r="B29" s="4" t="inlineStr">
        <is>
          <t>BURNER BLOCK</t>
        </is>
      </c>
      <c r="C29" s="30" t="n">
        <v>110</v>
      </c>
      <c r="D29" s="26" t="inlineStr">
        <is>
          <t>Kgs</t>
        </is>
      </c>
      <c r="E29" s="30" t="n">
        <v>41</v>
      </c>
      <c r="F29" s="30">
        <f>C29*E29</f>
        <v/>
      </c>
      <c r="G29" s="30" t="n"/>
      <c r="H29" s="30" t="n">
        <v>4760</v>
      </c>
      <c r="J29" s="7" t="n">
        <v>10</v>
      </c>
      <c r="K29" s="4" t="inlineStr">
        <is>
          <t>BURNER BLOCK</t>
        </is>
      </c>
      <c r="L29" s="30" t="n">
        <v>110</v>
      </c>
      <c r="M29" s="26" t="inlineStr">
        <is>
          <t>Kgs</t>
        </is>
      </c>
      <c r="N29" s="30">
        <f>N11</f>
        <v/>
      </c>
      <c r="O29" s="30">
        <f>L29*N29</f>
        <v/>
      </c>
      <c r="P29" s="30" t="n"/>
      <c r="Q29" s="30" t="n">
        <v>4760</v>
      </c>
    </row>
    <row r="30" ht="15.75" customHeight="1" s="307">
      <c r="A30" s="7" t="n">
        <v>11</v>
      </c>
      <c r="B30" s="4" t="inlineStr">
        <is>
          <t>labour charge</t>
        </is>
      </c>
      <c r="C30" s="30" t="n"/>
      <c r="D30" s="26" t="n"/>
      <c r="E30" s="30" t="n"/>
      <c r="F30" s="30" t="n"/>
      <c r="G30" s="30" t="n"/>
      <c r="H30" s="30" t="n">
        <v>500</v>
      </c>
      <c r="J30" s="7" t="n">
        <v>11</v>
      </c>
      <c r="K30" s="4" t="inlineStr">
        <is>
          <t>labour charge</t>
        </is>
      </c>
      <c r="L30" s="30" t="n"/>
      <c r="M30" s="26" t="n"/>
      <c r="N30" s="30" t="n"/>
      <c r="O30" s="30" t="n"/>
      <c r="P30" s="30" t="n"/>
      <c r="Q30" s="30" t="n">
        <v>500</v>
      </c>
    </row>
    <row r="31" ht="15.75" customHeight="1" s="307">
      <c r="A31" s="7" t="n">
        <v>12</v>
      </c>
      <c r="B31" s="4" t="inlineStr">
        <is>
          <t>PAINT  PRIMER,BOLT</t>
        </is>
      </c>
      <c r="C31" s="30" t="n"/>
      <c r="D31" s="26" t="n"/>
      <c r="E31" s="30" t="n"/>
      <c r="F31" s="30" t="n"/>
      <c r="G31" s="30" t="n"/>
      <c r="H31" s="30" t="n">
        <v>400</v>
      </c>
      <c r="J31" s="7" t="n">
        <v>12</v>
      </c>
      <c r="K31" s="4" t="inlineStr">
        <is>
          <t>PAINT  PRIMER,BOLT</t>
        </is>
      </c>
      <c r="L31" s="30" t="n"/>
      <c r="M31" s="26" t="n"/>
      <c r="N31" s="30" t="n"/>
      <c r="O31" s="30" t="n"/>
      <c r="P31" s="30" t="n"/>
      <c r="Q31" s="30" t="n">
        <v>400</v>
      </c>
    </row>
    <row r="32" ht="15.75" customHeight="1" s="307">
      <c r="A32" s="7" t="n"/>
      <c r="B32" s="26" t="n"/>
      <c r="C32" s="30" t="n"/>
      <c r="D32" s="26" t="n"/>
      <c r="E32" s="49" t="inlineStr">
        <is>
          <t>TOTAL</t>
        </is>
      </c>
      <c r="F32" s="30" t="n"/>
      <c r="G32" s="30" t="n"/>
      <c r="H32" s="30">
        <f>SUM(H20:H31)</f>
        <v/>
      </c>
      <c r="J32" s="7" t="n"/>
      <c r="K32" s="26" t="n"/>
      <c r="L32" s="30" t="n"/>
      <c r="M32" s="26" t="n"/>
      <c r="N32" s="49" t="inlineStr">
        <is>
          <t>TOTAL</t>
        </is>
      </c>
      <c r="O32" s="30" t="n"/>
      <c r="P32" s="30" t="n"/>
      <c r="Q32" s="30">
        <f>SUM(Q20:Q31)</f>
        <v/>
      </c>
    </row>
    <row r="33" ht="15.75" customHeight="1" s="307"/>
    <row r="34" ht="15.75" customHeight="1" s="307"/>
    <row r="35" ht="15.75" customHeight="1" s="307">
      <c r="B35" s="97" t="inlineStr">
        <is>
          <t xml:space="preserve">Casting weight of ADA – 1 . base – 30 kg   </t>
        </is>
      </c>
    </row>
    <row r="36" ht="15.75" customHeight="1" s="307">
      <c r="B36" s="97" t="inlineStr">
        <is>
          <t xml:space="preserve">                                                  2 . air tube – 35 kg </t>
        </is>
      </c>
    </row>
    <row r="37" ht="15.75" customHeight="1" s="307">
      <c r="B37" s="97" t="inlineStr">
        <is>
          <t xml:space="preserve">                                                  3. Ring – 10 kg</t>
        </is>
      </c>
    </row>
    <row r="38" ht="15.75" customHeight="1" s="307">
      <c r="B38" s="97" t="inlineStr">
        <is>
          <t>Power trade -                       1. Air tube – 60 kg</t>
        </is>
      </c>
    </row>
    <row r="39" ht="15.75" customHeight="1" s="307">
      <c r="B39" s="97" t="inlineStr">
        <is>
          <t xml:space="preserve">                                                   2. base -  35 kg </t>
        </is>
      </c>
    </row>
    <row r="40" ht="15.75" customHeight="1" s="307">
      <c r="B40" s="97" t="inlineStr">
        <is>
          <t xml:space="preserve">                                                   3. Ring – 10 kg</t>
        </is>
      </c>
    </row>
    <row r="41" ht="15.75" customHeight="1" s="307">
      <c r="B41" s="97" t="n"/>
    </row>
    <row r="42" ht="15.75" customHeight="1" s="307"/>
    <row r="43" ht="15.75" customHeight="1" s="307"/>
    <row r="44" ht="15.75" customHeight="1" s="307"/>
    <row r="45" ht="15.75" customHeight="1" s="307"/>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mergeCells count="5">
    <mergeCell ref="J1:Q1"/>
    <mergeCell ref="S1:Z1"/>
    <mergeCell ref="A17:H17"/>
    <mergeCell ref="A1:H1"/>
    <mergeCell ref="J17:Q17"/>
  </mergeCells>
  <pageMargins left="0.7" right="0.7" top="0.75" bottom="0.75" header="0" footer="0"/>
  <pageSetup orientation="portrait"/>
</worksheet>
</file>

<file path=xl/worksheets/sheet6.xml><?xml version="1.0" encoding="utf-8"?>
<worksheet xmlns="http://schemas.openxmlformats.org/spreadsheetml/2006/main">
  <sheetPr>
    <tabColor rgb="FFFF0000"/>
    <outlinePr summaryBelow="1" summaryRight="1"/>
    <pageSetUpPr/>
  </sheetPr>
  <dimension ref="A1:Z1000"/>
  <sheetViews>
    <sheetView topLeftCell="E1" workbookViewId="0">
      <selection activeCell="K4" sqref="K4"/>
    </sheetView>
  </sheetViews>
  <sheetFormatPr baseColWidth="8" defaultColWidth="14.44140625" defaultRowHeight="15" customHeight="1"/>
  <cols>
    <col width="23.44140625" customWidth="1" style="307" min="1" max="1"/>
    <col width="24.33203125" customWidth="1" style="307" min="2" max="2"/>
    <col width="18.6640625" customWidth="1" style="307" min="3" max="3"/>
    <col width="16.6640625" customWidth="1" style="307" min="4" max="4"/>
    <col width="21" customWidth="1" style="307" min="5" max="5"/>
    <col width="23.6640625" customWidth="1" style="307" min="6" max="6"/>
    <col width="20.88671875" customWidth="1" style="307" min="7" max="7"/>
    <col width="15" customWidth="1" style="307" min="8" max="8"/>
    <col width="14.33203125" customWidth="1" style="307" min="9" max="9"/>
    <col width="14.5546875" customWidth="1" style="307" min="10" max="10"/>
    <col width="17.33203125" customWidth="1" style="307" min="11" max="11"/>
    <col width="18.88671875" customWidth="1" style="307" min="12" max="12"/>
    <col width="21.6640625" customWidth="1" style="307" min="13" max="13"/>
    <col width="14.88671875" customWidth="1" style="307" min="14" max="14"/>
    <col width="16.6640625" customWidth="1" style="307" min="15" max="15"/>
    <col width="23.5546875" customWidth="1" style="307" min="16" max="16"/>
    <col width="10" customWidth="1" style="307" min="17" max="17"/>
    <col width="10.5546875" customWidth="1" style="307" min="18" max="18"/>
    <col width="12.109375" customWidth="1" style="307" min="19" max="19"/>
    <col width="17.6640625" customWidth="1" style="307" min="20" max="20"/>
    <col width="16.88671875" customWidth="1" style="307" min="21" max="21"/>
    <col width="16" customWidth="1" style="307" min="22" max="22"/>
    <col width="9.109375" customWidth="1" style="307" min="23" max="26"/>
  </cols>
  <sheetData>
    <row r="1" ht="17.4" customHeight="1" s="307">
      <c r="A1" s="416" t="inlineStr">
        <is>
          <t>ENCON FUEL COMBUSTORS BLOWERS (DIRECT MOUNTED) (W.E.F Jul'21)</t>
        </is>
      </c>
      <c r="L1" s="98" t="n"/>
      <c r="M1" s="98" t="n"/>
      <c r="N1" s="98" t="n"/>
      <c r="O1" s="98" t="n"/>
      <c r="P1" s="98" t="n"/>
      <c r="Q1" s="3" t="n"/>
      <c r="R1" s="3" t="n"/>
      <c r="S1" s="3" t="n"/>
      <c r="T1" s="3" t="n"/>
      <c r="U1" s="3" t="n"/>
      <c r="V1" s="3" t="n"/>
      <c r="W1" s="3" t="n"/>
      <c r="X1" s="3" t="n"/>
      <c r="Y1" s="3" t="n"/>
      <c r="Z1" s="3" t="n"/>
    </row>
    <row r="2" ht="15.6" customHeight="1" s="307">
      <c r="A2" s="332" t="inlineStr">
        <is>
          <t xml:space="preserve">      MEDIUM PRESSURE</t>
        </is>
      </c>
      <c r="B2" s="417" t="n"/>
      <c r="C2" s="417" t="n"/>
      <c r="D2" s="417" t="n"/>
      <c r="E2" s="417" t="n"/>
      <c r="F2" s="417" t="n"/>
      <c r="G2" s="417" t="n"/>
      <c r="H2" s="99" t="inlineStr">
        <is>
          <t>PERKIN Rates</t>
        </is>
      </c>
      <c r="I2" s="100" t="n"/>
      <c r="J2" s="64" t="n"/>
      <c r="K2" s="64" t="n"/>
      <c r="L2" s="3" t="n"/>
      <c r="M2" s="3" t="n"/>
      <c r="N2" s="3" t="n"/>
      <c r="O2" s="3" t="n"/>
      <c r="P2" s="3" t="n"/>
      <c r="Q2" s="3" t="n"/>
      <c r="R2" s="3" t="n"/>
      <c r="S2" s="3" t="n"/>
      <c r="T2" s="3" t="n"/>
      <c r="U2" s="3" t="n"/>
      <c r="V2" s="3" t="n"/>
      <c r="W2" s="3" t="n"/>
      <c r="X2" s="3" t="n"/>
      <c r="Y2" s="3" t="n"/>
      <c r="Z2" s="3" t="n"/>
    </row>
    <row r="3" ht="31.2" customHeight="1" s="307">
      <c r="A3" s="101" t="inlineStr">
        <is>
          <t xml:space="preserve">     MODEL</t>
        </is>
      </c>
      <c r="B3" s="102" t="inlineStr">
        <is>
          <t xml:space="preserve">  H.P.</t>
        </is>
      </c>
      <c r="C3" s="102" t="inlineStr">
        <is>
          <t xml:space="preserve">   CFM</t>
        </is>
      </c>
      <c r="D3" s="102" t="inlineStr">
        <is>
          <t>NM3 /HR</t>
        </is>
      </c>
      <c r="E3" s="102" t="inlineStr">
        <is>
          <t>PRESSURE</t>
        </is>
      </c>
      <c r="F3" s="102" t="inlineStr">
        <is>
          <t xml:space="preserve">    PRICE Without motor </t>
        </is>
      </c>
      <c r="G3" s="103" t="inlineStr">
        <is>
          <t xml:space="preserve">    PRICE  With motor</t>
        </is>
      </c>
      <c r="H3" s="104" t="inlineStr">
        <is>
          <t>Blower weight 
Approx</t>
        </is>
      </c>
      <c r="I3" s="105" t="inlineStr">
        <is>
          <t>Per Kg. Price</t>
        </is>
      </c>
      <c r="J3" s="105" t="inlineStr">
        <is>
          <t>Amount</t>
        </is>
      </c>
      <c r="K3" s="105" t="inlineStr">
        <is>
          <t>Motor Price ABB</t>
        </is>
      </c>
      <c r="L3" s="106" t="inlineStr">
        <is>
          <t xml:space="preserve">    PRICE Without,
 motor </t>
        </is>
      </c>
      <c r="M3" s="105" t="inlineStr">
        <is>
          <t xml:space="preserve">    PRICE  With motor</t>
        </is>
      </c>
      <c r="N3" s="3" t="n"/>
      <c r="O3" s="107" t="inlineStr">
        <is>
          <t>* Raised 12% from Last</t>
        </is>
      </c>
      <c r="P3" s="3" t="n"/>
      <c r="Q3" s="3" t="n"/>
      <c r="R3" s="3" t="n"/>
      <c r="S3" s="3" t="n"/>
      <c r="T3" s="3" t="n"/>
      <c r="U3" s="3" t="n"/>
      <c r="V3" s="3" t="n"/>
      <c r="W3" s="3" t="n"/>
      <c r="X3" s="3" t="n"/>
      <c r="Y3" s="3" t="n"/>
      <c r="Z3" s="3" t="n"/>
    </row>
    <row r="4" ht="15.6" customHeight="1" s="307">
      <c r="A4" s="108" t="inlineStr">
        <is>
          <t>ENCON 28/3</t>
        </is>
      </c>
      <c r="B4" s="109" t="n">
        <v>3</v>
      </c>
      <c r="C4" s="109" t="n">
        <v>300</v>
      </c>
      <c r="D4" s="109" t="n">
        <v>510</v>
      </c>
      <c r="E4" s="110" t="inlineStr">
        <is>
          <t>28” W.G.</t>
        </is>
      </c>
      <c r="F4" s="111" t="n">
        <v>50400</v>
      </c>
      <c r="G4" s="112" t="n">
        <v>69000</v>
      </c>
      <c r="H4" s="113" t="n">
        <v>130</v>
      </c>
      <c r="I4" s="114" t="n"/>
      <c r="J4" s="114" t="n">
        <v>28000</v>
      </c>
      <c r="K4" s="114" t="n">
        <v>12500</v>
      </c>
      <c r="L4" s="114">
        <f>J4*1.8</f>
        <v/>
      </c>
      <c r="M4" s="114">
        <f>K4*1.5+L4</f>
        <v/>
      </c>
      <c r="N4" s="3" t="n"/>
      <c r="O4" s="3" t="n">
        <v>12320</v>
      </c>
      <c r="P4" s="398">
        <f>J4/H4</f>
        <v/>
      </c>
      <c r="Q4" s="3" t="n">
        <v>45000</v>
      </c>
      <c r="R4" s="398">
        <f>Q4/(H4*1.8)</f>
        <v/>
      </c>
      <c r="S4" s="115">
        <f>P4/R4-1</f>
        <v/>
      </c>
      <c r="T4" s="3" t="n"/>
      <c r="U4" s="3" t="n">
        <v>57000</v>
      </c>
      <c r="V4" s="115">
        <f>G4/U4-1</f>
        <v/>
      </c>
      <c r="W4" s="3" t="n"/>
      <c r="X4" s="3">
        <f>M4-L4</f>
        <v/>
      </c>
      <c r="Y4" s="3">
        <f>X4/O4</f>
        <v/>
      </c>
      <c r="Z4" s="3" t="n"/>
    </row>
    <row r="5" ht="15.6" customHeight="1" s="307">
      <c r="A5" s="116" t="inlineStr">
        <is>
          <t>ENCON 28/5</t>
        </is>
      </c>
      <c r="B5" s="117" t="n">
        <v>5</v>
      </c>
      <c r="C5" s="117" t="n">
        <v>550</v>
      </c>
      <c r="D5" s="117" t="n">
        <v>930</v>
      </c>
      <c r="E5" s="118" t="inlineStr">
        <is>
          <t>28” W.G.</t>
        </is>
      </c>
      <c r="F5" s="119" t="n">
        <v>51500</v>
      </c>
      <c r="G5" s="120" t="n">
        <v>76000</v>
      </c>
      <c r="H5" s="113" t="n">
        <v>160</v>
      </c>
      <c r="I5" s="114" t="n"/>
      <c r="J5" s="114" t="n">
        <v>28622</v>
      </c>
      <c r="K5" s="114" t="n">
        <v>16200</v>
      </c>
      <c r="L5" s="114">
        <f>J5*1.8</f>
        <v/>
      </c>
      <c r="M5" s="114">
        <f>K5*1.5+L5</f>
        <v/>
      </c>
      <c r="N5" s="3" t="n"/>
      <c r="O5" s="3" t="n">
        <v>16170</v>
      </c>
      <c r="P5" s="398">
        <f>J5/H5</f>
        <v/>
      </c>
      <c r="Q5" s="3" t="n">
        <v>46000</v>
      </c>
      <c r="R5" s="398">
        <f>Q5/(H5*1.8)</f>
        <v/>
      </c>
      <c r="S5" s="115">
        <f>P5/R5-1</f>
        <v/>
      </c>
      <c r="T5" s="3" t="n"/>
      <c r="U5" s="3" t="n">
        <v>66000</v>
      </c>
      <c r="V5" s="115">
        <f>G5/U5-1</f>
        <v/>
      </c>
      <c r="W5" s="3" t="n"/>
      <c r="X5" s="3">
        <f>M5-L5</f>
        <v/>
      </c>
      <c r="Y5" s="3">
        <f>X5/O5</f>
        <v/>
      </c>
      <c r="Z5" s="3" t="n"/>
    </row>
    <row r="6" ht="15.6" customHeight="1" s="307">
      <c r="A6" s="116" t="inlineStr">
        <is>
          <t>ENCON 28/7.5</t>
        </is>
      </c>
      <c r="B6" s="117" t="n">
        <v>7.5</v>
      </c>
      <c r="C6" s="117" t="n">
        <v>850</v>
      </c>
      <c r="D6" s="117" t="n">
        <v>1450</v>
      </c>
      <c r="E6" s="118" t="inlineStr">
        <is>
          <t>28” W.G.</t>
        </is>
      </c>
      <c r="F6" s="119" t="n">
        <v>56500</v>
      </c>
      <c r="G6" s="120" t="n">
        <v>95200</v>
      </c>
      <c r="H6" s="113" t="n">
        <v>180</v>
      </c>
      <c r="I6" s="114" t="n"/>
      <c r="J6" s="114" t="n">
        <v>31360</v>
      </c>
      <c r="K6" s="114" t="n">
        <v>25800</v>
      </c>
      <c r="L6" s="114">
        <f>J6*1.8</f>
        <v/>
      </c>
      <c r="M6" s="114">
        <f>K6*1.5+L6</f>
        <v/>
      </c>
      <c r="N6" s="3" t="n"/>
      <c r="O6" s="3" t="n">
        <v>25795</v>
      </c>
      <c r="P6" s="398">
        <f>J6/H6</f>
        <v/>
      </c>
      <c r="Q6" s="3" t="n">
        <v>50400</v>
      </c>
      <c r="R6" s="398">
        <f>Q6/(H6*1.8)</f>
        <v/>
      </c>
      <c r="S6" s="115">
        <f>P6/R6-1</f>
        <v/>
      </c>
      <c r="T6" s="3" t="n"/>
      <c r="U6" s="3" t="n">
        <v>87000</v>
      </c>
      <c r="V6" s="115">
        <f>G6/U6-1</f>
        <v/>
      </c>
      <c r="W6" s="3" t="n"/>
      <c r="X6" s="3">
        <f>M6-L6</f>
        <v/>
      </c>
      <c r="Y6" s="3">
        <f>X6/O6</f>
        <v/>
      </c>
      <c r="Z6" s="3" t="n"/>
    </row>
    <row r="7" ht="15.6" customHeight="1" s="307">
      <c r="A7" s="116" t="inlineStr">
        <is>
          <t>ENCON 28/10</t>
        </is>
      </c>
      <c r="B7" s="117" t="n">
        <v>10</v>
      </c>
      <c r="C7" s="117" t="n">
        <v>1200</v>
      </c>
      <c r="D7" s="117" t="n">
        <v>2040</v>
      </c>
      <c r="E7" s="118" t="inlineStr">
        <is>
          <t>28” W.G.</t>
        </is>
      </c>
      <c r="F7" s="119" t="n">
        <v>60500</v>
      </c>
      <c r="G7" s="120" t="n">
        <v>101000</v>
      </c>
      <c r="H7" s="113" t="n">
        <v>190</v>
      </c>
      <c r="I7" s="114" t="n"/>
      <c r="J7" s="114" t="n">
        <v>33600</v>
      </c>
      <c r="K7" s="114" t="n">
        <v>27000</v>
      </c>
      <c r="L7" s="114">
        <f>J7*1.8</f>
        <v/>
      </c>
      <c r="M7" s="114">
        <f>K7*1.5+L7</f>
        <v/>
      </c>
      <c r="N7" s="3" t="n"/>
      <c r="O7" s="3" t="n">
        <v>26950</v>
      </c>
      <c r="P7" s="398">
        <f>J7/H7</f>
        <v/>
      </c>
      <c r="Q7" s="3" t="n">
        <v>54000</v>
      </c>
      <c r="R7" s="398">
        <f>Q7/(H7*1.8)</f>
        <v/>
      </c>
      <c r="S7" s="115">
        <f>P7/R7-1</f>
        <v/>
      </c>
      <c r="T7" s="3" t="n"/>
      <c r="U7" s="3" t="n">
        <v>92000</v>
      </c>
      <c r="V7" s="115">
        <f>G7/U7-1</f>
        <v/>
      </c>
      <c r="W7" s="3" t="n"/>
      <c r="X7" s="3">
        <f>M7-L7</f>
        <v/>
      </c>
      <c r="Y7" s="3">
        <f>X7/O7</f>
        <v/>
      </c>
      <c r="Z7" s="3" t="n"/>
    </row>
    <row r="8" ht="15.6" customHeight="1" s="307">
      <c r="A8" s="116" t="inlineStr">
        <is>
          <t>ENCON 28/15</t>
        </is>
      </c>
      <c r="B8" s="117" t="n">
        <v>15</v>
      </c>
      <c r="C8" s="117" t="n">
        <v>1700</v>
      </c>
      <c r="D8" s="117" t="n">
        <v>2890</v>
      </c>
      <c r="E8" s="118" t="inlineStr">
        <is>
          <t>28” W.G.</t>
        </is>
      </c>
      <c r="F8" s="119" t="n">
        <v>76000</v>
      </c>
      <c r="G8" s="120" t="n">
        <v>148000</v>
      </c>
      <c r="H8" s="113" t="n">
        <v>200</v>
      </c>
      <c r="I8" s="114" t="n"/>
      <c r="J8" s="114" t="n">
        <v>39200</v>
      </c>
      <c r="K8" s="114" t="n">
        <v>51500</v>
      </c>
      <c r="L8" s="114">
        <f>J8*1.8</f>
        <v/>
      </c>
      <c r="M8" s="114">
        <f>K8*1.5+L8</f>
        <v/>
      </c>
      <c r="N8" s="3" t="n"/>
      <c r="O8" s="3" t="n">
        <v>51310</v>
      </c>
      <c r="P8" s="398">
        <f>J8/H8</f>
        <v/>
      </c>
      <c r="Q8" s="3" t="n">
        <v>63000</v>
      </c>
      <c r="R8" s="398">
        <f>Q8/(H8*1.8)</f>
        <v/>
      </c>
      <c r="S8" s="115">
        <f>P8/R8-1</f>
        <v/>
      </c>
      <c r="T8" s="3" t="n"/>
      <c r="U8" s="3" t="n">
        <v>136000</v>
      </c>
      <c r="V8" s="115">
        <f>G8/U8-1</f>
        <v/>
      </c>
      <c r="W8" s="3" t="n"/>
      <c r="X8" s="3">
        <f>M8-L8</f>
        <v/>
      </c>
      <c r="Y8" s="3">
        <f>X8/O8</f>
        <v/>
      </c>
      <c r="Z8" s="3" t="n"/>
    </row>
    <row r="9" ht="15.6" customHeight="1" s="307">
      <c r="A9" s="116" t="inlineStr">
        <is>
          <t>ENCON 28/20</t>
        </is>
      </c>
      <c r="B9" s="117" t="n">
        <v>20</v>
      </c>
      <c r="C9" s="117" t="n">
        <v>2200</v>
      </c>
      <c r="D9" s="117" t="n">
        <v>3740</v>
      </c>
      <c r="E9" s="118" t="inlineStr">
        <is>
          <t>28” W.G.</t>
        </is>
      </c>
      <c r="F9" s="119" t="n">
        <v>87000</v>
      </c>
      <c r="G9" s="120" t="n">
        <v>168000</v>
      </c>
      <c r="H9" s="113" t="n">
        <v>210</v>
      </c>
      <c r="I9" s="114" t="n"/>
      <c r="J9" s="114" t="n">
        <v>44800</v>
      </c>
      <c r="K9" s="114" t="n">
        <v>58000</v>
      </c>
      <c r="L9" s="114">
        <f>J9*1.8</f>
        <v/>
      </c>
      <c r="M9" s="114">
        <f>K9*1.5+L9</f>
        <v/>
      </c>
      <c r="N9" s="3" t="n"/>
      <c r="O9" s="3" t="n">
        <v>57995</v>
      </c>
      <c r="P9" s="398">
        <f>J9/H9</f>
        <v/>
      </c>
      <c r="Q9" s="3" t="n">
        <v>72000</v>
      </c>
      <c r="R9" s="398">
        <f>Q9/(H9*1.8)</f>
        <v/>
      </c>
      <c r="S9" s="115">
        <f>P9/R9-1</f>
        <v/>
      </c>
      <c r="T9" s="3" t="n"/>
      <c r="U9" s="3" t="n">
        <v>155000</v>
      </c>
      <c r="V9" s="115">
        <f>G9/U9-1</f>
        <v/>
      </c>
      <c r="W9" s="3" t="n"/>
      <c r="X9" s="3">
        <f>M9-L9</f>
        <v/>
      </c>
      <c r="Y9" s="3">
        <f>X9/O9</f>
        <v/>
      </c>
      <c r="Z9" s="3" t="n"/>
    </row>
    <row r="10" ht="15.6" customHeight="1" s="307">
      <c r="A10" s="116" t="inlineStr">
        <is>
          <t>ENCON 28/25</t>
        </is>
      </c>
      <c r="B10" s="117" t="n">
        <v>25</v>
      </c>
      <c r="C10" s="117" t="n">
        <v>3000</v>
      </c>
      <c r="D10" s="117" t="n">
        <v>5100</v>
      </c>
      <c r="E10" s="118" t="inlineStr">
        <is>
          <t>28” W.G.</t>
        </is>
      </c>
      <c r="F10" s="121" t="n">
        <v>91000</v>
      </c>
      <c r="G10" s="122" t="n">
        <v>195000</v>
      </c>
      <c r="H10" s="113" t="n">
        <v>220</v>
      </c>
      <c r="I10" s="114" t="n"/>
      <c r="J10" s="114" t="n">
        <v>50400</v>
      </c>
      <c r="K10" s="114" t="n">
        <v>69500</v>
      </c>
      <c r="L10" s="114">
        <f>J10*1.8</f>
        <v/>
      </c>
      <c r="M10" s="114">
        <f>K10*1.5+L10</f>
        <v/>
      </c>
      <c r="N10" s="3" t="n"/>
      <c r="O10" s="3" t="n">
        <v>69230</v>
      </c>
      <c r="P10" s="398">
        <f>J10/H10</f>
        <v/>
      </c>
      <c r="Q10" s="3" t="n">
        <v>81000</v>
      </c>
      <c r="R10" s="398">
        <f>Q10/(H10*1.8)</f>
        <v/>
      </c>
      <c r="S10" s="115">
        <f>P10/R10-1</f>
        <v/>
      </c>
      <c r="T10" s="3" t="n"/>
      <c r="U10" s="3" t="n">
        <v>180000</v>
      </c>
      <c r="V10" s="115">
        <f>G10/U10-1</f>
        <v/>
      </c>
      <c r="W10" s="3" t="n"/>
      <c r="X10" s="3">
        <f>M10-L10</f>
        <v/>
      </c>
      <c r="Y10" s="3">
        <f>X10/O10</f>
        <v/>
      </c>
      <c r="Z10" s="3" t="n"/>
    </row>
    <row r="11" ht="15.6" customHeight="1" s="307">
      <c r="A11" s="116" t="inlineStr">
        <is>
          <t>ENCON 28/30</t>
        </is>
      </c>
      <c r="B11" s="117" t="n">
        <v>30</v>
      </c>
      <c r="C11" s="117" t="n">
        <v>3500</v>
      </c>
      <c r="D11" s="117" t="n">
        <v>5950</v>
      </c>
      <c r="E11" s="118" t="inlineStr">
        <is>
          <t>28” W.G.</t>
        </is>
      </c>
      <c r="F11" s="121" t="n">
        <v>111000</v>
      </c>
      <c r="G11" s="122" t="n">
        <v>230000</v>
      </c>
      <c r="H11" s="113" t="n">
        <v>275</v>
      </c>
      <c r="I11" s="114" t="n"/>
      <c r="J11" s="114" t="n">
        <v>61600</v>
      </c>
      <c r="K11" s="114" t="n">
        <v>79000</v>
      </c>
      <c r="L11" s="114">
        <f>J11*1.8</f>
        <v/>
      </c>
      <c r="M11" s="114">
        <f>K11*1.5+L11</f>
        <v/>
      </c>
      <c r="N11" s="3" t="n"/>
      <c r="O11" s="3" t="n">
        <v>78925</v>
      </c>
      <c r="P11" s="398">
        <f>J11/H11</f>
        <v/>
      </c>
      <c r="Q11" s="3" t="n">
        <v>99000</v>
      </c>
      <c r="R11" s="398">
        <f>Q11/(H11*1.8)</f>
        <v/>
      </c>
      <c r="S11" s="115">
        <f>P11/R11-1</f>
        <v/>
      </c>
      <c r="T11" s="3" t="n"/>
      <c r="U11" s="3" t="n">
        <v>210000</v>
      </c>
      <c r="V11" s="115">
        <f>G11/U11-1</f>
        <v/>
      </c>
      <c r="W11" s="3" t="n"/>
      <c r="X11" s="3">
        <f>M11-L11</f>
        <v/>
      </c>
      <c r="Y11" s="3">
        <f>X11/O11</f>
        <v/>
      </c>
      <c r="Z11" s="3" t="n"/>
    </row>
    <row r="12" ht="15.6" customHeight="1" s="307">
      <c r="A12" s="116" t="inlineStr">
        <is>
          <t>ENCON 28/40</t>
        </is>
      </c>
      <c r="B12" s="117" t="n">
        <v>40</v>
      </c>
      <c r="C12" s="117" t="n">
        <v>4800</v>
      </c>
      <c r="D12" s="117" t="n">
        <v>7900</v>
      </c>
      <c r="E12" s="118" t="inlineStr">
        <is>
          <t>28” W.G.</t>
        </is>
      </c>
      <c r="F12" s="121" t="n">
        <v>131000</v>
      </c>
      <c r="G12" s="122" t="n">
        <v>296000</v>
      </c>
      <c r="H12" s="113" t="n">
        <v>330</v>
      </c>
      <c r="I12" s="114" t="n"/>
      <c r="J12" s="114" t="n">
        <v>72800</v>
      </c>
      <c r="K12" s="114" t="n">
        <v>110000</v>
      </c>
      <c r="L12" s="114">
        <f>J12*1.8</f>
        <v/>
      </c>
      <c r="M12" s="114">
        <f>K12*1.5+L12</f>
        <v/>
      </c>
      <c r="N12" s="3" t="n"/>
      <c r="O12" s="3" t="n">
        <v>109620</v>
      </c>
      <c r="P12" s="398">
        <f>J12/H12</f>
        <v/>
      </c>
      <c r="Q12" s="3" t="n">
        <v>117000</v>
      </c>
      <c r="R12" s="398">
        <f>Q12/(H12*1.8)</f>
        <v/>
      </c>
      <c r="S12" s="115">
        <f>P12/R12-1</f>
        <v/>
      </c>
      <c r="T12" s="3" t="n"/>
      <c r="U12" s="3" t="n">
        <v>274000</v>
      </c>
      <c r="V12" s="115">
        <f>G12/U12-1</f>
        <v/>
      </c>
      <c r="W12" s="3" t="n"/>
      <c r="X12" s="3">
        <f>M12-L12</f>
        <v/>
      </c>
      <c r="Y12" s="3">
        <f>X12/O12</f>
        <v/>
      </c>
      <c r="Z12" s="3" t="n"/>
    </row>
    <row r="13" ht="15.6" customHeight="1" s="307">
      <c r="A13" s="116" t="inlineStr">
        <is>
          <t>ENCON 28/50</t>
        </is>
      </c>
      <c r="B13" s="117" t="n">
        <v>50</v>
      </c>
      <c r="C13" s="117" t="n">
        <v>5950</v>
      </c>
      <c r="D13" s="117" t="n">
        <v>9850</v>
      </c>
      <c r="E13" s="118" t="inlineStr">
        <is>
          <t>28” W.G.</t>
        </is>
      </c>
      <c r="F13" s="121" t="n">
        <v>151500</v>
      </c>
      <c r="G13" s="122" t="n">
        <v>339000</v>
      </c>
      <c r="H13" s="113" t="n">
        <v>370</v>
      </c>
      <c r="I13" s="114" t="n"/>
      <c r="J13" s="114" t="n">
        <v>84000</v>
      </c>
      <c r="K13" s="114" t="n">
        <v>125000</v>
      </c>
      <c r="L13" s="114">
        <f>J13*1.8</f>
        <v/>
      </c>
      <c r="M13" s="114">
        <f>K13*1.5+L13</f>
        <v/>
      </c>
      <c r="N13" s="3" t="n"/>
      <c r="O13" s="3" t="n">
        <v>124215</v>
      </c>
      <c r="P13" s="398">
        <f>J13/H13</f>
        <v/>
      </c>
      <c r="Q13" s="3" t="n">
        <v>135000</v>
      </c>
      <c r="R13" s="398">
        <f>Q13/(H13*1.8)</f>
        <v/>
      </c>
      <c r="S13" s="115">
        <f>P13/R13-1</f>
        <v/>
      </c>
      <c r="T13" s="3" t="n"/>
      <c r="U13" s="3" t="n">
        <v>318000</v>
      </c>
      <c r="V13" s="115">
        <f>G13/U13-1</f>
        <v/>
      </c>
      <c r="W13" s="3" t="n"/>
      <c r="X13" s="3">
        <f>M13-L13</f>
        <v/>
      </c>
      <c r="Y13" s="3">
        <f>X13/O13</f>
        <v/>
      </c>
      <c r="Z13" s="3" t="n"/>
    </row>
    <row r="14" ht="15.6" customHeight="1" s="307">
      <c r="A14" s="123" t="inlineStr">
        <is>
          <t>ENCON 28/60</t>
        </is>
      </c>
      <c r="B14" s="124" t="n">
        <v>60</v>
      </c>
      <c r="C14" s="124" t="n">
        <v>7100</v>
      </c>
      <c r="D14" s="124" t="n">
        <v>11750</v>
      </c>
      <c r="E14" s="125" t="inlineStr">
        <is>
          <t>28” W.G.</t>
        </is>
      </c>
      <c r="F14" s="126" t="n">
        <v>175000</v>
      </c>
      <c r="G14" s="127" t="n">
        <v>417000</v>
      </c>
      <c r="H14" s="113" t="n">
        <v>475</v>
      </c>
      <c r="I14" s="114" t="n"/>
      <c r="J14" s="114" t="n">
        <v>96320</v>
      </c>
      <c r="K14" s="114" t="n">
        <v>162000</v>
      </c>
      <c r="L14" s="114">
        <f>J14*1.8</f>
        <v/>
      </c>
      <c r="M14" s="114">
        <f>K14*1.5+L14</f>
        <v/>
      </c>
      <c r="N14" s="3" t="n"/>
      <c r="O14" s="3" t="n">
        <v>161630</v>
      </c>
      <c r="P14" s="398">
        <f>J14/H14</f>
        <v/>
      </c>
      <c r="Q14" s="3" t="n">
        <v>154800</v>
      </c>
      <c r="R14" s="398">
        <f>Q14/(H14*1.8)</f>
        <v/>
      </c>
      <c r="S14" s="115">
        <f>P14/R14-1</f>
        <v/>
      </c>
      <c r="T14" s="3" t="n"/>
      <c r="U14" s="3" t="n">
        <v>395000</v>
      </c>
      <c r="V14" s="115">
        <f>G14/U14-1</f>
        <v/>
      </c>
      <c r="W14" s="3" t="n"/>
      <c r="X14" s="3">
        <f>M14-L14</f>
        <v/>
      </c>
      <c r="Y14" s="3">
        <f>X14/O14</f>
        <v/>
      </c>
      <c r="Z14" s="3" t="n"/>
    </row>
    <row r="15" ht="17.4" customHeight="1" s="307">
      <c r="A15" s="128" t="inlineStr">
        <is>
          <t xml:space="preserve">     HIGH PRESSURE</t>
        </is>
      </c>
      <c r="B15" s="64" t="n"/>
      <c r="C15" s="64" t="n"/>
      <c r="D15" s="64" t="n"/>
      <c r="E15" s="64" t="n"/>
      <c r="F15" s="64" t="n"/>
      <c r="G15" s="64" t="n"/>
      <c r="H15" s="99" t="inlineStr">
        <is>
          <t>PERKIN Rates</t>
        </is>
      </c>
      <c r="I15" s="100" t="n"/>
      <c r="J15" s="64" t="n"/>
      <c r="K15" s="64" t="n"/>
      <c r="L15" s="3" t="n"/>
      <c r="M15" s="3" t="n"/>
      <c r="N15" s="3" t="n"/>
      <c r="O15" s="3" t="n"/>
      <c r="P15" s="3" t="n"/>
      <c r="Q15" s="3" t="n"/>
      <c r="R15" s="3" t="n"/>
      <c r="S15" s="3" t="n"/>
      <c r="T15" s="3" t="n"/>
      <c r="U15" s="3" t="n"/>
      <c r="V15" s="3" t="n"/>
      <c r="W15" s="3" t="n"/>
      <c r="X15" s="3" t="n"/>
      <c r="Y15" s="3" t="n"/>
      <c r="Z15" s="3" t="n"/>
    </row>
    <row r="16" ht="31.2" customHeight="1" s="307">
      <c r="A16" s="129" t="inlineStr">
        <is>
          <t xml:space="preserve">     MODEL</t>
        </is>
      </c>
      <c r="B16" s="130" t="inlineStr">
        <is>
          <t xml:space="preserve">  H.P.</t>
        </is>
      </c>
      <c r="C16" s="130" t="inlineStr">
        <is>
          <t xml:space="preserve">   CFM</t>
        </is>
      </c>
      <c r="D16" s="130" t="inlineStr">
        <is>
          <t>NM3 /HR</t>
        </is>
      </c>
      <c r="E16" s="130" t="inlineStr">
        <is>
          <t>PRESSURE</t>
        </is>
      </c>
      <c r="F16" s="130" t="inlineStr">
        <is>
          <t xml:space="preserve">    PRICE Without motor </t>
        </is>
      </c>
      <c r="G16" s="131" t="inlineStr">
        <is>
          <t xml:space="preserve">    PRICE  With motor</t>
        </is>
      </c>
      <c r="H16" s="132" t="inlineStr">
        <is>
          <t>Blower weight 
Approx</t>
        </is>
      </c>
      <c r="I16" s="133" t="inlineStr">
        <is>
          <t>Per Kg. Price</t>
        </is>
      </c>
      <c r="J16" s="133" t="inlineStr">
        <is>
          <t>Amount</t>
        </is>
      </c>
      <c r="K16" s="133" t="inlineStr">
        <is>
          <t>Motor Price ABB</t>
        </is>
      </c>
      <c r="L16" s="106" t="inlineStr">
        <is>
          <t xml:space="preserve">    PRICE Without,
 motor </t>
        </is>
      </c>
      <c r="M16" s="105" t="inlineStr">
        <is>
          <t xml:space="preserve">    PRICE  With motor</t>
        </is>
      </c>
      <c r="N16" s="3" t="n"/>
      <c r="O16" s="107" t="inlineStr">
        <is>
          <t>* Raised 12% from Last</t>
        </is>
      </c>
      <c r="P16" s="3" t="n"/>
      <c r="Q16" s="3" t="n"/>
      <c r="R16" s="3" t="n"/>
      <c r="S16" s="3" t="n"/>
      <c r="T16" s="3" t="n"/>
      <c r="U16" s="3" t="n"/>
      <c r="V16" s="3" t="n"/>
      <c r="W16" s="3" t="n"/>
      <c r="X16" s="3" t="n"/>
      <c r="Y16" s="3" t="n"/>
      <c r="Z16" s="3" t="n"/>
    </row>
    <row r="17" ht="15.6" customHeight="1" s="307">
      <c r="A17" s="116" t="inlineStr">
        <is>
          <t>ENCON 40/5</t>
        </is>
      </c>
      <c r="B17" s="117" t="n">
        <v>5</v>
      </c>
      <c r="C17" s="117" t="n">
        <v>400</v>
      </c>
      <c r="D17" s="117" t="n">
        <v>680</v>
      </c>
      <c r="E17" s="117" t="inlineStr">
        <is>
          <t xml:space="preserve"> 40” W.G.</t>
        </is>
      </c>
      <c r="F17" s="119" t="n">
        <v>56500</v>
      </c>
      <c r="G17" s="120" t="n">
        <v>81000</v>
      </c>
      <c r="H17" s="114" t="n">
        <v>160</v>
      </c>
      <c r="I17" s="114" t="n"/>
      <c r="J17" s="114" t="n">
        <v>31360</v>
      </c>
      <c r="K17" s="114" t="n">
        <v>16200</v>
      </c>
      <c r="L17" s="114">
        <f>J17*1.8</f>
        <v/>
      </c>
      <c r="M17" s="114">
        <f>K17*1.5+L17</f>
        <v/>
      </c>
      <c r="N17" s="3" t="n"/>
      <c r="O17" s="3" t="n"/>
      <c r="P17" s="398">
        <f>J17/H17</f>
        <v/>
      </c>
      <c r="Q17" s="3" t="n">
        <v>50400</v>
      </c>
      <c r="R17" s="398">
        <f>Q17/(H17*1.8)</f>
        <v/>
      </c>
      <c r="S17" s="115">
        <f>P17/R17-1</f>
        <v/>
      </c>
      <c r="T17" s="3" t="n"/>
      <c r="U17" s="3" t="n">
        <v>74000</v>
      </c>
      <c r="V17" s="115">
        <f>G17/U17-1</f>
        <v/>
      </c>
      <c r="W17" s="3" t="n"/>
      <c r="X17" s="3" t="n"/>
      <c r="Y17" s="3" t="n"/>
      <c r="Z17" s="3" t="n"/>
    </row>
    <row r="18" ht="15.6" customHeight="1" s="307">
      <c r="A18" s="116" t="inlineStr">
        <is>
          <t>ENCON 40/7.5</t>
        </is>
      </c>
      <c r="B18" s="117" t="n">
        <v>7.5</v>
      </c>
      <c r="C18" s="117" t="n">
        <v>600</v>
      </c>
      <c r="D18" s="117" t="n">
        <v>1020</v>
      </c>
      <c r="E18" s="117" t="inlineStr">
        <is>
          <t xml:space="preserve"> 40” W.G.</t>
        </is>
      </c>
      <c r="F18" s="119" t="n">
        <v>60500</v>
      </c>
      <c r="G18" s="120" t="n">
        <v>99500</v>
      </c>
      <c r="H18" s="114" t="n">
        <v>180</v>
      </c>
      <c r="I18" s="114" t="n"/>
      <c r="J18" s="114" t="n">
        <v>33600</v>
      </c>
      <c r="K18" s="114" t="n">
        <v>25800</v>
      </c>
      <c r="L18" s="114">
        <f>J18*1.8</f>
        <v/>
      </c>
      <c r="M18" s="114">
        <f>K18*1.5+L18</f>
        <v/>
      </c>
      <c r="N18" s="3" t="n"/>
      <c r="O18" s="3" t="n"/>
      <c r="P18" s="398">
        <f>J18/H18</f>
        <v/>
      </c>
      <c r="Q18" s="3" t="n">
        <v>54000</v>
      </c>
      <c r="R18" s="398">
        <f>Q18/(H18*1.8)</f>
        <v/>
      </c>
      <c r="S18" s="115">
        <f>P18/R18-1</f>
        <v/>
      </c>
      <c r="T18" s="3" t="n"/>
      <c r="U18" s="3" t="n">
        <v>91000</v>
      </c>
      <c r="V18" s="115">
        <f>G18/U18-1</f>
        <v/>
      </c>
      <c r="W18" s="3" t="n"/>
      <c r="X18" s="3" t="n"/>
      <c r="Y18" s="3" t="n"/>
      <c r="Z18" s="3" t="n"/>
    </row>
    <row r="19" ht="15.6" customHeight="1" s="307">
      <c r="A19" s="116" t="inlineStr">
        <is>
          <t>ENCON 40/10</t>
        </is>
      </c>
      <c r="B19" s="117" t="n">
        <v>10</v>
      </c>
      <c r="C19" s="117" t="n">
        <v>800</v>
      </c>
      <c r="D19" s="117" t="n">
        <v>1360</v>
      </c>
      <c r="E19" s="117" t="inlineStr">
        <is>
          <t xml:space="preserve"> 40” W.G.</t>
        </is>
      </c>
      <c r="F19" s="119" t="n">
        <v>76000</v>
      </c>
      <c r="G19" s="120" t="n">
        <v>111000</v>
      </c>
      <c r="H19" s="114" t="n">
        <v>190</v>
      </c>
      <c r="I19" s="114" t="n"/>
      <c r="J19" s="114" t="n">
        <v>39200</v>
      </c>
      <c r="K19" s="114" t="n">
        <v>27000</v>
      </c>
      <c r="L19" s="114">
        <f>J19*1.8</f>
        <v/>
      </c>
      <c r="M19" s="114">
        <f>K19*1.5+L19</f>
        <v/>
      </c>
      <c r="N19" s="3" t="n"/>
      <c r="O19" s="3" t="n"/>
      <c r="P19" s="398">
        <f>J19/H19</f>
        <v/>
      </c>
      <c r="Q19" s="3" t="n">
        <v>63000</v>
      </c>
      <c r="R19" s="398">
        <f>Q19/(H19*1.8)</f>
        <v/>
      </c>
      <c r="S19" s="115">
        <f>P19/R19-1</f>
        <v/>
      </c>
      <c r="T19" s="3" t="n"/>
      <c r="U19" s="3" t="n">
        <v>101000</v>
      </c>
      <c r="V19" s="115">
        <f>G19/U19-1</f>
        <v/>
      </c>
      <c r="W19" s="3" t="n"/>
      <c r="X19" s="3" t="n"/>
      <c r="Y19" s="3" t="n"/>
      <c r="Z19" s="3" t="n"/>
    </row>
    <row r="20" ht="15.6" customHeight="1" s="307">
      <c r="A20" s="116" t="inlineStr">
        <is>
          <t>ENCON 40/15</t>
        </is>
      </c>
      <c r="B20" s="117" t="n">
        <v>15</v>
      </c>
      <c r="C20" s="117" t="n">
        <v>1200</v>
      </c>
      <c r="D20" s="117" t="n">
        <v>2040</v>
      </c>
      <c r="E20" s="117" t="inlineStr">
        <is>
          <t xml:space="preserve"> 40” W.G.</t>
        </is>
      </c>
      <c r="F20" s="121" t="n">
        <v>87000</v>
      </c>
      <c r="G20" s="122" t="n">
        <v>158000</v>
      </c>
      <c r="H20" s="114" t="n">
        <v>200</v>
      </c>
      <c r="I20" s="114" t="n"/>
      <c r="J20" s="114" t="n">
        <v>44800</v>
      </c>
      <c r="K20" s="114" t="n">
        <v>51500</v>
      </c>
      <c r="L20" s="114">
        <f>J20*1.8</f>
        <v/>
      </c>
      <c r="M20" s="114">
        <f>K20*1.5+L20</f>
        <v/>
      </c>
      <c r="N20" s="3" t="n"/>
      <c r="O20" s="3" t="n"/>
      <c r="P20" s="398">
        <f>J20/H20</f>
        <v/>
      </c>
      <c r="Q20" s="3" t="n">
        <v>72000</v>
      </c>
      <c r="R20" s="398">
        <f>Q20/(H20*1.8)</f>
        <v/>
      </c>
      <c r="S20" s="115">
        <f>P20/R20-1</f>
        <v/>
      </c>
      <c r="T20" s="3" t="n"/>
      <c r="U20" s="3" t="n">
        <v>145000</v>
      </c>
      <c r="V20" s="115">
        <f>G20/U20-1</f>
        <v/>
      </c>
      <c r="W20" s="3" t="n"/>
      <c r="X20" s="3" t="n"/>
      <c r="Y20" s="3" t="n"/>
      <c r="Z20" s="3" t="n"/>
    </row>
    <row r="21" ht="15.75" customHeight="1" s="307">
      <c r="A21" s="116" t="inlineStr">
        <is>
          <t>ENCON 40/20</t>
        </is>
      </c>
      <c r="B21" s="117" t="n">
        <v>20</v>
      </c>
      <c r="C21" s="117" t="n">
        <v>1600</v>
      </c>
      <c r="D21" s="117" t="n">
        <v>2730</v>
      </c>
      <c r="E21" s="117" t="inlineStr">
        <is>
          <t xml:space="preserve"> 40” W.G.</t>
        </is>
      </c>
      <c r="F21" s="121" t="n">
        <v>91000</v>
      </c>
      <c r="G21" s="122" t="n">
        <v>178000</v>
      </c>
      <c r="H21" s="114" t="n">
        <v>210</v>
      </c>
      <c r="I21" s="114" t="n"/>
      <c r="J21" s="114" t="n">
        <v>50400</v>
      </c>
      <c r="K21" s="114" t="n">
        <v>58000</v>
      </c>
      <c r="L21" s="114">
        <f>J21*1.8</f>
        <v/>
      </c>
      <c r="M21" s="418">
        <f>K21*1.5+L21</f>
        <v/>
      </c>
      <c r="N21" s="3" t="n"/>
      <c r="O21" s="3" t="n"/>
      <c r="P21" s="398">
        <f>J21/H21</f>
        <v/>
      </c>
      <c r="Q21" s="3" t="n">
        <v>81000</v>
      </c>
      <c r="R21" s="398">
        <f>Q21/(H21*1.8)</f>
        <v/>
      </c>
      <c r="S21" s="115">
        <f>P21/R21-1</f>
        <v/>
      </c>
      <c r="T21" s="3" t="n"/>
      <c r="U21" s="3" t="n">
        <v>164000</v>
      </c>
      <c r="V21" s="115">
        <f>G21/U21-1</f>
        <v/>
      </c>
      <c r="W21" s="3" t="n"/>
      <c r="X21" s="3" t="n"/>
      <c r="Y21" s="3" t="n"/>
      <c r="Z21" s="3" t="n"/>
    </row>
    <row r="22" ht="15.75" customHeight="1" s="307">
      <c r="A22" s="116" t="inlineStr">
        <is>
          <t>ENCON 40/25</t>
        </is>
      </c>
      <c r="B22" s="117" t="n">
        <v>25</v>
      </c>
      <c r="C22" s="117" t="n">
        <v>2000</v>
      </c>
      <c r="D22" s="117" t="n">
        <v>3400</v>
      </c>
      <c r="E22" s="117" t="inlineStr">
        <is>
          <t xml:space="preserve"> 40” W.G.</t>
        </is>
      </c>
      <c r="F22" s="121" t="n">
        <v>111000</v>
      </c>
      <c r="G22" s="122" t="n">
        <v>215000</v>
      </c>
      <c r="H22" s="114" t="n">
        <v>220</v>
      </c>
      <c r="I22" s="114" t="n"/>
      <c r="J22" s="114" t="n">
        <v>61600</v>
      </c>
      <c r="K22" s="114" t="n">
        <v>69500</v>
      </c>
      <c r="L22" s="114">
        <f>J22*1.8</f>
        <v/>
      </c>
      <c r="M22" s="114">
        <f>K22*1.5+L22</f>
        <v/>
      </c>
      <c r="N22" s="3" t="n"/>
      <c r="O22" s="3" t="n"/>
      <c r="P22" s="398">
        <f>J22/H22</f>
        <v/>
      </c>
      <c r="Q22" s="3" t="n">
        <v>99000</v>
      </c>
      <c r="R22" s="398">
        <f>Q22/(H22*1.8)</f>
        <v/>
      </c>
      <c r="S22" s="115">
        <f>P22/R22-1</f>
        <v/>
      </c>
      <c r="T22" s="3" t="n"/>
      <c r="U22" s="3" t="n">
        <v>198000</v>
      </c>
      <c r="V22" s="115">
        <f>G22/U22-1</f>
        <v/>
      </c>
      <c r="W22" s="3" t="n"/>
      <c r="X22" s="3" t="n"/>
      <c r="Y22" s="3" t="n"/>
      <c r="Z22" s="3" t="n"/>
    </row>
    <row r="23" ht="15.75" customHeight="1" s="307">
      <c r="A23" s="116" t="inlineStr">
        <is>
          <t>ENCON 40/30</t>
        </is>
      </c>
      <c r="B23" s="117" t="n">
        <v>30</v>
      </c>
      <c r="C23" s="117" t="n">
        <v>2400</v>
      </c>
      <c r="D23" s="117" t="n">
        <v>4000</v>
      </c>
      <c r="E23" s="117" t="inlineStr">
        <is>
          <t xml:space="preserve"> 40” W.G.</t>
        </is>
      </c>
      <c r="F23" s="121" t="n">
        <v>131000</v>
      </c>
      <c r="G23" s="122" t="n">
        <v>250000</v>
      </c>
      <c r="H23" s="114" t="n">
        <v>275</v>
      </c>
      <c r="I23" s="114" t="n"/>
      <c r="J23" s="114" t="n">
        <v>72800</v>
      </c>
      <c r="K23" s="114" t="n">
        <v>79000</v>
      </c>
      <c r="L23" s="114">
        <f>J23*1.8</f>
        <v/>
      </c>
      <c r="M23" s="114">
        <f>K23*1.5+L23</f>
        <v/>
      </c>
      <c r="N23" s="3" t="n"/>
      <c r="O23" s="3" t="n"/>
      <c r="P23" s="398">
        <f>J23/H23</f>
        <v/>
      </c>
      <c r="Q23" s="3" t="n">
        <v>117000</v>
      </c>
      <c r="R23" s="398">
        <f>Q23/(H23*1.8)</f>
        <v/>
      </c>
      <c r="S23" s="115">
        <f>P23/R23-1</f>
        <v/>
      </c>
      <c r="T23" s="3" t="n"/>
      <c r="U23" s="3" t="n">
        <v>228000</v>
      </c>
      <c r="V23" s="115">
        <f>G23/U23-1</f>
        <v/>
      </c>
      <c r="W23" s="3" t="n"/>
      <c r="X23" s="3" t="n"/>
      <c r="Y23" s="3" t="n"/>
      <c r="Z23" s="3" t="n"/>
    </row>
    <row r="24" ht="15.75" customHeight="1" s="307">
      <c r="A24" s="116" t="inlineStr">
        <is>
          <t>ENCON 40/40</t>
        </is>
      </c>
      <c r="B24" s="117" t="n">
        <v>40</v>
      </c>
      <c r="C24" s="117" t="n">
        <v>3200</v>
      </c>
      <c r="D24" s="117" t="n">
        <v>5200</v>
      </c>
      <c r="E24" s="117" t="inlineStr">
        <is>
          <t xml:space="preserve"> 40” W.G.</t>
        </is>
      </c>
      <c r="F24" s="121" t="n">
        <v>151500</v>
      </c>
      <c r="G24" s="122" t="n">
        <v>316500</v>
      </c>
      <c r="H24" s="114" t="n">
        <v>330</v>
      </c>
      <c r="I24" s="114" t="n"/>
      <c r="J24" s="114" t="n">
        <v>84000</v>
      </c>
      <c r="K24" s="114" t="n">
        <v>110000</v>
      </c>
      <c r="L24" s="114">
        <f>J24*1.8</f>
        <v/>
      </c>
      <c r="M24" s="114">
        <f>K24*1.5+L24</f>
        <v/>
      </c>
      <c r="N24" s="3" t="n"/>
      <c r="O24" s="3" t="n"/>
      <c r="P24" s="398">
        <f>J24/H24</f>
        <v/>
      </c>
      <c r="Q24" s="3" t="n">
        <v>135000</v>
      </c>
      <c r="R24" s="398">
        <f>Q24/(H24*1.8)</f>
        <v/>
      </c>
      <c r="S24" s="115">
        <f>P24/R24-1</f>
        <v/>
      </c>
      <c r="T24" s="3" t="n"/>
      <c r="U24" s="3" t="n">
        <v>292000</v>
      </c>
      <c r="V24" s="115">
        <f>G24/U24-1</f>
        <v/>
      </c>
      <c r="W24" s="3" t="n"/>
      <c r="X24" s="3" t="n"/>
      <c r="Y24" s="3" t="n"/>
      <c r="Z24" s="3" t="n"/>
    </row>
    <row r="25" ht="15.75" customHeight="1" s="307">
      <c r="A25" s="116" t="inlineStr">
        <is>
          <t>ENCON 40/50</t>
        </is>
      </c>
      <c r="B25" s="117" t="n">
        <v>50</v>
      </c>
      <c r="C25" s="117" t="n">
        <v>4000</v>
      </c>
      <c r="D25" s="117" t="n">
        <v>6500</v>
      </c>
      <c r="E25" s="117" t="inlineStr">
        <is>
          <t xml:space="preserve"> 40” W.G.</t>
        </is>
      </c>
      <c r="F25" s="135" t="n">
        <v>175000</v>
      </c>
      <c r="G25" s="122" t="n">
        <v>361000</v>
      </c>
      <c r="H25" s="114" t="n">
        <v>370</v>
      </c>
      <c r="I25" s="114" t="n"/>
      <c r="J25" s="114" t="n">
        <v>96320</v>
      </c>
      <c r="K25" s="114" t="n">
        <v>125000</v>
      </c>
      <c r="L25" s="114">
        <f>J25*1.8</f>
        <v/>
      </c>
      <c r="M25" s="114">
        <f>K25*1.5+L25</f>
        <v/>
      </c>
      <c r="N25" s="3" t="n"/>
      <c r="O25" s="3" t="n"/>
      <c r="P25" s="398">
        <f>J25/H25</f>
        <v/>
      </c>
      <c r="Q25" s="3" t="n">
        <v>155000</v>
      </c>
      <c r="R25" s="398">
        <f>Q25/(H25*1.8)</f>
        <v/>
      </c>
      <c r="S25" s="115">
        <f>P25/R25-1</f>
        <v/>
      </c>
      <c r="T25" s="3" t="n"/>
      <c r="U25" s="3" t="n">
        <v>334000</v>
      </c>
      <c r="V25" s="115">
        <f>G25/U25-1</f>
        <v/>
      </c>
      <c r="W25" s="3" t="n"/>
      <c r="X25" s="3" t="n"/>
      <c r="Y25" s="3" t="n"/>
      <c r="Z25" s="3" t="n"/>
    </row>
    <row r="26" ht="15.75" customHeight="1" s="307">
      <c r="A26" s="123" t="inlineStr">
        <is>
          <t>ENCON 40/60</t>
        </is>
      </c>
      <c r="B26" s="124" t="n">
        <v>60</v>
      </c>
      <c r="C26" s="124" t="n">
        <v>4800</v>
      </c>
      <c r="D26" s="124" t="n">
        <v>7800</v>
      </c>
      <c r="E26" s="124" t="inlineStr">
        <is>
          <t xml:space="preserve"> 40” W.G.</t>
        </is>
      </c>
      <c r="F26" s="126" t="n">
        <v>198000</v>
      </c>
      <c r="G26" s="127" t="n">
        <v>441000</v>
      </c>
      <c r="H26" s="114" t="n">
        <v>475</v>
      </c>
      <c r="I26" s="114" t="n"/>
      <c r="J26" s="114" t="n">
        <v>109760</v>
      </c>
      <c r="K26" s="114" t="n">
        <v>162000</v>
      </c>
      <c r="L26" s="114">
        <f>J26*1.8</f>
        <v/>
      </c>
      <c r="M26" s="114">
        <f>K26*1.5+L26</f>
        <v/>
      </c>
      <c r="N26" s="3" t="n"/>
      <c r="O26" s="3" t="n"/>
      <c r="P26" s="398">
        <f>J26/H26</f>
        <v/>
      </c>
      <c r="Q26" s="3" t="n">
        <v>177000</v>
      </c>
      <c r="R26" s="398">
        <f>Q26/(H26*1.8)</f>
        <v/>
      </c>
      <c r="S26" s="115">
        <f>P26/R26-1</f>
        <v/>
      </c>
      <c r="T26" s="3" t="n"/>
      <c r="U26" s="3" t="n">
        <v>417000</v>
      </c>
      <c r="V26" s="115">
        <f>G26/U26-1</f>
        <v/>
      </c>
      <c r="W26" s="3" t="n"/>
      <c r="X26" s="3" t="n"/>
      <c r="Y26" s="3" t="n"/>
      <c r="Z26" s="3" t="n"/>
    </row>
    <row r="27" ht="15.75" customHeight="1" s="307">
      <c r="A27" s="136" t="inlineStr">
        <is>
          <t>Note:</t>
        </is>
      </c>
      <c r="B27" s="64" t="n"/>
      <c r="C27" s="64" t="n"/>
      <c r="D27" s="64" t="n"/>
      <c r="E27" s="64" t="n"/>
      <c r="F27" s="64" t="n"/>
      <c r="G27" s="64" t="n"/>
      <c r="H27" s="419" t="n"/>
      <c r="J27" s="64" t="n"/>
      <c r="K27" s="3" t="n"/>
      <c r="L27" s="64" t="n"/>
      <c r="M27" s="64" t="n"/>
      <c r="N27" s="64" t="n"/>
      <c r="O27" s="64" t="n"/>
      <c r="P27" s="64" t="n"/>
      <c r="Q27" s="3" t="n"/>
      <c r="R27" s="398" t="n"/>
      <c r="S27" s="115" t="n"/>
      <c r="T27" s="3" t="n"/>
      <c r="U27" s="3" t="n"/>
      <c r="V27" s="3" t="n"/>
      <c r="W27" s="3" t="n"/>
      <c r="X27" s="3" t="n"/>
      <c r="Y27" s="3" t="n"/>
      <c r="Z27" s="3" t="n"/>
    </row>
    <row r="28" ht="15.75" customHeight="1" s="307">
      <c r="A28" s="420" t="inlineStr">
        <is>
          <t xml:space="preserve">(1) The ex works price indicated for fuel combustors are inclusive of the electric motor of reputed make, such as, NGEF, ABB, Crompton etc. on which the impeller would be directly mounted. </t>
        </is>
      </c>
      <c r="L28" s="64" t="n"/>
      <c r="M28" s="64" t="n"/>
      <c r="N28" s="64" t="n"/>
      <c r="O28" s="64" t="n"/>
      <c r="P28" s="64" t="n"/>
      <c r="Q28" s="3" t="n"/>
      <c r="R28" s="3" t="n"/>
      <c r="S28" s="3" t="n"/>
      <c r="T28" s="3" t="n"/>
      <c r="U28" s="3" t="n"/>
      <c r="V28" s="3" t="n"/>
      <c r="W28" s="3" t="n"/>
      <c r="X28" s="3" t="n"/>
      <c r="Y28" s="3" t="n"/>
      <c r="Z28" s="3" t="n"/>
    </row>
    <row r="29" ht="15.75" customHeight="1" s="307">
      <c r="A29" s="421" t="inlineStr">
        <is>
          <t>(2) Quoted prices for 40 HP and above Blowers are for V Belt/coupled mounting.</t>
        </is>
      </c>
      <c r="H29" s="64" t="n"/>
      <c r="I29" s="64" t="n"/>
      <c r="J29" s="64" t="n"/>
      <c r="K29" s="64" t="n"/>
      <c r="L29" s="64" t="n"/>
      <c r="M29" s="64" t="n"/>
      <c r="N29" s="64" t="n"/>
      <c r="O29" s="64" t="n"/>
      <c r="P29" s="64" t="n"/>
      <c r="Q29" s="3" t="n"/>
      <c r="R29" s="3" t="n"/>
      <c r="S29" s="3" t="n"/>
      <c r="T29" s="3" t="n"/>
      <c r="U29" s="3" t="n"/>
      <c r="V29" s="3" t="n"/>
      <c r="W29" s="3" t="n"/>
      <c r="X29" s="3" t="n"/>
      <c r="Y29" s="3" t="n"/>
      <c r="Z29" s="3" t="n"/>
    </row>
    <row r="30" ht="15.75" customHeight="1" s="307">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07">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07">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07">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07">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07">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07">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07">
      <c r="A37" s="51" t="inlineStr">
        <is>
          <t>Blower DM 40</t>
        </is>
      </c>
      <c r="B37" s="52" t="n"/>
      <c r="C37" s="52" t="n"/>
      <c r="D37" s="52" t="n"/>
      <c r="E37" s="52" t="n"/>
      <c r="F37" s="52" t="n"/>
      <c r="G37" s="52" t="n"/>
      <c r="H37" s="52" t="n"/>
      <c r="I37" s="52" t="n"/>
      <c r="J37" s="52" t="n"/>
      <c r="K37" s="53" t="n"/>
      <c r="L37" s="2" t="inlineStr">
        <is>
          <t>Blower DM 28</t>
        </is>
      </c>
      <c r="M37" s="3" t="n"/>
      <c r="N37" s="3" t="n"/>
      <c r="O37" s="3" t="n"/>
      <c r="P37" s="3" t="n"/>
      <c r="Q37" s="3" t="n"/>
      <c r="R37" s="3" t="n"/>
      <c r="S37" s="3" t="n"/>
      <c r="T37" s="3" t="n"/>
      <c r="U37" s="3" t="n"/>
      <c r="V37" s="3" t="n"/>
      <c r="W37" s="3" t="n"/>
      <c r="X37" s="3" t="n"/>
      <c r="Y37" s="3" t="n"/>
      <c r="Z37" s="3" t="n"/>
    </row>
    <row r="38" ht="15.75" customHeight="1" s="307">
      <c r="A38" s="138" t="inlineStr">
        <is>
          <t>Model</t>
        </is>
      </c>
      <c r="B38" s="26" t="inlineStr">
        <is>
          <t>M.S Angle 65,50 KG</t>
        </is>
      </c>
      <c r="C38" s="26" t="inlineStr">
        <is>
          <t>M.S Sheet  8mm Kg</t>
        </is>
      </c>
      <c r="D38" s="26" t="inlineStr">
        <is>
          <t>M.S Sheet 4mm KG</t>
        </is>
      </c>
      <c r="E38" s="26" t="inlineStr">
        <is>
          <t>M.S Sheet 2mm KG</t>
        </is>
      </c>
      <c r="F38" s="26" t="inlineStr">
        <is>
          <t>MS Flat KG</t>
        </is>
      </c>
      <c r="G38" s="26" t="inlineStr">
        <is>
          <t>CI Hub Nos</t>
        </is>
      </c>
      <c r="H38" s="26" t="inlineStr">
        <is>
          <t>Hardware KG</t>
        </is>
      </c>
      <c r="I38" s="26" t="inlineStr">
        <is>
          <t>Total Cost</t>
        </is>
      </c>
      <c r="J38" s="3" t="n"/>
      <c r="K38" s="67" t="n"/>
      <c r="L38" s="139" t="inlineStr">
        <is>
          <t>Model</t>
        </is>
      </c>
      <c r="M38" s="26" t="inlineStr">
        <is>
          <t>M.S Angle 65,50 Kg</t>
        </is>
      </c>
      <c r="N38" s="26" t="inlineStr">
        <is>
          <t>M.S Sheet 5mm Kg</t>
        </is>
      </c>
      <c r="O38" s="26" t="inlineStr">
        <is>
          <t>M.S Sheet 4mm Kg</t>
        </is>
      </c>
      <c r="P38" s="26" t="inlineStr">
        <is>
          <t>M.S Sheet  2mm Kg</t>
        </is>
      </c>
      <c r="Q38" s="26" t="inlineStr">
        <is>
          <t>MS Flat Kg</t>
        </is>
      </c>
      <c r="R38" s="422" t="inlineStr">
        <is>
          <t>CI Hub Nos</t>
        </is>
      </c>
      <c r="S38" s="26" t="inlineStr">
        <is>
          <t>Hardware Kg</t>
        </is>
      </c>
      <c r="T38" s="26" t="inlineStr">
        <is>
          <t>Total Cost</t>
        </is>
      </c>
      <c r="U38" s="3" t="n"/>
      <c r="V38" s="3" t="n"/>
      <c r="W38" s="3" t="n"/>
      <c r="X38" s="3" t="n"/>
      <c r="Y38" s="3" t="n"/>
      <c r="Z38" s="3" t="n"/>
    </row>
    <row r="39" ht="15.75" customHeight="1" s="307">
      <c r="A39" s="141" t="inlineStr">
        <is>
          <t>5/40</t>
        </is>
      </c>
      <c r="B39" s="26" t="n">
        <v>14</v>
      </c>
      <c r="C39" s="26" t="n">
        <v>34</v>
      </c>
      <c r="D39" s="26" t="n">
        <v>50</v>
      </c>
      <c r="E39" s="26" t="n">
        <v>15</v>
      </c>
      <c r="F39" s="26" t="n">
        <v>6</v>
      </c>
      <c r="G39" s="26" t="n">
        <v>1</v>
      </c>
      <c r="H39" s="26" t="n">
        <v>3</v>
      </c>
      <c r="I39" s="406">
        <f>K49</f>
        <v/>
      </c>
      <c r="J39" s="3" t="n"/>
      <c r="K39" s="67" t="n"/>
      <c r="L39" s="142" t="inlineStr">
        <is>
          <t>5/28</t>
        </is>
      </c>
      <c r="M39" s="26" t="n">
        <v>12</v>
      </c>
      <c r="N39" s="26" t="n">
        <v>32</v>
      </c>
      <c r="O39" s="26" t="n">
        <v>51</v>
      </c>
      <c r="P39" s="26" t="n">
        <v>11</v>
      </c>
      <c r="Q39" s="26" t="n">
        <v>3</v>
      </c>
      <c r="R39" s="26" t="n">
        <v>1</v>
      </c>
      <c r="S39" s="26" t="n">
        <v>3</v>
      </c>
      <c r="T39" s="406">
        <f>V49</f>
        <v/>
      </c>
      <c r="U39" s="3" t="n"/>
      <c r="V39" s="3" t="n"/>
      <c r="W39" s="3" t="n"/>
      <c r="X39" s="3" t="n"/>
      <c r="Y39" s="3" t="n"/>
      <c r="Z39" s="3" t="n"/>
    </row>
    <row r="40" ht="15.75" customHeight="1" s="307">
      <c r="A40" s="141" t="inlineStr">
        <is>
          <t>7.5/40</t>
        </is>
      </c>
      <c r="B40" s="26" t="n">
        <v>14</v>
      </c>
      <c r="C40" s="26" t="n">
        <v>39</v>
      </c>
      <c r="D40" s="26" t="n">
        <v>61</v>
      </c>
      <c r="E40" s="26" t="n">
        <v>15</v>
      </c>
      <c r="F40" s="26" t="n">
        <v>8</v>
      </c>
      <c r="G40" s="26" t="n">
        <v>1</v>
      </c>
      <c r="H40" s="26" t="n">
        <v>3</v>
      </c>
      <c r="I40" s="406">
        <f>K50</f>
        <v/>
      </c>
      <c r="J40" s="3" t="n"/>
      <c r="K40" s="67" t="n"/>
      <c r="L40" s="142" t="inlineStr">
        <is>
          <t>7.5/28</t>
        </is>
      </c>
      <c r="M40" s="26" t="n">
        <v>13</v>
      </c>
      <c r="N40" s="26" t="n">
        <v>34</v>
      </c>
      <c r="O40" s="26" t="n">
        <v>48</v>
      </c>
      <c r="P40" s="26" t="n">
        <v>13</v>
      </c>
      <c r="Q40" s="26" t="n">
        <v>3</v>
      </c>
      <c r="R40" s="26" t="n">
        <v>1</v>
      </c>
      <c r="S40" s="26" t="n">
        <v>3</v>
      </c>
      <c r="T40" s="406">
        <f>V50</f>
        <v/>
      </c>
      <c r="U40" s="3" t="n"/>
      <c r="V40" s="3" t="n"/>
      <c r="W40" s="3" t="n"/>
      <c r="X40" s="3" t="n"/>
      <c r="Y40" s="3" t="n"/>
      <c r="Z40" s="3" t="n"/>
    </row>
    <row r="41" ht="15.75" customHeight="1" s="307">
      <c r="A41" s="141" t="inlineStr">
        <is>
          <t>10/40</t>
        </is>
      </c>
      <c r="B41" s="26" t="n">
        <v>14</v>
      </c>
      <c r="C41" s="26" t="n">
        <v>40</v>
      </c>
      <c r="D41" s="26" t="n">
        <v>62</v>
      </c>
      <c r="E41" s="26" t="n">
        <v>15</v>
      </c>
      <c r="F41" s="26" t="n">
        <v>8</v>
      </c>
      <c r="G41" s="26" t="n">
        <v>1</v>
      </c>
      <c r="H41" s="26" t="n">
        <v>3</v>
      </c>
      <c r="I41" s="406">
        <f>K51</f>
        <v/>
      </c>
      <c r="J41" s="3" t="n"/>
      <c r="K41" s="67" t="n"/>
      <c r="L41" s="142" t="inlineStr">
        <is>
          <t>10/28</t>
        </is>
      </c>
      <c r="M41" s="26" t="n">
        <v>13</v>
      </c>
      <c r="N41" s="26" t="n">
        <v>39</v>
      </c>
      <c r="O41" s="26" t="n">
        <v>50</v>
      </c>
      <c r="P41" s="26" t="n">
        <v>15</v>
      </c>
      <c r="Q41" s="26" t="n">
        <v>3</v>
      </c>
      <c r="R41" s="26" t="n">
        <v>1</v>
      </c>
      <c r="S41" s="26" t="n">
        <v>3</v>
      </c>
      <c r="T41" s="406">
        <f>V51</f>
        <v/>
      </c>
      <c r="U41" s="3" t="n"/>
      <c r="V41" s="3" t="n"/>
      <c r="W41" s="3" t="n"/>
      <c r="X41" s="3" t="n"/>
      <c r="Y41" s="3" t="n"/>
      <c r="Z41" s="3" t="n"/>
    </row>
    <row r="42" ht="15.75" customHeight="1" s="307">
      <c r="A42" s="141" t="inlineStr">
        <is>
          <t>15/40</t>
        </is>
      </c>
      <c r="B42" s="26" t="n">
        <v>25</v>
      </c>
      <c r="C42" s="26" t="n">
        <v>43</v>
      </c>
      <c r="D42" s="26" t="n">
        <v>62</v>
      </c>
      <c r="E42" s="26" t="n">
        <v>19</v>
      </c>
      <c r="F42" s="26" t="n">
        <v>8</v>
      </c>
      <c r="G42" s="26" t="n">
        <v>1</v>
      </c>
      <c r="H42" s="26" t="n">
        <v>3</v>
      </c>
      <c r="I42" s="406">
        <f>K52</f>
        <v/>
      </c>
      <c r="J42" s="3" t="n"/>
      <c r="K42" s="67" t="n"/>
      <c r="L42" s="142" t="inlineStr">
        <is>
          <t>15/28</t>
        </is>
      </c>
      <c r="M42" s="26" t="n">
        <v>24</v>
      </c>
      <c r="N42" s="26" t="n">
        <v>47</v>
      </c>
      <c r="O42" s="26" t="n">
        <v>61</v>
      </c>
      <c r="P42" s="26" t="n">
        <v>15</v>
      </c>
      <c r="Q42" s="26" t="n">
        <v>4</v>
      </c>
      <c r="R42" s="26" t="n">
        <v>1</v>
      </c>
      <c r="S42" s="26" t="n">
        <v>3</v>
      </c>
      <c r="T42" s="406">
        <f>V52</f>
        <v/>
      </c>
      <c r="U42" s="3" t="n"/>
      <c r="V42" s="3" t="n"/>
      <c r="W42" s="3" t="n"/>
      <c r="X42" s="3" t="n"/>
      <c r="Y42" s="3" t="n"/>
      <c r="Z42" s="3" t="n"/>
    </row>
    <row r="43" ht="15.75" customHeight="1" s="307">
      <c r="A43" s="141" t="inlineStr">
        <is>
          <t>20/40</t>
        </is>
      </c>
      <c r="B43" s="26" t="n">
        <v>30</v>
      </c>
      <c r="C43" s="26" t="n">
        <v>46</v>
      </c>
      <c r="D43" s="26" t="n">
        <v>63</v>
      </c>
      <c r="E43" s="26" t="n">
        <v>20</v>
      </c>
      <c r="F43" s="26" t="n">
        <v>9</v>
      </c>
      <c r="G43" s="26" t="n">
        <v>1</v>
      </c>
      <c r="H43" s="26" t="n">
        <v>3</v>
      </c>
      <c r="I43" s="406">
        <f>K53</f>
        <v/>
      </c>
      <c r="J43" s="3" t="n"/>
      <c r="K43" s="67" t="n"/>
      <c r="L43" s="142" t="inlineStr">
        <is>
          <t>20/28</t>
        </is>
      </c>
      <c r="M43" s="26" t="n">
        <v>25</v>
      </c>
      <c r="N43" s="26" t="n">
        <v>49</v>
      </c>
      <c r="O43" s="26" t="n">
        <v>62</v>
      </c>
      <c r="P43" s="26" t="n">
        <v>15</v>
      </c>
      <c r="Q43" s="26" t="n">
        <v>4</v>
      </c>
      <c r="R43" s="26" t="n">
        <v>1</v>
      </c>
      <c r="S43" s="26" t="n">
        <v>3</v>
      </c>
      <c r="T43" s="406">
        <f>V53</f>
        <v/>
      </c>
      <c r="U43" s="3" t="n"/>
      <c r="V43" s="3" t="n"/>
      <c r="W43" s="3" t="n"/>
      <c r="X43" s="3" t="n"/>
      <c r="Y43" s="3" t="n"/>
      <c r="Z43" s="3" t="n"/>
    </row>
    <row r="44" ht="15.75" customHeight="1" s="307">
      <c r="A44" s="141" t="inlineStr">
        <is>
          <t>25/40</t>
        </is>
      </c>
      <c r="B44" s="26" t="n">
        <v>30</v>
      </c>
      <c r="C44" s="26" t="n">
        <v>46</v>
      </c>
      <c r="D44" s="26" t="n">
        <v>63</v>
      </c>
      <c r="E44" s="26" t="n">
        <v>20</v>
      </c>
      <c r="F44" s="26" t="n">
        <v>9</v>
      </c>
      <c r="G44" s="26" t="n">
        <v>1</v>
      </c>
      <c r="H44" s="26" t="n">
        <v>3</v>
      </c>
      <c r="I44" s="406">
        <f>K54</f>
        <v/>
      </c>
      <c r="J44" s="3" t="n"/>
      <c r="K44" s="67" t="n"/>
      <c r="L44" s="142" t="inlineStr">
        <is>
          <t>25/28</t>
        </is>
      </c>
      <c r="M44" s="26" t="n">
        <v>25</v>
      </c>
      <c r="N44" s="26" t="n">
        <v>50</v>
      </c>
      <c r="O44" s="26" t="n">
        <v>65</v>
      </c>
      <c r="P44" s="26" t="n">
        <v>17</v>
      </c>
      <c r="Q44" s="26" t="n">
        <v>4</v>
      </c>
      <c r="R44" s="26" t="n">
        <v>1</v>
      </c>
      <c r="S44" s="26" t="n">
        <v>3</v>
      </c>
      <c r="T44" s="406">
        <f>V54</f>
        <v/>
      </c>
      <c r="U44" s="3" t="n"/>
      <c r="V44" s="3" t="n"/>
      <c r="W44" s="3" t="n"/>
      <c r="X44" s="3" t="n"/>
      <c r="Y44" s="3" t="n"/>
      <c r="Z44" s="3" t="n"/>
    </row>
    <row r="45" ht="15.75" customHeight="1" s="307">
      <c r="A45" s="141" t="inlineStr">
        <is>
          <t>30/40</t>
        </is>
      </c>
      <c r="B45" s="26" t="n">
        <v>30</v>
      </c>
      <c r="C45" s="26" t="n">
        <v>48</v>
      </c>
      <c r="D45" s="26" t="n">
        <v>65</v>
      </c>
      <c r="E45" s="26" t="n">
        <v>21</v>
      </c>
      <c r="F45" s="26" t="n">
        <v>8</v>
      </c>
      <c r="G45" s="26" t="n">
        <v>1</v>
      </c>
      <c r="H45" s="26" t="n">
        <v>3</v>
      </c>
      <c r="I45" s="406">
        <f>K55</f>
        <v/>
      </c>
      <c r="J45" s="3" t="n"/>
      <c r="K45" s="67" t="n"/>
      <c r="L45" s="142" t="inlineStr">
        <is>
          <t>30/28</t>
        </is>
      </c>
      <c r="M45" s="26" t="n">
        <v>25</v>
      </c>
      <c r="N45" s="26" t="n">
        <v>50</v>
      </c>
      <c r="O45" s="26" t="n">
        <v>66</v>
      </c>
      <c r="P45" s="26" t="n">
        <v>17</v>
      </c>
      <c r="Q45" s="26" t="n">
        <v>4</v>
      </c>
      <c r="R45" s="26" t="n">
        <v>1</v>
      </c>
      <c r="S45" s="26" t="n">
        <v>3</v>
      </c>
      <c r="T45" s="406">
        <f>V55</f>
        <v/>
      </c>
      <c r="U45" s="3" t="n"/>
      <c r="V45" s="3" t="n"/>
      <c r="W45" s="3" t="n"/>
      <c r="X45" s="3" t="n"/>
      <c r="Y45" s="3" t="n"/>
      <c r="Z45" s="3" t="n"/>
    </row>
    <row r="46" ht="15.75" customHeight="1" s="307">
      <c r="A46" s="143" t="n"/>
      <c r="B46" s="3" t="n"/>
      <c r="C46" s="3" t="n"/>
      <c r="D46" s="3" t="n"/>
      <c r="E46" s="3" t="n"/>
      <c r="F46" s="3" t="n"/>
      <c r="G46" s="3" t="n"/>
      <c r="H46" s="3" t="n"/>
      <c r="I46" s="3" t="n"/>
      <c r="J46" s="3" t="n"/>
      <c r="K46" s="67" t="n"/>
      <c r="L46" s="144" t="n"/>
      <c r="M46" s="3" t="n"/>
      <c r="N46" s="3" t="n"/>
      <c r="O46" s="3" t="n"/>
      <c r="P46" s="3" t="n"/>
      <c r="Q46" s="3" t="n"/>
      <c r="R46" s="423" t="n"/>
      <c r="S46" s="3" t="n"/>
      <c r="T46" s="3" t="n"/>
      <c r="U46" s="3" t="n"/>
      <c r="V46" s="3" t="n"/>
      <c r="W46" s="3" t="n"/>
      <c r="X46" s="3" t="n"/>
      <c r="Y46" s="3" t="n"/>
      <c r="Z46" s="3" t="n"/>
    </row>
    <row r="47" ht="15.75" customHeight="1" s="307">
      <c r="A47" s="143" t="n"/>
      <c r="B47" s="3" t="n"/>
      <c r="C47" s="3" t="n"/>
      <c r="D47" s="3" t="n"/>
      <c r="E47" s="3" t="n"/>
      <c r="F47" s="3" t="n"/>
      <c r="G47" s="3" t="n"/>
      <c r="H47" s="3" t="n"/>
      <c r="I47" s="3" t="n"/>
      <c r="J47" s="3" t="n"/>
      <c r="K47" s="67" t="n"/>
      <c r="L47" s="144" t="n"/>
      <c r="M47" s="3" t="n"/>
      <c r="N47" s="3" t="n"/>
      <c r="O47" s="3" t="n"/>
      <c r="P47" s="3" t="n"/>
      <c r="Q47" s="3" t="n"/>
      <c r="R47" s="423" t="n"/>
      <c r="S47" s="3" t="n"/>
      <c r="T47" s="3" t="n"/>
      <c r="U47" s="3" t="n"/>
      <c r="V47" s="3" t="n"/>
      <c r="W47" s="3" t="n"/>
      <c r="X47" s="3" t="n"/>
      <c r="Y47" s="3" t="n"/>
      <c r="Z47" s="3" t="n"/>
    </row>
    <row r="48" ht="15.75" customHeight="1" s="307">
      <c r="A48" s="138" t="inlineStr">
        <is>
          <t>Model</t>
        </is>
      </c>
      <c r="B48" s="26" t="inlineStr">
        <is>
          <t>M.S Angle 65,50 KG</t>
        </is>
      </c>
      <c r="C48" s="26" t="inlineStr">
        <is>
          <t>M.S Sheet 5mm* 8mm Kg</t>
        </is>
      </c>
      <c r="D48" s="26" t="inlineStr">
        <is>
          <t>M.S Sheet 4mm* 3mm KG</t>
        </is>
      </c>
      <c r="E48" s="26" t="inlineStr">
        <is>
          <t>M.S Sheet 2mm KG</t>
        </is>
      </c>
      <c r="F48" s="26" t="inlineStr">
        <is>
          <t>MS Flat KG</t>
        </is>
      </c>
      <c r="G48" s="26" t="inlineStr">
        <is>
          <t>CI Hub Nos</t>
        </is>
      </c>
      <c r="H48" s="26" t="inlineStr">
        <is>
          <t>Hardware KG</t>
        </is>
      </c>
      <c r="I48" s="76" t="n"/>
      <c r="J48" s="76" t="n">
        <v>0.3</v>
      </c>
      <c r="K48" s="77" t="n">
        <v>0.8</v>
      </c>
      <c r="L48" s="139" t="inlineStr">
        <is>
          <t>Model</t>
        </is>
      </c>
      <c r="M48" s="26" t="inlineStr">
        <is>
          <t>M.S Angle 65,50 Kg</t>
        </is>
      </c>
      <c r="N48" s="26" t="inlineStr">
        <is>
          <t>M.S Sheet 5mm* 8mm Kg</t>
        </is>
      </c>
      <c r="O48" s="26" t="inlineStr">
        <is>
          <t>M.S Sheet 4mm* 3mm Kg</t>
        </is>
      </c>
      <c r="P48" s="26" t="inlineStr">
        <is>
          <t>M.S Sheet 2.5mm* 2mm Kg</t>
        </is>
      </c>
      <c r="Q48" s="26" t="inlineStr">
        <is>
          <t>MS Flat Kg</t>
        </is>
      </c>
      <c r="R48" s="422" t="inlineStr">
        <is>
          <t>CI Hub Nos</t>
        </is>
      </c>
      <c r="S48" s="26" t="inlineStr">
        <is>
          <t>Hardware Kg</t>
        </is>
      </c>
      <c r="T48" s="26" t="n"/>
      <c r="U48" s="76" t="n">
        <v>0.3</v>
      </c>
      <c r="V48" s="76" t="n">
        <v>0.8</v>
      </c>
      <c r="W48" s="3" t="n"/>
      <c r="X48" s="3" t="n"/>
      <c r="Y48" s="3" t="n"/>
      <c r="Z48" s="3" t="n"/>
    </row>
    <row r="49" ht="15.75" customHeight="1" s="307">
      <c r="A49" s="141" t="inlineStr">
        <is>
          <t>5/40</t>
        </is>
      </c>
      <c r="B49" s="26">
        <f>B39*Rates!$C$9</f>
        <v/>
      </c>
      <c r="C49" s="26">
        <f>C39*Rates!$C$21</f>
        <v/>
      </c>
      <c r="D49" s="26">
        <f>D39*Rates!$C$19</f>
        <v/>
      </c>
      <c r="E49" s="26">
        <f>E39*Rates!$C$17</f>
        <v/>
      </c>
      <c r="F49" s="26">
        <f>F39*Rates!$C$11</f>
        <v/>
      </c>
      <c r="G49" s="26">
        <f>G39*Rates!$C$4</f>
        <v/>
      </c>
      <c r="H49" s="26">
        <f>H39*Rates!$C$6</f>
        <v/>
      </c>
      <c r="I49" s="406">
        <f>SUM(B49:H49)</f>
        <v/>
      </c>
      <c r="J49" s="406">
        <f>I49*1.3</f>
        <v/>
      </c>
      <c r="K49" s="410">
        <f>J49*1.8</f>
        <v/>
      </c>
      <c r="L49" s="142" t="inlineStr">
        <is>
          <t>5/28</t>
        </is>
      </c>
      <c r="M49" s="26">
        <f>M39*Rates!$C$9</f>
        <v/>
      </c>
      <c r="N49" s="26">
        <f>N39*Rates!$C$14</f>
        <v/>
      </c>
      <c r="O49" s="26">
        <f>O39*Rates!$C$19</f>
        <v/>
      </c>
      <c r="P49" s="26">
        <f>P39*Rates!$C$17</f>
        <v/>
      </c>
      <c r="Q49" s="26">
        <f>Q39*Rates!$C$11</f>
        <v/>
      </c>
      <c r="R49" s="422">
        <f>R39*Rates!$C$4</f>
        <v/>
      </c>
      <c r="S49" s="26">
        <f>S39*Rates!$C$6</f>
        <v/>
      </c>
      <c r="T49" s="406">
        <f>SUM(M49:S49)</f>
        <v/>
      </c>
      <c r="U49" s="406">
        <f>T49*1.3</f>
        <v/>
      </c>
      <c r="V49" s="406">
        <f>U49*1.8</f>
        <v/>
      </c>
      <c r="W49" s="3" t="n"/>
      <c r="X49" s="3" t="n"/>
      <c r="Y49" s="3" t="n"/>
      <c r="Z49" s="3" t="n"/>
    </row>
    <row r="50" ht="15.75" customHeight="1" s="307">
      <c r="A50" s="141" t="inlineStr">
        <is>
          <t>7.5/40</t>
        </is>
      </c>
      <c r="B50" s="26">
        <f>B40*Rates!$C$9</f>
        <v/>
      </c>
      <c r="C50" s="26">
        <f>C40*Rates!$C$21</f>
        <v/>
      </c>
      <c r="D50" s="26">
        <f>D40*Rates!$C$19</f>
        <v/>
      </c>
      <c r="E50" s="26">
        <f>E40*Rates!$C$17</f>
        <v/>
      </c>
      <c r="F50" s="26">
        <f>F40*Rates!$C$11</f>
        <v/>
      </c>
      <c r="G50" s="26">
        <f>G40*Rates!$C$4</f>
        <v/>
      </c>
      <c r="H50" s="26">
        <f>H40*Rates!$C$6</f>
        <v/>
      </c>
      <c r="I50" s="406">
        <f>SUM(B50:H50)</f>
        <v/>
      </c>
      <c r="J50" s="406">
        <f>I50*1.3</f>
        <v/>
      </c>
      <c r="K50" s="410">
        <f>J50*1.8</f>
        <v/>
      </c>
      <c r="L50" s="142" t="inlineStr">
        <is>
          <t>7.5/28</t>
        </is>
      </c>
      <c r="M50" s="26">
        <f>M40*Rates!$C$9</f>
        <v/>
      </c>
      <c r="N50" s="26">
        <f>N40*Rates!$C$14</f>
        <v/>
      </c>
      <c r="O50" s="26">
        <f>O40*Rates!$C$19</f>
        <v/>
      </c>
      <c r="P50" s="26">
        <f>P40*Rates!$C$17</f>
        <v/>
      </c>
      <c r="Q50" s="26">
        <f>Q40*Rates!$C$11</f>
        <v/>
      </c>
      <c r="R50" s="422">
        <f>R40*Rates!$C$4</f>
        <v/>
      </c>
      <c r="S50" s="26">
        <f>S40*Rates!C7</f>
        <v/>
      </c>
      <c r="T50" s="406">
        <f>SUM(M50:S50)</f>
        <v/>
      </c>
      <c r="U50" s="406">
        <f>T50*1.3</f>
        <v/>
      </c>
      <c r="V50" s="406">
        <f>U50*1.8</f>
        <v/>
      </c>
      <c r="W50" s="3" t="n"/>
      <c r="X50" s="3" t="n"/>
      <c r="Y50" s="3" t="n"/>
      <c r="Z50" s="3" t="n"/>
    </row>
    <row r="51" ht="15.75" customHeight="1" s="307">
      <c r="A51" s="141" t="inlineStr">
        <is>
          <t>10/40</t>
        </is>
      </c>
      <c r="B51" s="26">
        <f>B41*Rates!$C$9</f>
        <v/>
      </c>
      <c r="C51" s="26">
        <f>C41*Rates!$C$21</f>
        <v/>
      </c>
      <c r="D51" s="26">
        <f>D41*Rates!$C$19</f>
        <v/>
      </c>
      <c r="E51" s="26">
        <f>E41*Rates!$C$17</f>
        <v/>
      </c>
      <c r="F51" s="26">
        <f>F41*Rates!$C$11</f>
        <v/>
      </c>
      <c r="G51" s="26">
        <f>G41*Rates!$C$4</f>
        <v/>
      </c>
      <c r="H51" s="26">
        <f>H41*Rates!$C$6</f>
        <v/>
      </c>
      <c r="I51" s="406">
        <f>SUM(B51:H51)</f>
        <v/>
      </c>
      <c r="J51" s="406">
        <f>I51*1.3</f>
        <v/>
      </c>
      <c r="K51" s="410">
        <f>J51*1.8</f>
        <v/>
      </c>
      <c r="L51" s="142" t="inlineStr">
        <is>
          <t>10/28</t>
        </is>
      </c>
      <c r="M51" s="26">
        <f>M41*Rates!$C$9</f>
        <v/>
      </c>
      <c r="N51" s="26">
        <f>N41*Rates!$C$14</f>
        <v/>
      </c>
      <c r="O51" s="26">
        <f>O41*Rates!$C$19</f>
        <v/>
      </c>
      <c r="P51" s="26">
        <f>P41*Rates!$C$17</f>
        <v/>
      </c>
      <c r="Q51" s="26">
        <f>Q41*Rates!$C$11</f>
        <v/>
      </c>
      <c r="R51" s="422">
        <f>R41*Rates!$C$4</f>
        <v/>
      </c>
      <c r="S51" s="26">
        <f>S41*Rates!C8</f>
        <v/>
      </c>
      <c r="T51" s="406">
        <f>SUM(M51:S51)</f>
        <v/>
      </c>
      <c r="U51" s="406">
        <f>T51*1.3</f>
        <v/>
      </c>
      <c r="V51" s="406">
        <f>U51*1.8</f>
        <v/>
      </c>
      <c r="W51" s="3" t="n"/>
      <c r="X51" s="3" t="n"/>
      <c r="Y51" s="3" t="n"/>
      <c r="Z51" s="3" t="n"/>
    </row>
    <row r="52" ht="15.75" customHeight="1" s="307">
      <c r="A52" s="141" t="inlineStr">
        <is>
          <t>15/40</t>
        </is>
      </c>
      <c r="B52" s="26">
        <f>B42*Rates!$C$9</f>
        <v/>
      </c>
      <c r="C52" s="26">
        <f>C42*Rates!$C$21</f>
        <v/>
      </c>
      <c r="D52" s="26">
        <f>D42*Rates!$C$19</f>
        <v/>
      </c>
      <c r="E52" s="26">
        <f>E42*Rates!$C$17</f>
        <v/>
      </c>
      <c r="F52" s="26">
        <f>F42*Rates!$C$11</f>
        <v/>
      </c>
      <c r="G52" s="26">
        <f>G42*Rates!$C$4</f>
        <v/>
      </c>
      <c r="H52" s="26">
        <f>H42*Rates!$C$6</f>
        <v/>
      </c>
      <c r="I52" s="406">
        <f>SUM(B52:H52)</f>
        <v/>
      </c>
      <c r="J52" s="406">
        <f>I52*1.3</f>
        <v/>
      </c>
      <c r="K52" s="410">
        <f>J52*1.8</f>
        <v/>
      </c>
      <c r="L52" s="142" t="inlineStr">
        <is>
          <t>15/28</t>
        </is>
      </c>
      <c r="M52" s="26">
        <f>M42*Rates!$C$9</f>
        <v/>
      </c>
      <c r="N52" s="26">
        <f>N42*Rates!$C$14</f>
        <v/>
      </c>
      <c r="O52" s="26">
        <f>O42*Rates!$C$19</f>
        <v/>
      </c>
      <c r="P52" s="26">
        <f>P42*Rates!$C$17</f>
        <v/>
      </c>
      <c r="Q52" s="26">
        <f>Q42*Rates!$C$11</f>
        <v/>
      </c>
      <c r="R52" s="422">
        <f>R42*Rates!$C$4</f>
        <v/>
      </c>
      <c r="S52" s="26">
        <f>S42*Rates!C9</f>
        <v/>
      </c>
      <c r="T52" s="406">
        <f>SUM(M52:S52)</f>
        <v/>
      </c>
      <c r="U52" s="406">
        <f>T52*1.3</f>
        <v/>
      </c>
      <c r="V52" s="406">
        <f>U52*1.8</f>
        <v/>
      </c>
      <c r="W52" s="3" t="n"/>
      <c r="X52" s="3" t="n"/>
      <c r="Y52" s="3" t="n"/>
      <c r="Z52" s="3" t="n"/>
    </row>
    <row r="53" ht="15.75" customHeight="1" s="307">
      <c r="A53" s="141" t="inlineStr">
        <is>
          <t>20/40</t>
        </is>
      </c>
      <c r="B53" s="26">
        <f>B43*Rates!$C$9</f>
        <v/>
      </c>
      <c r="C53" s="26">
        <f>C43*Rates!$C$21</f>
        <v/>
      </c>
      <c r="D53" s="26">
        <f>D43*Rates!$C$19</f>
        <v/>
      </c>
      <c r="E53" s="26">
        <f>E43*Rates!$C$17</f>
        <v/>
      </c>
      <c r="F53" s="26">
        <f>F43*Rates!$C$11</f>
        <v/>
      </c>
      <c r="G53" s="26">
        <f>G43*Rates!$C$4</f>
        <v/>
      </c>
      <c r="H53" s="26">
        <f>H43*Rates!$C$6</f>
        <v/>
      </c>
      <c r="I53" s="406">
        <f>SUM(B53:H53)</f>
        <v/>
      </c>
      <c r="J53" s="406">
        <f>I53*1.3</f>
        <v/>
      </c>
      <c r="K53" s="410">
        <f>J53*1.8</f>
        <v/>
      </c>
      <c r="L53" s="142" t="inlineStr">
        <is>
          <t>20/28</t>
        </is>
      </c>
      <c r="M53" s="26">
        <f>M43*Rates!$C$9</f>
        <v/>
      </c>
      <c r="N53" s="26">
        <f>N43*Rates!$C$14</f>
        <v/>
      </c>
      <c r="O53" s="26">
        <f>O43*Rates!$C$19</f>
        <v/>
      </c>
      <c r="P53" s="26">
        <f>P43*Rates!$C$17</f>
        <v/>
      </c>
      <c r="Q53" s="26">
        <f>Q43*Rates!$C$11</f>
        <v/>
      </c>
      <c r="R53" s="422">
        <f>R43*Rates!$C$4</f>
        <v/>
      </c>
      <c r="S53" s="26">
        <f>S43*Rates!C10</f>
        <v/>
      </c>
      <c r="T53" s="406">
        <f>SUM(M53:S53)</f>
        <v/>
      </c>
      <c r="U53" s="406">
        <f>T53*1.3</f>
        <v/>
      </c>
      <c r="V53" s="406">
        <f>U53*1.8</f>
        <v/>
      </c>
      <c r="W53" s="3" t="n"/>
      <c r="X53" s="3" t="n"/>
      <c r="Y53" s="3" t="n"/>
      <c r="Z53" s="3" t="n"/>
    </row>
    <row r="54" ht="15.75" customHeight="1" s="307">
      <c r="A54" s="141" t="inlineStr">
        <is>
          <t>25/40</t>
        </is>
      </c>
      <c r="B54" s="26">
        <f>B44*Rates!$C$9</f>
        <v/>
      </c>
      <c r="C54" s="26">
        <f>C44*Rates!$C$21</f>
        <v/>
      </c>
      <c r="D54" s="26">
        <f>D44*Rates!$C$19</f>
        <v/>
      </c>
      <c r="E54" s="26">
        <f>E44*Rates!$C$17</f>
        <v/>
      </c>
      <c r="F54" s="26">
        <f>F44*Rates!$C$11</f>
        <v/>
      </c>
      <c r="G54" s="26">
        <f>G44*Rates!$C$4</f>
        <v/>
      </c>
      <c r="H54" s="26">
        <f>H44*Rates!$C$6</f>
        <v/>
      </c>
      <c r="I54" s="406">
        <f>SUM(B54:H54)</f>
        <v/>
      </c>
      <c r="J54" s="406">
        <f>I54*1.3</f>
        <v/>
      </c>
      <c r="K54" s="410">
        <f>J54*1.8</f>
        <v/>
      </c>
      <c r="L54" s="142" t="inlineStr">
        <is>
          <t>25/28</t>
        </is>
      </c>
      <c r="M54" s="26">
        <f>M44*Rates!$C$9</f>
        <v/>
      </c>
      <c r="N54" s="26">
        <f>N44*Rates!$C$14</f>
        <v/>
      </c>
      <c r="O54" s="26">
        <f>O44*Rates!$C$19</f>
        <v/>
      </c>
      <c r="P54" s="26">
        <f>P44*Rates!$C$17</f>
        <v/>
      </c>
      <c r="Q54" s="26">
        <f>Q44*Rates!$C$11</f>
        <v/>
      </c>
      <c r="R54" s="422">
        <f>R44*Rates!$C$4</f>
        <v/>
      </c>
      <c r="S54" s="26">
        <f>S44*Rates!C11</f>
        <v/>
      </c>
      <c r="T54" s="406">
        <f>SUM(M54:S54)</f>
        <v/>
      </c>
      <c r="U54" s="406">
        <f>T54*1.3</f>
        <v/>
      </c>
      <c r="V54" s="406">
        <f>U54*1.8</f>
        <v/>
      </c>
      <c r="W54" s="3" t="n"/>
      <c r="X54" s="3" t="n"/>
      <c r="Y54" s="3" t="n"/>
      <c r="Z54" s="3" t="n"/>
    </row>
    <row r="55" ht="15.75" customHeight="1" s="307">
      <c r="A55" s="146" t="inlineStr">
        <is>
          <t>30/40</t>
        </is>
      </c>
      <c r="B55" s="37">
        <f>B45*Rates!$C$9</f>
        <v/>
      </c>
      <c r="C55" s="37">
        <f>C45*Rates!$C$21</f>
        <v/>
      </c>
      <c r="D55" s="37">
        <f>D45*Rates!$C$19</f>
        <v/>
      </c>
      <c r="E55" s="37">
        <f>E45*Rates!$C$17</f>
        <v/>
      </c>
      <c r="F55" s="37">
        <f>F45*Rates!$C$11</f>
        <v/>
      </c>
      <c r="G55" s="37">
        <f>G45*Rates!$C$4</f>
        <v/>
      </c>
      <c r="H55" s="37">
        <f>H45*Rates!$C$6</f>
        <v/>
      </c>
      <c r="I55" s="411">
        <f>SUM(B55:H55)</f>
        <v/>
      </c>
      <c r="J55" s="411">
        <f>I55*1.3</f>
        <v/>
      </c>
      <c r="K55" s="412">
        <f>J55*1.8</f>
        <v/>
      </c>
      <c r="L55" s="142" t="inlineStr">
        <is>
          <t>30/28</t>
        </is>
      </c>
      <c r="M55" s="26">
        <f>M45*Rates!$C$9</f>
        <v/>
      </c>
      <c r="N55" s="26">
        <f>N45*Rates!$C$14</f>
        <v/>
      </c>
      <c r="O55" s="26">
        <f>O45*Rates!$C$19</f>
        <v/>
      </c>
      <c r="P55" s="26">
        <f>P45*Rates!$C$17</f>
        <v/>
      </c>
      <c r="Q55" s="26">
        <f>Q45*Rates!$C$11</f>
        <v/>
      </c>
      <c r="R55" s="422">
        <f>R45*Rates!$C$4</f>
        <v/>
      </c>
      <c r="S55" s="26">
        <f>S45*Rates!C12</f>
        <v/>
      </c>
      <c r="T55" s="406">
        <f>SUM(M55:S55)</f>
        <v/>
      </c>
      <c r="U55" s="406">
        <f>T55*1.3</f>
        <v/>
      </c>
      <c r="V55" s="406">
        <f>U55*1.8</f>
        <v/>
      </c>
      <c r="W55" s="3" t="n"/>
      <c r="X55" s="3" t="n"/>
      <c r="Y55" s="3" t="n"/>
      <c r="Z55" s="3" t="n"/>
    </row>
    <row r="56" ht="15.75" customHeight="1" s="307">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07">
      <c r="A57" s="147" t="inlineStr">
        <is>
          <t>Blower IDM</t>
        </is>
      </c>
      <c r="B57" s="52" t="n"/>
      <c r="C57" s="52" t="n"/>
      <c r="D57" s="52" t="n"/>
      <c r="E57" s="52" t="n"/>
      <c r="F57" s="52" t="n"/>
      <c r="G57" s="52" t="n"/>
      <c r="H57" s="52" t="n"/>
      <c r="I57" s="52" t="n"/>
      <c r="J57" s="52" t="n"/>
      <c r="K57" s="52" t="n"/>
      <c r="L57" s="52" t="n"/>
      <c r="M57" s="52" t="n"/>
      <c r="N57" s="52" t="n"/>
      <c r="O57" s="53" t="n"/>
      <c r="P57" s="3" t="n"/>
      <c r="Q57" s="3" t="n"/>
      <c r="R57" s="3" t="n"/>
      <c r="S57" s="3" t="n"/>
      <c r="T57" s="3" t="n"/>
      <c r="U57" s="3" t="n"/>
      <c r="V57" s="3" t="n"/>
      <c r="W57" s="3" t="n"/>
      <c r="X57" s="3" t="n"/>
      <c r="Y57" s="3" t="n"/>
      <c r="Z57" s="3" t="n"/>
    </row>
    <row r="58" ht="15.75" customHeight="1" s="307">
      <c r="A58" s="29" t="inlineStr">
        <is>
          <t>Model</t>
        </is>
      </c>
      <c r="B58" s="26" t="inlineStr">
        <is>
          <t>M.S Angle 65,50 Kg</t>
        </is>
      </c>
      <c r="C58" s="26" t="inlineStr">
        <is>
          <t>M.S Sheet 8mm Kg</t>
        </is>
      </c>
      <c r="D58" s="26" t="inlineStr">
        <is>
          <t>M.S Sheet 4mm Kg</t>
        </is>
      </c>
      <c r="E58" s="26" t="inlineStr">
        <is>
          <t>M.S Sheet 2mm Kg</t>
        </is>
      </c>
      <c r="F58" s="26" t="inlineStr">
        <is>
          <t>MS Flat Kg</t>
        </is>
      </c>
      <c r="G58" s="26" t="inlineStr">
        <is>
          <t>CI Hub Kg</t>
        </is>
      </c>
      <c r="H58" s="26" t="inlineStr">
        <is>
          <t>Hardware Kg</t>
        </is>
      </c>
      <c r="I58" s="26" t="inlineStr">
        <is>
          <t>M.S Round Kg</t>
        </is>
      </c>
      <c r="J58" s="26" t="inlineStr">
        <is>
          <t>Plumber block with Bearing Nos</t>
        </is>
      </c>
      <c r="K58" s="26" t="inlineStr">
        <is>
          <t>Coupling Nos</t>
        </is>
      </c>
      <c r="L58" s="26" t="inlineStr">
        <is>
          <t>M.S Chanel Kg</t>
        </is>
      </c>
      <c r="M58" s="26" t="inlineStr">
        <is>
          <t>Total Cost</t>
        </is>
      </c>
      <c r="N58" s="3" t="n"/>
      <c r="O58" s="67" t="n"/>
      <c r="P58" s="3" t="n"/>
      <c r="Q58" s="3" t="n"/>
      <c r="R58" s="3" t="n"/>
      <c r="S58" s="3" t="n"/>
      <c r="T58" s="3" t="n"/>
      <c r="U58" s="3" t="n"/>
      <c r="V58" s="3" t="n"/>
      <c r="W58" s="3" t="n"/>
      <c r="X58" s="3" t="n"/>
      <c r="Y58" s="3" t="n"/>
      <c r="Z58" s="3" t="n"/>
    </row>
    <row r="59" ht="15.75" customHeight="1" s="307">
      <c r="A59" s="141" t="inlineStr">
        <is>
          <t>40/28</t>
        </is>
      </c>
      <c r="B59" s="26" t="n">
        <v>42</v>
      </c>
      <c r="C59" s="26" t="n">
        <v>106</v>
      </c>
      <c r="D59" s="26" t="n">
        <v>70</v>
      </c>
      <c r="E59" s="26" t="n">
        <v>17</v>
      </c>
      <c r="F59" s="26" t="n">
        <v>4</v>
      </c>
      <c r="G59" s="26" t="n">
        <v>1</v>
      </c>
      <c r="H59" s="26" t="n">
        <v>3.5</v>
      </c>
      <c r="I59" s="26" t="n">
        <v>34</v>
      </c>
      <c r="J59" s="26" t="n">
        <v>2</v>
      </c>
      <c r="K59" s="26" t="n">
        <v>1</v>
      </c>
      <c r="L59" s="26" t="n">
        <v>15</v>
      </c>
      <c r="M59" s="406">
        <f>O67</f>
        <v/>
      </c>
      <c r="N59" s="3" t="n"/>
      <c r="O59" s="67" t="n"/>
      <c r="P59" s="3" t="n"/>
      <c r="Q59" s="3" t="n"/>
      <c r="R59" s="3" t="n"/>
      <c r="S59" s="3" t="n"/>
      <c r="T59" s="3" t="n"/>
      <c r="U59" s="3" t="n"/>
      <c r="V59" s="3" t="n"/>
      <c r="W59" s="3" t="n"/>
      <c r="X59" s="3" t="n"/>
      <c r="Y59" s="3" t="n"/>
      <c r="Z59" s="3" t="n"/>
    </row>
    <row r="60" ht="15.75" customHeight="1" s="307">
      <c r="A60" s="141" t="inlineStr">
        <is>
          <t>50/28</t>
        </is>
      </c>
      <c r="B60" s="26" t="n">
        <v>40</v>
      </c>
      <c r="C60" s="26" t="n">
        <v>238</v>
      </c>
      <c r="D60" s="26" t="n">
        <v>10</v>
      </c>
      <c r="E60" s="26" t="n">
        <v>10</v>
      </c>
      <c r="F60" s="26" t="n">
        <v>4</v>
      </c>
      <c r="G60" s="26" t="n">
        <v>1</v>
      </c>
      <c r="H60" s="26" t="n">
        <v>3.5</v>
      </c>
      <c r="I60" s="26" t="n">
        <v>36</v>
      </c>
      <c r="J60" s="26" t="n">
        <v>2</v>
      </c>
      <c r="K60" s="26" t="n">
        <v>1</v>
      </c>
      <c r="L60" s="26" t="n">
        <v>15</v>
      </c>
      <c r="M60" s="406">
        <f>O68</f>
        <v/>
      </c>
      <c r="N60" s="3" t="n"/>
      <c r="O60" s="67" t="n"/>
      <c r="P60" s="3" t="n"/>
      <c r="Q60" s="3" t="n"/>
      <c r="R60" s="3" t="n"/>
      <c r="S60" s="3" t="n"/>
      <c r="T60" s="3" t="n"/>
      <c r="U60" s="3" t="n"/>
      <c r="V60" s="3" t="n"/>
      <c r="W60" s="3" t="n"/>
      <c r="X60" s="3" t="n"/>
      <c r="Y60" s="3" t="n"/>
      <c r="Z60" s="3" t="n"/>
    </row>
    <row r="61" ht="15.75" customHeight="1" s="307">
      <c r="A61" s="141" t="inlineStr">
        <is>
          <t>60/28</t>
        </is>
      </c>
      <c r="B61" s="26" t="n">
        <v>30</v>
      </c>
      <c r="C61" s="26" t="n">
        <v>191</v>
      </c>
      <c r="D61" s="26" t="n">
        <v>10</v>
      </c>
      <c r="E61" s="26" t="n">
        <v>11</v>
      </c>
      <c r="F61" s="26" t="n">
        <v>10</v>
      </c>
      <c r="G61" s="26" t="n">
        <v>1</v>
      </c>
      <c r="H61" s="26" t="n">
        <v>3.5</v>
      </c>
      <c r="I61" s="26" t="n">
        <v>38</v>
      </c>
      <c r="J61" s="26" t="n">
        <v>2</v>
      </c>
      <c r="K61" s="26" t="n"/>
      <c r="L61" s="26" t="n">
        <v>47</v>
      </c>
      <c r="M61" s="406">
        <f>O69</f>
        <v/>
      </c>
      <c r="N61" s="3" t="n"/>
      <c r="O61" s="67" t="n"/>
      <c r="P61" s="3" t="n"/>
      <c r="Q61" s="3" t="n"/>
      <c r="R61" s="3" t="n"/>
      <c r="S61" s="3" t="n"/>
      <c r="T61" s="3" t="n"/>
      <c r="U61" s="3" t="n"/>
      <c r="V61" s="3" t="n"/>
      <c r="W61" s="3" t="n"/>
      <c r="X61" s="3" t="n"/>
      <c r="Y61" s="3" t="n"/>
      <c r="Z61" s="3" t="n"/>
    </row>
    <row r="62" ht="15.75" customHeight="1" s="307">
      <c r="A62" s="141" t="inlineStr">
        <is>
          <t>30/40</t>
        </is>
      </c>
      <c r="B62" s="26" t="n">
        <v>27</v>
      </c>
      <c r="C62" s="26" t="n">
        <v>47</v>
      </c>
      <c r="D62" s="26" t="n">
        <v>63</v>
      </c>
      <c r="E62" s="26" t="n">
        <v>22</v>
      </c>
      <c r="F62" s="26" t="n">
        <v>9</v>
      </c>
      <c r="G62" s="26" t="n">
        <v>1</v>
      </c>
      <c r="H62" s="26" t="n">
        <v>3.5</v>
      </c>
      <c r="I62" s="26" t="n">
        <v>33</v>
      </c>
      <c r="J62" s="26" t="n">
        <v>2</v>
      </c>
      <c r="K62" s="26" t="n"/>
      <c r="L62" s="26" t="n">
        <v>35</v>
      </c>
      <c r="M62" s="406">
        <f>O70</f>
        <v/>
      </c>
      <c r="N62" s="3" t="n"/>
      <c r="O62" s="67" t="n"/>
      <c r="P62" s="3" t="n"/>
      <c r="Q62" s="3" t="n"/>
      <c r="R62" s="3" t="n"/>
      <c r="S62" s="3" t="n"/>
      <c r="T62" s="3" t="n"/>
      <c r="U62" s="3" t="n"/>
      <c r="V62" s="3" t="n"/>
      <c r="W62" s="3" t="n"/>
      <c r="X62" s="3" t="n"/>
      <c r="Y62" s="3" t="n"/>
      <c r="Z62" s="3" t="n"/>
    </row>
    <row r="63" ht="15.75" customHeight="1" s="307">
      <c r="A63" s="141" t="inlineStr">
        <is>
          <t>50/40</t>
        </is>
      </c>
      <c r="B63" s="26" t="n">
        <v>30</v>
      </c>
      <c r="C63" s="26" t="n">
        <v>60</v>
      </c>
      <c r="D63" s="26" t="n">
        <v>97</v>
      </c>
      <c r="E63" s="26" t="n">
        <v>23</v>
      </c>
      <c r="F63" s="26" t="n">
        <v>9</v>
      </c>
      <c r="G63" s="26" t="n">
        <v>1</v>
      </c>
      <c r="H63" s="26" t="n">
        <v>3.5</v>
      </c>
      <c r="I63" s="26" t="n">
        <v>33</v>
      </c>
      <c r="J63" s="26" t="n">
        <v>2</v>
      </c>
      <c r="K63" s="26" t="n"/>
      <c r="L63" s="26" t="n">
        <v>35</v>
      </c>
      <c r="M63" s="406">
        <f>O71</f>
        <v/>
      </c>
      <c r="N63" s="3" t="n"/>
      <c r="O63" s="67" t="n"/>
      <c r="P63" s="3" t="n"/>
      <c r="Q63" s="3" t="n"/>
      <c r="R63" s="3" t="n"/>
      <c r="S63" s="3" t="n"/>
      <c r="T63" s="3" t="n"/>
      <c r="U63" s="3" t="n"/>
      <c r="V63" s="3" t="n"/>
      <c r="W63" s="3" t="n"/>
      <c r="X63" s="3" t="n"/>
      <c r="Y63" s="3" t="n"/>
      <c r="Z63" s="3" t="n"/>
    </row>
    <row r="64" ht="15.75" customHeight="1" s="307">
      <c r="A64" s="143" t="n"/>
      <c r="B64" s="3" t="n"/>
      <c r="C64" s="3" t="n"/>
      <c r="D64" s="3" t="n"/>
      <c r="E64" s="3" t="n"/>
      <c r="F64" s="3" t="n"/>
      <c r="G64" s="3" t="n"/>
      <c r="H64" s="3" t="n"/>
      <c r="I64" s="3" t="n"/>
      <c r="J64" s="3" t="n"/>
      <c r="K64" s="3" t="n"/>
      <c r="L64" s="3" t="n"/>
      <c r="M64" s="3" t="n"/>
      <c r="N64" s="3" t="n"/>
      <c r="O64" s="67" t="n"/>
      <c r="P64" s="3" t="n"/>
      <c r="Q64" s="3" t="n"/>
      <c r="R64" s="3" t="n"/>
      <c r="S64" s="3" t="n"/>
      <c r="T64" s="3" t="n"/>
      <c r="U64" s="3" t="n"/>
      <c r="V64" s="3" t="n"/>
      <c r="W64" s="3" t="n"/>
      <c r="X64" s="3" t="n"/>
      <c r="Y64" s="3" t="n"/>
      <c r="Z64" s="3" t="n"/>
    </row>
    <row r="65" ht="15.75" customHeight="1" s="307">
      <c r="A65" s="143" t="n"/>
      <c r="B65" s="3" t="n"/>
      <c r="C65" s="3" t="n"/>
      <c r="D65" s="3" t="n"/>
      <c r="E65" s="3" t="n"/>
      <c r="F65" s="3" t="n"/>
      <c r="G65" s="3" t="n"/>
      <c r="H65" s="3" t="n"/>
      <c r="I65" s="3" t="n"/>
      <c r="J65" s="3" t="n"/>
      <c r="K65" s="3" t="n"/>
      <c r="L65" s="3" t="n"/>
      <c r="M65" s="3" t="n"/>
      <c r="N65" s="3" t="n"/>
      <c r="O65" s="67" t="n"/>
      <c r="P65" s="3" t="n"/>
      <c r="Q65" s="3" t="n"/>
      <c r="R65" s="3" t="n"/>
      <c r="S65" s="3" t="n"/>
      <c r="T65" s="3" t="n"/>
      <c r="U65" s="3" t="n"/>
      <c r="V65" s="3" t="n"/>
      <c r="W65" s="3" t="n"/>
      <c r="X65" s="3" t="n"/>
      <c r="Y65" s="3" t="n"/>
      <c r="Z65" s="3" t="n"/>
    </row>
    <row r="66" ht="15.75" customHeight="1" s="307">
      <c r="A66" s="29" t="inlineStr">
        <is>
          <t>Model</t>
        </is>
      </c>
      <c r="B66" s="26" t="inlineStr">
        <is>
          <t>M.S Angle 65,50 Kg</t>
        </is>
      </c>
      <c r="C66" s="26" t="inlineStr">
        <is>
          <t>M.S Sheet 8mm Kg</t>
        </is>
      </c>
      <c r="D66" s="26" t="inlineStr">
        <is>
          <t>M.S Sheet 4mm Kg</t>
        </is>
      </c>
      <c r="E66" s="26" t="inlineStr">
        <is>
          <t>M.S Sheet 2mm Kg</t>
        </is>
      </c>
      <c r="F66" s="26" t="inlineStr">
        <is>
          <t>MS Flat Kg</t>
        </is>
      </c>
      <c r="G66" s="26" t="inlineStr">
        <is>
          <t>CI Hub Kg</t>
        </is>
      </c>
      <c r="H66" s="26" t="inlineStr">
        <is>
          <t>Hardware Kg</t>
        </is>
      </c>
      <c r="I66" s="26" t="inlineStr">
        <is>
          <t>M.S Round Kg</t>
        </is>
      </c>
      <c r="J66" s="26" t="inlineStr">
        <is>
          <t>Plumber block with Bearing Nos</t>
        </is>
      </c>
      <c r="K66" s="26" t="inlineStr">
        <is>
          <t>Coupling Nos</t>
        </is>
      </c>
      <c r="L66" s="26" t="inlineStr">
        <is>
          <t>M.S Chanel Kg</t>
        </is>
      </c>
      <c r="M66" s="26" t="inlineStr">
        <is>
          <t>cost</t>
        </is>
      </c>
      <c r="N66" s="76" t="n">
        <v>0.3</v>
      </c>
      <c r="O66" s="77" t="n">
        <v>0.8</v>
      </c>
      <c r="P66" s="3" t="n"/>
      <c r="Q66" s="3" t="n"/>
      <c r="R66" s="3" t="n"/>
      <c r="S66" s="3" t="n"/>
      <c r="T66" s="3" t="n"/>
      <c r="U66" s="3" t="n"/>
      <c r="V66" s="3" t="n"/>
      <c r="W66" s="3" t="n"/>
      <c r="X66" s="3" t="n"/>
      <c r="Y66" s="3" t="n"/>
      <c r="Z66" s="3" t="n"/>
    </row>
    <row r="67" ht="15.75" customHeight="1" s="307">
      <c r="A67" s="141" t="inlineStr">
        <is>
          <t>40/28</t>
        </is>
      </c>
      <c r="B67" s="26">
        <f>B59*Rates!$C$9</f>
        <v/>
      </c>
      <c r="C67" s="26">
        <f>C59*Rates!$C$21</f>
        <v/>
      </c>
      <c r="D67" s="26">
        <f>D59*Rates!$C$19</f>
        <v/>
      </c>
      <c r="E67" s="26">
        <f>E59*Rates!$C$17</f>
        <v/>
      </c>
      <c r="F67" s="26">
        <f>F59*Rates!$C$11</f>
        <v/>
      </c>
      <c r="G67" s="26">
        <f>G59*Rates!$C$4</f>
        <v/>
      </c>
      <c r="H67" s="26">
        <f>H59*Rates!$C$6</f>
        <v/>
      </c>
      <c r="I67" s="26">
        <f>I59*Rates!$C$16</f>
        <v/>
      </c>
      <c r="J67" s="26">
        <f>J59*Rates!$C$25</f>
        <v/>
      </c>
      <c r="K67" s="26">
        <f>K59*Rates!$C$5</f>
        <v/>
      </c>
      <c r="L67" s="26">
        <f>L59*Rates!$C$24</f>
        <v/>
      </c>
      <c r="M67" s="406">
        <f>SUM(B67:L67)</f>
        <v/>
      </c>
      <c r="N67" s="406">
        <f>M67*1.3</f>
        <v/>
      </c>
      <c r="O67" s="410">
        <f>N67*1.8</f>
        <v/>
      </c>
      <c r="P67" s="3" t="n"/>
      <c r="Q67" s="3" t="n"/>
      <c r="R67" s="3" t="n"/>
      <c r="S67" s="3" t="n"/>
      <c r="T67" s="3" t="n"/>
      <c r="U67" s="3" t="n"/>
      <c r="V67" s="3" t="n"/>
      <c r="W67" s="3" t="n"/>
      <c r="X67" s="3" t="n"/>
      <c r="Y67" s="3" t="n"/>
      <c r="Z67" s="3" t="n"/>
    </row>
    <row r="68" ht="15.75" customHeight="1" s="307">
      <c r="A68" s="141" t="inlineStr">
        <is>
          <t>50/28</t>
        </is>
      </c>
      <c r="B68" s="26">
        <f>B60*Rates!$C$9</f>
        <v/>
      </c>
      <c r="C68" s="26">
        <f>C60*Rates!$C$21</f>
        <v/>
      </c>
      <c r="D68" s="26">
        <f>D60*Rates!$C$19</f>
        <v/>
      </c>
      <c r="E68" s="26">
        <f>E60*Rates!$C$17</f>
        <v/>
      </c>
      <c r="F68" s="26">
        <f>F60*Rates!$C$11</f>
        <v/>
      </c>
      <c r="G68" s="26">
        <f>G60*Rates!$C$4</f>
        <v/>
      </c>
      <c r="H68" s="26">
        <f>H60*Rates!$C$6</f>
        <v/>
      </c>
      <c r="I68" s="26">
        <f>I60*Rates!$C$16</f>
        <v/>
      </c>
      <c r="J68" s="26">
        <f>J60*Rates!$C$25</f>
        <v/>
      </c>
      <c r="K68" s="26">
        <f>K60*Rates!$C$5</f>
        <v/>
      </c>
      <c r="L68" s="26">
        <f>L60*Rates!$C$24</f>
        <v/>
      </c>
      <c r="M68" s="406">
        <f>SUM(B68:L68)</f>
        <v/>
      </c>
      <c r="N68" s="406">
        <f>M68*1.3</f>
        <v/>
      </c>
      <c r="O68" s="410">
        <f>N68*1.8</f>
        <v/>
      </c>
      <c r="P68" s="3" t="n"/>
      <c r="Q68" s="3" t="n"/>
      <c r="R68" s="3" t="n"/>
      <c r="S68" s="3" t="n"/>
      <c r="T68" s="3" t="n"/>
      <c r="U68" s="3" t="n"/>
      <c r="V68" s="3" t="n"/>
      <c r="W68" s="3" t="n"/>
      <c r="X68" s="3" t="n"/>
      <c r="Y68" s="3" t="n"/>
      <c r="Z68" s="3" t="n"/>
    </row>
    <row r="69" ht="15.75" customHeight="1" s="307">
      <c r="A69" s="141" t="inlineStr">
        <is>
          <t>60/28</t>
        </is>
      </c>
      <c r="B69" s="26">
        <f>B61*Rates!$C$9</f>
        <v/>
      </c>
      <c r="C69" s="26">
        <f>C61*Rates!$C$21</f>
        <v/>
      </c>
      <c r="D69" s="26">
        <f>D61*Rates!$C$19</f>
        <v/>
      </c>
      <c r="E69" s="26">
        <f>E61*Rates!$C$17</f>
        <v/>
      </c>
      <c r="F69" s="26">
        <f>F61*Rates!$C$11</f>
        <v/>
      </c>
      <c r="G69" s="26">
        <f>G61*Rates!$C$4</f>
        <v/>
      </c>
      <c r="H69" s="26">
        <f>H61*Rates!$C$6</f>
        <v/>
      </c>
      <c r="I69" s="26">
        <f>I61*Rates!$C$16</f>
        <v/>
      </c>
      <c r="J69" s="26">
        <f>J61*Rates!$C$25</f>
        <v/>
      </c>
      <c r="K69" s="26">
        <f>K61*Rates!$C$5</f>
        <v/>
      </c>
      <c r="L69" s="26">
        <f>L61*Rates!$C$24</f>
        <v/>
      </c>
      <c r="M69" s="406">
        <f>SUM(B69:L69)</f>
        <v/>
      </c>
      <c r="N69" s="406">
        <f>M69*1.3</f>
        <v/>
      </c>
      <c r="O69" s="410">
        <f>N69*1.8</f>
        <v/>
      </c>
      <c r="P69" s="3" t="n"/>
      <c r="Q69" s="3" t="n"/>
      <c r="R69" s="3" t="n"/>
      <c r="S69" s="3" t="n"/>
      <c r="T69" s="3" t="n"/>
      <c r="U69" s="3" t="n"/>
      <c r="V69" s="3" t="n"/>
      <c r="W69" s="3" t="n"/>
      <c r="X69" s="3" t="n"/>
      <c r="Y69" s="3" t="n"/>
      <c r="Z69" s="3" t="n"/>
    </row>
    <row r="70" ht="15.75" customHeight="1" s="307">
      <c r="A70" s="141" t="inlineStr">
        <is>
          <t>30/40</t>
        </is>
      </c>
      <c r="B70" s="26">
        <f>B62*Rates!$C$9</f>
        <v/>
      </c>
      <c r="C70" s="26">
        <f>C62*Rates!$C$21</f>
        <v/>
      </c>
      <c r="D70" s="26">
        <f>D62*Rates!$C$19</f>
        <v/>
      </c>
      <c r="E70" s="26">
        <f>E62*Rates!$C$17</f>
        <v/>
      </c>
      <c r="F70" s="26">
        <f>F62*Rates!$C$11</f>
        <v/>
      </c>
      <c r="G70" s="26">
        <f>G62*Rates!$C$4</f>
        <v/>
      </c>
      <c r="H70" s="26">
        <f>H62*Rates!$C$6</f>
        <v/>
      </c>
      <c r="I70" s="26">
        <f>I62*Rates!$C$16</f>
        <v/>
      </c>
      <c r="J70" s="26">
        <f>J62*Rates!$C$25</f>
        <v/>
      </c>
      <c r="K70" s="26">
        <f>K62*Rates!$C$5</f>
        <v/>
      </c>
      <c r="L70" s="26">
        <f>L62*Rates!$C$24</f>
        <v/>
      </c>
      <c r="M70" s="406">
        <f>SUM(B70:L70)</f>
        <v/>
      </c>
      <c r="N70" s="406">
        <f>M70*1.3</f>
        <v/>
      </c>
      <c r="O70" s="410">
        <f>N70*1.8</f>
        <v/>
      </c>
      <c r="P70" s="3" t="n"/>
      <c r="Q70" s="3" t="n"/>
      <c r="R70" s="3" t="n"/>
      <c r="S70" s="3" t="n"/>
      <c r="T70" s="3" t="n"/>
      <c r="U70" s="3" t="n"/>
      <c r="V70" s="3" t="n"/>
      <c r="W70" s="3" t="n"/>
      <c r="X70" s="3" t="n"/>
      <c r="Y70" s="3" t="n"/>
      <c r="Z70" s="3" t="n"/>
    </row>
    <row r="71" ht="15.75" customHeight="1" s="307">
      <c r="A71" s="146" t="inlineStr">
        <is>
          <t>50/40</t>
        </is>
      </c>
      <c r="B71" s="37">
        <f>B63*Rates!$C$9</f>
        <v/>
      </c>
      <c r="C71" s="37">
        <f>C63*Rates!$C$21</f>
        <v/>
      </c>
      <c r="D71" s="37">
        <f>D63*Rates!$C$19</f>
        <v/>
      </c>
      <c r="E71" s="37">
        <f>E63*Rates!$C$17</f>
        <v/>
      </c>
      <c r="F71" s="37">
        <f>F63*Rates!$C$11</f>
        <v/>
      </c>
      <c r="G71" s="37">
        <f>G63*Rates!$C$4</f>
        <v/>
      </c>
      <c r="H71" s="37">
        <f>H63*Rates!$C$6</f>
        <v/>
      </c>
      <c r="I71" s="37">
        <f>I63*Rates!$C$16</f>
        <v/>
      </c>
      <c r="J71" s="37">
        <f>J63*Rates!$C$25</f>
        <v/>
      </c>
      <c r="K71" s="37">
        <f>K63*Rates!$C$5</f>
        <v/>
      </c>
      <c r="L71" s="37">
        <f>L63*Rates!$C$24</f>
        <v/>
      </c>
      <c r="M71" s="411">
        <f>SUM(B71:L71)</f>
        <v/>
      </c>
      <c r="N71" s="411">
        <f>M71*1.3</f>
        <v/>
      </c>
      <c r="O71" s="412">
        <f>N71*1.8</f>
        <v/>
      </c>
      <c r="P71" s="3" t="n"/>
      <c r="Q71" s="3" t="n"/>
      <c r="R71" s="3" t="n"/>
      <c r="S71" s="3" t="n"/>
      <c r="T71" s="3" t="n"/>
      <c r="U71" s="3" t="n"/>
      <c r="V71" s="3" t="n"/>
      <c r="W71" s="3" t="n"/>
      <c r="X71" s="3" t="n"/>
      <c r="Y71" s="3" t="n"/>
      <c r="Z71" s="3" t="n"/>
    </row>
    <row r="72" ht="15.75" customHeight="1" s="307">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07">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07">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07">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07">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0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07">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07">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07">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07">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07">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07">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07">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07">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07">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0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07">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07">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07">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07">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07">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07">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07">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07">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07">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0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07">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07">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07">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07">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07">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07">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07">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07">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07">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07">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07">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07">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07">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07">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07">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07">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07">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07">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0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07">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07">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07">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07">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07">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07">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07">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07">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07">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0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07">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07">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07">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07">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07">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07">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07">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07">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07">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0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07">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07">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07">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07">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07">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07">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07">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07">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07">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0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07">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07">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07">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07">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07">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07">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07">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07">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07">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0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07">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07">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07">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07">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07">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07">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07">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07">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07">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0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07">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07">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07">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07">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07">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07">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07">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07">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07">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0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07">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07">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07">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07">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07">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07">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07">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07">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07">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0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07">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07">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07">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07">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07">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07">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07">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07">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07">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0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07">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07">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07">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07">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07">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07">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07">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07">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07">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07">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07">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07">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07">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07">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07">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07">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07">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07">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0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07">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07">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07">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07">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307">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307">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307">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307">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307">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30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307">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307">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307">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307">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307">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307">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307">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307">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307">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30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307">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307">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307">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307">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307">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307">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307">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307">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307">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30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307">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307">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307">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307">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307">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307">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307">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307">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307">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30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307">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307">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307">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307">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307">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307">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307">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307">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307">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30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307">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307">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307">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307">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307">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307">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307">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307">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307">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30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307">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307">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307">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307">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307">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307">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307">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307">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307">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30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307">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307">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307">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307">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307">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307">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307">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307">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307">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30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307">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307">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307">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307">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307">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307">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307">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307">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307">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307">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307">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307">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307">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307">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307">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307">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307">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307">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30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307">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307">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307">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307">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307">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307">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307">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307">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307">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30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307">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307">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307">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307">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307">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307">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307">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307">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307">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30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307">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307">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307">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307">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307">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307">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307">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307">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307">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30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307">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307">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307">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307">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307">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307">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307">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307">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307">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30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307">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307">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307">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307">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307">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307">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307">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307">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307">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30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307">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307">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307">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307">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307">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307">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307">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307">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307">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30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307">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307">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307">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307">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307">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307">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307">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307">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307">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30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307">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307">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307">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307">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307">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307">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307">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307">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307">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30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307">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307">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307">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307">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307">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307">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307">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307">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307">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3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307">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307">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307">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307">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307">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307">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307">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307">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307">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30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307">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307">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307">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307">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307">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307">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307">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307">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307">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30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307">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307">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307">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307">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307">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307">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307">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307">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307">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30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307">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307">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307">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307">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307">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307">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307">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307">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307">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30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307">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307">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307">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307">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307">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307">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307">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307">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307">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30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307">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307">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307">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307">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307">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307">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307">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307">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307">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30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307">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307">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307">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307">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307">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307">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307">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307">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307">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30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307">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307">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307">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307">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307">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307">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307">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307">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307">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30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307">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307">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307">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307">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307">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307">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307">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307">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307">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30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307">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307">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307">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307">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307">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307">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307">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307">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307">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3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307">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307">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307">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307">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307">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307">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307">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307">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307">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30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307">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307">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307">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307">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307">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307">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307">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307">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307">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30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307">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307">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307">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307">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307">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307">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307">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307">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307">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30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307">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307">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307">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307">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307">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307">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307">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307">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307">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30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307">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307">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307">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307">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307">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307">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307">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307">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307">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30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307">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307">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307">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307">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307">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307">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307">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307">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307">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30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307">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307">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307">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307">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307">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307">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307">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307">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307">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30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307">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307">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307">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307">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307">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307">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307">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307">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307">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30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307">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307">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307">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307">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307">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307">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307">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307">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307">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30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307">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307">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307">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307">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307">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307">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307">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307">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307">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3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307">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307">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307">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307">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307">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307">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307">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307">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307">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30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307">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307">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307">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307">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307">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307">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307">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307">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307">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30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307">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307">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307">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307">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307">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307">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307">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307">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307">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30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307">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307">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307">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307">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307">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307">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307">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307">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307">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30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307">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307">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307">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307">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307">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307">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307">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307">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307">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30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307">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307">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307">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307">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307">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307">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307">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307">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307">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30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307">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307">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307">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307">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307">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307">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307">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307">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307">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30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307">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307">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307">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307">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307">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307">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307">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307">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307">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30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307">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307">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307">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307">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307">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307">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307">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307">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307">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30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307">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307">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307">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307">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307">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307">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307">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307">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307">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3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307">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307">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307">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307">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307">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307">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307">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307">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307">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30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307">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307">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307">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307">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307">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307">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307">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307">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307">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30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307">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307">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307">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307">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307">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307">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307">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307">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307">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30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307">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307">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307">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307">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307">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307">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307">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307">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307">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30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307">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307">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307">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307">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307">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307">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307">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307">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307">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30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307">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307">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307">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307">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307">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307">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307">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307">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307">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30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307">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307">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307">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307">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307">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307">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307">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307">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307">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30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307">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307">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307">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307">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307">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307">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307">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307">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307">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30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307">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307">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307">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307">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307">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307">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307">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307">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307">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30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307">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307">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307">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307">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307">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307">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307">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307">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307">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3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307">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307">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307">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307">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307">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307">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307">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307">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307">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30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307">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307">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307">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307">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307">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307">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307">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307">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307">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30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307">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307">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307">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307">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307">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307">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307">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307">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307">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30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307">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307">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307">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307">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307">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307">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307">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307">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307">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30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307">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307">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307">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307">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307">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307">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307">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307">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307">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30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307">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307">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307">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307">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307">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307">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307">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307">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307">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30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307">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307">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307">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307">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307">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307">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307">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307">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307">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30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307">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307">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307">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307">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307">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307">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307">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307">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307">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30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307">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307">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307">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307">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307">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307">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307">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307">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307">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30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307">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307">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307">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307">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307">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307">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307">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307">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307">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3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307">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307">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307">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307">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307">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307">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307">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307">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307">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30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307">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307">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307">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307">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307">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307">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307">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307">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307">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30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307">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307">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307">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307">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307">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307">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307">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307">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307">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30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307">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307">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307">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307">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307">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307">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307">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307">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307">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30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307">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307">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307">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307">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307">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307">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307">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307">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307">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30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307">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307">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307">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307">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307">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307">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307">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307">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307">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30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307">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307">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307">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307">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307">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307">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307">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307">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307">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30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307">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307">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307">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307">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307">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307">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307">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307">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307">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30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307">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307">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307">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307">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307">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307">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307">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307">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307">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30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307">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307">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307">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5">
    <mergeCell ref="A2:G2"/>
    <mergeCell ref="A28:K28"/>
    <mergeCell ref="A29:G29"/>
    <mergeCell ref="A1:K1"/>
    <mergeCell ref="H27:I27"/>
  </mergeCells>
  <pageMargins left="0.7" right="0.7" top="0.75" bottom="0.75"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FL1000"/>
  <sheetViews>
    <sheetView workbookViewId="0">
      <pane xSplit="1" ySplit="2" topLeftCell="AQ3" activePane="bottomRight" state="frozen"/>
      <selection pane="topRight" activeCell="B1" sqref="B1"/>
      <selection pane="bottomLeft" activeCell="A3" sqref="A3"/>
      <selection pane="bottomRight" activeCell="BB5" sqref="BB5"/>
    </sheetView>
  </sheetViews>
  <sheetFormatPr baseColWidth="8" defaultColWidth="14.44140625" defaultRowHeight="15" customHeight="1"/>
  <cols>
    <col width="5.5546875" customWidth="1" style="307" min="1" max="1"/>
    <col width="31.88671875" customWidth="1" style="307" min="2" max="2"/>
    <col width="5" customWidth="1" style="307" min="3" max="3"/>
    <col width="4.88671875" customWidth="1" style="307" min="4" max="4"/>
    <col width="6.44140625" customWidth="1" style="307" min="5" max="5"/>
    <col width="8.109375" customWidth="1" style="307" min="6" max="6"/>
    <col width="5" customWidth="1" style="307" min="7" max="7"/>
    <col width="4.88671875" customWidth="1" style="307" min="8" max="8"/>
    <col width="5.88671875" customWidth="1" style="307" min="9" max="9"/>
    <col width="8.109375" customWidth="1" style="307" min="10" max="10"/>
    <col width="4.6640625" customWidth="1" style="307" min="11" max="11"/>
    <col width="4.88671875" customWidth="1" style="307" min="12" max="12"/>
    <col width="9" customWidth="1" style="307" min="13" max="13"/>
    <col width="8.109375" customWidth="1" style="307" min="14" max="14"/>
    <col width="10" customWidth="1" style="307" min="15" max="15"/>
    <col width="2" customWidth="1" style="307" min="16" max="16"/>
    <col width="5.5546875" customWidth="1" style="307" min="17" max="17"/>
    <col width="31.88671875" customWidth="1" style="307" min="18" max="18"/>
    <col width="5" customWidth="1" style="307" min="19" max="19"/>
    <col width="4.88671875" customWidth="1" style="307" min="20" max="20"/>
    <col width="6.5546875" customWidth="1" style="307" min="21" max="21"/>
    <col width="8.109375" customWidth="1" style="307" min="22" max="22"/>
    <col width="5" customWidth="1" style="307" min="23" max="23"/>
    <col width="4.88671875" customWidth="1" style="307" min="24" max="24"/>
    <col width="6.109375" customWidth="1" style="307" min="25" max="25"/>
    <col width="8.109375" customWidth="1" style="307" min="26" max="26"/>
    <col width="5" customWidth="1" style="307" min="27" max="27"/>
    <col width="4.88671875" customWidth="1" style="307" min="28" max="28"/>
    <col width="6.44140625" customWidth="1" style="307" min="29" max="29"/>
    <col width="8.109375" customWidth="1" style="307" min="30" max="30"/>
    <col width="12.109375" customWidth="1" style="307" min="31" max="31"/>
    <col width="3" customWidth="1" style="307" min="32" max="32"/>
    <col width="5.5546875" customWidth="1" style="307" min="33" max="33"/>
    <col width="31.88671875" customWidth="1" style="307" min="34" max="34"/>
    <col width="5" customWidth="1" style="307" min="35" max="35"/>
    <col width="4.88671875" customWidth="1" style="307" min="36" max="36"/>
    <col width="6.44140625" customWidth="1" style="307" min="37" max="37"/>
    <col width="8.109375" customWidth="1" style="307" min="38" max="38"/>
    <col width="5" customWidth="1" style="307" min="39" max="39"/>
    <col width="4.88671875" customWidth="1" style="307" min="40" max="40"/>
    <col width="6.44140625" customWidth="1" style="307" min="41" max="41"/>
    <col width="8.109375" customWidth="1" style="307" min="42" max="42"/>
    <col width="5" customWidth="1" style="307" min="43" max="43"/>
    <col width="4.88671875" customWidth="1" style="307" min="44" max="44"/>
    <col width="7" customWidth="1" style="307" min="45" max="45"/>
    <col width="8.109375" customWidth="1" style="307" min="46" max="46"/>
    <col width="13" customWidth="1" style="307" min="47" max="47"/>
    <col width="3.109375" customWidth="1" style="307" min="48" max="48"/>
    <col width="5.5546875" customWidth="1" style="307" min="49" max="49"/>
    <col width="31.88671875" customWidth="1" style="307" min="50" max="50"/>
    <col width="5" customWidth="1" style="307" min="51" max="51"/>
    <col width="4.88671875" customWidth="1" style="307" min="52" max="52"/>
    <col width="7" customWidth="1" style="307" min="53" max="53"/>
    <col width="8.109375" customWidth="1" style="307" min="54" max="54"/>
    <col width="5" customWidth="1" style="307" min="55" max="55"/>
    <col width="4.88671875" customWidth="1" style="307" min="56" max="56"/>
    <col width="7.88671875" customWidth="1" style="307" min="57" max="57"/>
    <col width="8.109375" customWidth="1" style="307" min="58" max="58"/>
    <col width="5" customWidth="1" style="307" min="59" max="59"/>
    <col width="4.88671875" customWidth="1" style="307" min="60" max="60"/>
    <col width="6.5546875" customWidth="1" style="307" min="61" max="61"/>
    <col width="8.109375" customWidth="1" style="307" min="62" max="62"/>
    <col width="11.88671875" customWidth="1" style="307" min="63" max="63"/>
    <col width="2.88671875" customWidth="1" style="307" min="64" max="64"/>
    <col width="5.5546875" customWidth="1" style="307" min="65" max="65"/>
    <col width="31.88671875" customWidth="1" style="307" min="66" max="66"/>
    <col width="5" customWidth="1" style="307" min="67" max="67"/>
    <col width="4.88671875" customWidth="1" style="307" min="68" max="68"/>
    <col width="5.5546875" customWidth="1" style="307" min="69" max="69"/>
    <col width="8.109375" customWidth="1" style="307" min="70" max="70"/>
    <col width="5" customWidth="1" style="307" min="71" max="71"/>
    <col width="4.88671875" customWidth="1" style="307" min="72" max="72"/>
    <col width="5.5546875" customWidth="1" style="307" min="73" max="73"/>
    <col width="8.109375" customWidth="1" style="307" min="74" max="74"/>
    <col width="5" customWidth="1" style="307" min="75" max="75"/>
    <col width="4.88671875" customWidth="1" style="307" min="76" max="76"/>
    <col width="7.33203125" customWidth="1" style="307" min="77" max="77"/>
    <col width="8.109375" customWidth="1" style="307" min="78" max="78"/>
    <col width="12.5546875" customWidth="1" style="307" min="79" max="79"/>
    <col width="2.88671875" customWidth="1" style="307" min="80" max="80"/>
    <col width="5.5546875" customWidth="1" style="307" min="81" max="81"/>
    <col width="31.88671875" customWidth="1" style="307" min="82" max="82"/>
    <col width="5" customWidth="1" style="307" min="83" max="83"/>
    <col width="4.88671875" customWidth="1" style="307" min="84" max="84"/>
    <col width="5.5546875" customWidth="1" style="307" min="85" max="85"/>
    <col width="8.109375" customWidth="1" style="307" min="86" max="86"/>
    <col width="5" customWidth="1" style="307" min="87" max="87"/>
    <col width="4.88671875" customWidth="1" style="307" min="88" max="88"/>
    <col width="5.5546875" customWidth="1" style="307" min="89" max="89"/>
    <col width="8.109375" customWidth="1" style="307" min="90" max="90"/>
    <col width="5" customWidth="1" style="307" min="91" max="91"/>
    <col width="4.88671875" customWidth="1" style="307" min="92" max="92"/>
    <col width="5.5546875" customWidth="1" style="307" min="93" max="93"/>
    <col width="8.109375" customWidth="1" style="307" min="94" max="94"/>
    <col width="14.33203125" customWidth="1" style="307" min="95" max="95"/>
    <col width="2.44140625" customWidth="1" style="307" min="96" max="96"/>
    <col width="5.5546875" customWidth="1" style="307" min="97" max="97"/>
    <col width="31.88671875" customWidth="1" style="307" min="98" max="98"/>
    <col width="5" customWidth="1" style="307" min="99" max="99"/>
    <col width="4.88671875" customWidth="1" style="307" min="100" max="100"/>
    <col width="5.5546875" customWidth="1" style="307" min="101" max="101"/>
    <col width="8.109375" customWidth="1" style="307" min="102" max="102"/>
    <col width="5" customWidth="1" style="307" min="103" max="103"/>
    <col width="4.88671875" customWidth="1" style="307" min="104" max="104"/>
    <col width="5.5546875" customWidth="1" style="307" min="105" max="105"/>
    <col width="8.109375" customWidth="1" style="307" min="106" max="106"/>
    <col width="5" customWidth="1" style="307" min="107" max="107"/>
    <col width="4.88671875" customWidth="1" style="307" min="108" max="108"/>
    <col width="5.5546875" customWidth="1" style="307" min="109" max="109"/>
    <col width="8.109375" customWidth="1" style="307" min="110" max="110"/>
    <col width="8.6640625" customWidth="1" style="307" min="111" max="111"/>
    <col width="5.5546875" customWidth="1" style="307" min="112" max="112"/>
    <col width="32.88671875" customWidth="1" style="307" min="113" max="113"/>
    <col width="5" customWidth="1" style="307" min="114" max="114"/>
    <col width="4.88671875" customWidth="1" style="307" min="115" max="115"/>
    <col width="5.5546875" customWidth="1" style="307" min="116" max="116"/>
    <col width="8.109375" customWidth="1" style="307" min="117" max="117"/>
    <col width="5" customWidth="1" style="307" min="118" max="118"/>
    <col width="4.88671875" customWidth="1" style="307" min="119" max="119"/>
    <col width="5.5546875" customWidth="1" style="307" min="120" max="120"/>
    <col width="9" customWidth="1" style="307" min="121" max="121"/>
    <col width="5" customWidth="1" style="307" min="122" max="122"/>
    <col width="4.88671875" customWidth="1" style="307" min="123" max="123"/>
    <col width="6.5546875" customWidth="1" style="307" min="124" max="124"/>
    <col width="8.109375" customWidth="1" style="307" min="125" max="125"/>
    <col width="13.88671875" customWidth="1" style="307" min="126" max="126"/>
    <col width="2.5546875" customWidth="1" style="307" min="127" max="127"/>
    <col width="5.5546875" customWidth="1" style="307" min="128" max="128"/>
    <col width="32.88671875" customWidth="1" style="307" min="129" max="129"/>
    <col width="5" customWidth="1" style="307" min="130" max="130"/>
    <col width="4.88671875" customWidth="1" style="307" min="131" max="131"/>
    <col width="5.5546875" customWidth="1" style="307" min="132" max="132"/>
    <col width="8.109375" customWidth="1" style="307" min="133" max="133"/>
    <col width="6" customWidth="1" style="307" min="134" max="134"/>
    <col width="4.88671875" customWidth="1" style="307" min="135" max="135"/>
    <col width="6.33203125" customWidth="1" style="307" min="136" max="136"/>
    <col width="9" customWidth="1" style="307" min="137" max="137"/>
    <col width="5" customWidth="1" style="307" min="138" max="138"/>
    <col width="4.88671875" customWidth="1" style="307" min="139" max="139"/>
    <col width="7.5546875" customWidth="1" style="307" min="140" max="140"/>
    <col width="8.109375" customWidth="1" style="307" min="141" max="141"/>
    <col width="12.44140625" customWidth="1" style="307" min="142" max="142"/>
    <col width="3" customWidth="1" style="307" min="143" max="143"/>
    <col width="5.5546875" customWidth="1" style="307" min="144" max="144"/>
    <col width="32.88671875" customWidth="1" style="307" min="145" max="145"/>
    <col width="5" customWidth="1" style="307" min="146" max="146"/>
    <col width="4.88671875" customWidth="1" style="307" min="147" max="147"/>
    <col width="7.33203125" customWidth="1" style="307" min="148" max="148"/>
    <col width="8.109375" customWidth="1" style="307" min="149" max="149"/>
    <col width="5" customWidth="1" style="307" min="150" max="150"/>
    <col width="4.88671875" customWidth="1" style="307" min="151" max="151"/>
    <col width="6.6640625" customWidth="1" style="307" min="152" max="152"/>
    <col width="8.109375" customWidth="1" style="307" min="153" max="153"/>
    <col width="5" customWidth="1" style="307" min="154" max="154"/>
    <col width="4.88671875" customWidth="1" style="307" min="155" max="155"/>
    <col width="8" customWidth="1" style="307" min="156" max="156"/>
    <col width="8.109375" customWidth="1" style="307" min="157" max="157"/>
    <col width="15.33203125" customWidth="1" style="307" min="158" max="158"/>
    <col width="8.6640625" customWidth="1" style="307" min="159" max="160"/>
    <col width="11.6640625" customWidth="1" style="307" min="161" max="168"/>
  </cols>
  <sheetData>
    <row r="1" ht="14.4" customHeight="1" s="307">
      <c r="A1" s="424" t="inlineStr">
        <is>
          <t>Costing of Heating &amp; Pumping Unit 3 KW                              Date :  01.07.2022</t>
        </is>
      </c>
      <c r="B1" s="393" t="n"/>
      <c r="C1" s="393" t="n"/>
      <c r="D1" s="393" t="n"/>
      <c r="E1" s="393" t="n"/>
      <c r="F1" s="393" t="n"/>
      <c r="G1" s="393" t="n"/>
      <c r="H1" s="393" t="n"/>
      <c r="I1" s="393" t="n"/>
      <c r="J1" s="393" t="n"/>
      <c r="K1" s="393" t="n"/>
      <c r="L1" s="393" t="n"/>
      <c r="M1" s="393" t="n"/>
      <c r="N1" s="393" t="n"/>
      <c r="O1" s="394" t="n"/>
      <c r="Q1" s="424" t="inlineStr">
        <is>
          <t>Costing of Heating &amp; Pumping Unit 6 KW                             Date :  01.07.2022</t>
        </is>
      </c>
      <c r="R1" s="393" t="n"/>
      <c r="S1" s="393" t="n"/>
      <c r="T1" s="393" t="n"/>
      <c r="U1" s="393" t="n"/>
      <c r="V1" s="393" t="n"/>
      <c r="W1" s="393" t="n"/>
      <c r="X1" s="393" t="n"/>
      <c r="Y1" s="393" t="n"/>
      <c r="Z1" s="393" t="n"/>
      <c r="AA1" s="393" t="n"/>
      <c r="AB1" s="393" t="n"/>
      <c r="AC1" s="393" t="n"/>
      <c r="AD1" s="393" t="n"/>
      <c r="AE1" s="394" t="n"/>
      <c r="AG1" s="424" t="inlineStr">
        <is>
          <t>Costing of Heating &amp; Pumping Unit 9 KW                           Date :  01.07.2022</t>
        </is>
      </c>
      <c r="AH1" s="393" t="n"/>
      <c r="AI1" s="393" t="n"/>
      <c r="AJ1" s="393" t="n"/>
      <c r="AK1" s="393" t="n"/>
      <c r="AL1" s="393" t="n"/>
      <c r="AM1" s="393" t="n"/>
      <c r="AN1" s="393" t="n"/>
      <c r="AO1" s="393" t="n"/>
      <c r="AP1" s="393" t="n"/>
      <c r="AQ1" s="393" t="n"/>
      <c r="AR1" s="393" t="n"/>
      <c r="AS1" s="393" t="n"/>
      <c r="AT1" s="393" t="n"/>
      <c r="AU1" s="394" t="n"/>
      <c r="AW1" s="424" t="inlineStr">
        <is>
          <t>Costing of Heating &amp; Pumping Unit 12 KW                              Date :  01.07.2022</t>
        </is>
      </c>
      <c r="AX1" s="393" t="n"/>
      <c r="AY1" s="393" t="n"/>
      <c r="AZ1" s="393" t="n"/>
      <c r="BA1" s="393" t="n"/>
      <c r="BB1" s="393" t="n"/>
      <c r="BC1" s="393" t="n"/>
      <c r="BD1" s="393" t="n"/>
      <c r="BE1" s="393" t="n"/>
      <c r="BF1" s="393" t="n"/>
      <c r="BG1" s="393" t="n"/>
      <c r="BH1" s="393" t="n"/>
      <c r="BI1" s="393" t="n"/>
      <c r="BJ1" s="393" t="n"/>
      <c r="BK1" s="394" t="n"/>
      <c r="BM1" s="342" t="inlineStr">
        <is>
          <t>Costing of Heating &amp; Pumping Unit 16 KW                              Date :  01.07.2022</t>
        </is>
      </c>
      <c r="BN1" s="393" t="n"/>
      <c r="BO1" s="393" t="n"/>
      <c r="BP1" s="393" t="n"/>
      <c r="BQ1" s="393" t="n"/>
      <c r="BR1" s="393" t="n"/>
      <c r="BS1" s="393" t="n"/>
      <c r="BT1" s="393" t="n"/>
      <c r="BU1" s="393" t="n"/>
      <c r="BV1" s="393" t="n"/>
      <c r="BW1" s="393" t="n"/>
      <c r="BX1" s="393" t="n"/>
      <c r="BY1" s="393" t="n"/>
      <c r="BZ1" s="393" t="n"/>
      <c r="CA1" s="148" t="n"/>
      <c r="CC1" s="424" t="inlineStr">
        <is>
          <t>Costing of Heating &amp; Pumping Unit 20 KW                           Date :  01.07.2022</t>
        </is>
      </c>
      <c r="CD1" s="393" t="n"/>
      <c r="CE1" s="393" t="n"/>
      <c r="CF1" s="393" t="n"/>
      <c r="CG1" s="393" t="n"/>
      <c r="CH1" s="393" t="n"/>
      <c r="CI1" s="393" t="n"/>
      <c r="CJ1" s="393" t="n"/>
      <c r="CK1" s="393" t="n"/>
      <c r="CL1" s="393" t="n"/>
      <c r="CM1" s="393" t="n"/>
      <c r="CN1" s="393" t="n"/>
      <c r="CO1" s="393" t="n"/>
      <c r="CP1" s="393" t="n"/>
      <c r="CQ1" s="394" t="n"/>
      <c r="CS1" s="424" t="inlineStr">
        <is>
          <t>Costing of Heating &amp; Pumping Unit 24 KW                              Date :  01.07.2022</t>
        </is>
      </c>
      <c r="CT1" s="393" t="n"/>
      <c r="CU1" s="393" t="n"/>
      <c r="CV1" s="393" t="n"/>
      <c r="CW1" s="393" t="n"/>
      <c r="CX1" s="393" t="n"/>
      <c r="CY1" s="393" t="n"/>
      <c r="CZ1" s="393" t="n"/>
      <c r="DA1" s="393" t="n"/>
      <c r="DB1" s="393" t="n"/>
      <c r="DC1" s="393" t="n"/>
      <c r="DD1" s="393" t="n"/>
      <c r="DE1" s="393" t="n"/>
      <c r="DF1" s="393" t="n"/>
      <c r="DG1" s="394" t="n"/>
      <c r="DH1" s="424" t="inlineStr">
        <is>
          <t>Costing of Heating &amp; Pumping Unit 30 KW                             Date :  01.07.2022</t>
        </is>
      </c>
      <c r="DI1" s="393" t="n"/>
      <c r="DJ1" s="393" t="n"/>
      <c r="DK1" s="393" t="n"/>
      <c r="DL1" s="393" t="n"/>
      <c r="DM1" s="393" t="n"/>
      <c r="DN1" s="393" t="n"/>
      <c r="DO1" s="393" t="n"/>
      <c r="DP1" s="393" t="n"/>
      <c r="DQ1" s="393" t="n"/>
      <c r="DR1" s="393" t="n"/>
      <c r="DS1" s="393" t="n"/>
      <c r="DT1" s="393" t="n"/>
      <c r="DU1" s="393" t="n"/>
      <c r="DV1" s="394" t="n"/>
      <c r="DX1" s="424" t="inlineStr">
        <is>
          <t>Costing of Heating &amp; Pumping Unit 36 KW                            Date :  01.07.2022</t>
        </is>
      </c>
      <c r="DY1" s="393" t="n"/>
      <c r="DZ1" s="393" t="n"/>
      <c r="EA1" s="393" t="n"/>
      <c r="EB1" s="393" t="n"/>
      <c r="EC1" s="393" t="n"/>
      <c r="ED1" s="393" t="n"/>
      <c r="EE1" s="393" t="n"/>
      <c r="EF1" s="393" t="n"/>
      <c r="EG1" s="393" t="n"/>
      <c r="EH1" s="393" t="n"/>
      <c r="EI1" s="393" t="n"/>
      <c r="EJ1" s="393" t="n"/>
      <c r="EK1" s="393" t="n"/>
      <c r="EL1" s="394" t="n"/>
      <c r="EN1" s="424" t="inlineStr">
        <is>
          <t>Costing of Heating &amp; Pumping Unit 48 KW                              Date :  01.07.2022</t>
        </is>
      </c>
      <c r="EO1" s="393" t="n"/>
      <c r="EP1" s="393" t="n"/>
      <c r="EQ1" s="393" t="n"/>
      <c r="ER1" s="393" t="n"/>
      <c r="ES1" s="393" t="n"/>
      <c r="ET1" s="393" t="n"/>
      <c r="EU1" s="393" t="n"/>
      <c r="EV1" s="393" t="n"/>
      <c r="EW1" s="393" t="n"/>
      <c r="EX1" s="393" t="n"/>
      <c r="EY1" s="393" t="n"/>
      <c r="EZ1" s="393" t="n"/>
      <c r="FA1" s="393" t="n"/>
      <c r="FB1" s="394" t="n"/>
    </row>
    <row r="2" ht="14.4" customHeight="1" s="307">
      <c r="A2" s="32" t="inlineStr">
        <is>
          <t>Duplex 1</t>
        </is>
      </c>
      <c r="B2" s="32" t="n"/>
      <c r="C2" s="32" t="n"/>
      <c r="D2" s="32" t="n"/>
      <c r="E2" s="32" t="n"/>
      <c r="F2" s="32" t="n"/>
      <c r="G2" s="34" t="inlineStr">
        <is>
          <t>Duplex 2</t>
        </is>
      </c>
      <c r="H2" s="34" t="n"/>
      <c r="I2" s="34" t="n"/>
      <c r="J2" s="34" t="n"/>
      <c r="K2" s="34" t="inlineStr">
        <is>
          <t>Simplex</t>
        </is>
      </c>
      <c r="L2" s="34" t="n"/>
      <c r="M2" s="34" t="n"/>
      <c r="N2" s="34" t="n"/>
      <c r="O2" s="30" t="n"/>
      <c r="Q2" s="32" t="inlineStr">
        <is>
          <t>Duplex 1</t>
        </is>
      </c>
      <c r="R2" s="393" t="n"/>
      <c r="S2" s="393" t="n"/>
      <c r="T2" s="393" t="n"/>
      <c r="U2" s="393" t="n"/>
      <c r="V2" s="394" t="n"/>
      <c r="W2" s="32" t="inlineStr">
        <is>
          <t>Duplex 2</t>
        </is>
      </c>
      <c r="X2" s="393" t="n"/>
      <c r="Y2" s="393" t="n"/>
      <c r="Z2" s="394" t="n"/>
      <c r="AA2" s="32" t="inlineStr">
        <is>
          <t>Simplex</t>
        </is>
      </c>
      <c r="AB2" s="393" t="n"/>
      <c r="AC2" s="393" t="n"/>
      <c r="AD2" s="394" t="n"/>
      <c r="AE2" s="26" t="n"/>
      <c r="AG2" s="32" t="inlineStr">
        <is>
          <t>Duplex 1</t>
        </is>
      </c>
      <c r="AH2" s="393" t="n"/>
      <c r="AI2" s="393" t="n"/>
      <c r="AJ2" s="393" t="n"/>
      <c r="AK2" s="393" t="n"/>
      <c r="AL2" s="394" t="n"/>
      <c r="AM2" s="32" t="inlineStr">
        <is>
          <t>Duplex 2</t>
        </is>
      </c>
      <c r="AN2" s="393" t="n"/>
      <c r="AO2" s="393" t="n"/>
      <c r="AP2" s="394" t="n"/>
      <c r="AQ2" s="32" t="inlineStr">
        <is>
          <t>Simplex</t>
        </is>
      </c>
      <c r="AR2" s="393" t="n"/>
      <c r="AS2" s="393" t="n"/>
      <c r="AT2" s="394" t="n"/>
      <c r="AU2" s="26" t="n"/>
      <c r="AW2" s="32" t="inlineStr">
        <is>
          <t>Duplex 1</t>
        </is>
      </c>
      <c r="AX2" s="393" t="n"/>
      <c r="AY2" s="393" t="n"/>
      <c r="AZ2" s="393" t="n"/>
      <c r="BA2" s="393" t="n"/>
      <c r="BB2" s="394" t="n"/>
      <c r="BC2" s="32" t="inlineStr">
        <is>
          <t>Duplex 2</t>
        </is>
      </c>
      <c r="BD2" s="393" t="n"/>
      <c r="BE2" s="393" t="n"/>
      <c r="BF2" s="394" t="n"/>
      <c r="BG2" s="32" t="inlineStr">
        <is>
          <t>Simplex</t>
        </is>
      </c>
      <c r="BH2" s="393" t="n"/>
      <c r="BI2" s="393" t="n"/>
      <c r="BJ2" s="394" t="n"/>
      <c r="BK2" s="26" t="n"/>
      <c r="BM2" s="32" t="inlineStr">
        <is>
          <t>Duplex 1</t>
        </is>
      </c>
      <c r="BN2" s="393" t="n"/>
      <c r="BO2" s="393" t="n"/>
      <c r="BP2" s="393" t="n"/>
      <c r="BQ2" s="393" t="n"/>
      <c r="BR2" s="394" t="n"/>
      <c r="BS2" s="32" t="inlineStr">
        <is>
          <t>Duplex 2</t>
        </is>
      </c>
      <c r="BT2" s="393" t="n"/>
      <c r="BU2" s="393" t="n"/>
      <c r="BV2" s="394" t="n"/>
      <c r="BW2" s="32" t="inlineStr">
        <is>
          <t>Simplex</t>
        </is>
      </c>
      <c r="BX2" s="393" t="n"/>
      <c r="BY2" s="393" t="n"/>
      <c r="BZ2" s="394" t="n"/>
      <c r="CA2" s="26" t="n"/>
      <c r="CC2" s="32" t="inlineStr">
        <is>
          <t>Duplex 1</t>
        </is>
      </c>
      <c r="CD2" s="393" t="n"/>
      <c r="CE2" s="393" t="n"/>
      <c r="CF2" s="393" t="n"/>
      <c r="CG2" s="393" t="n"/>
      <c r="CH2" s="394" t="n"/>
      <c r="CI2" s="32" t="inlineStr">
        <is>
          <t>Duplex 2</t>
        </is>
      </c>
      <c r="CJ2" s="393" t="n"/>
      <c r="CK2" s="393" t="n"/>
      <c r="CL2" s="394" t="n"/>
      <c r="CM2" s="32" t="inlineStr">
        <is>
          <t>Simplex</t>
        </is>
      </c>
      <c r="CN2" s="393" t="n"/>
      <c r="CO2" s="393" t="n"/>
      <c r="CP2" s="394" t="n"/>
      <c r="CQ2" s="26" t="n"/>
      <c r="CS2" s="32" t="inlineStr">
        <is>
          <t>Duplex 1</t>
        </is>
      </c>
      <c r="CT2" s="393" t="n"/>
      <c r="CU2" s="393" t="n"/>
      <c r="CV2" s="393" t="n"/>
      <c r="CW2" s="393" t="n"/>
      <c r="CX2" s="394" t="n"/>
      <c r="CY2" s="32" t="inlineStr">
        <is>
          <t>Duplex 2</t>
        </is>
      </c>
      <c r="CZ2" s="393" t="n"/>
      <c r="DA2" s="393" t="n"/>
      <c r="DB2" s="394" t="n"/>
      <c r="DC2" s="32" t="inlineStr">
        <is>
          <t>Simplex</t>
        </is>
      </c>
      <c r="DD2" s="393" t="n"/>
      <c r="DE2" s="393" t="n"/>
      <c r="DF2" s="394" t="n"/>
      <c r="DG2" s="26" t="n"/>
      <c r="DH2" s="32" t="inlineStr">
        <is>
          <t>Duplex 1</t>
        </is>
      </c>
      <c r="DI2" s="393" t="n"/>
      <c r="DJ2" s="393" t="n"/>
      <c r="DK2" s="393" t="n"/>
      <c r="DL2" s="393" t="n"/>
      <c r="DM2" s="394" t="n"/>
      <c r="DN2" s="32" t="inlineStr">
        <is>
          <t>Duplex 2</t>
        </is>
      </c>
      <c r="DO2" s="393" t="n"/>
      <c r="DP2" s="393" t="n"/>
      <c r="DQ2" s="394" t="n"/>
      <c r="DR2" s="32" t="inlineStr">
        <is>
          <t>Simplex</t>
        </is>
      </c>
      <c r="DS2" s="393" t="n"/>
      <c r="DT2" s="393" t="n"/>
      <c r="DU2" s="394" t="n"/>
      <c r="DX2" s="32" t="inlineStr">
        <is>
          <t>Duplex 1</t>
        </is>
      </c>
      <c r="DY2" s="393" t="n"/>
      <c r="DZ2" s="393" t="n"/>
      <c r="EA2" s="393" t="n"/>
      <c r="EB2" s="393" t="n"/>
      <c r="EC2" s="394" t="n"/>
      <c r="ED2" s="32" t="inlineStr">
        <is>
          <t>Duplex 2</t>
        </is>
      </c>
      <c r="EE2" s="393" t="n"/>
      <c r="EF2" s="393" t="n"/>
      <c r="EG2" s="394" t="n"/>
      <c r="EH2" s="32" t="inlineStr">
        <is>
          <t>Simplex</t>
        </is>
      </c>
      <c r="EI2" s="393" t="n"/>
      <c r="EJ2" s="393" t="n"/>
      <c r="EK2" s="394" t="n"/>
      <c r="EL2" s="26" t="n"/>
      <c r="EN2" s="32" t="inlineStr">
        <is>
          <t>Duplex 1</t>
        </is>
      </c>
      <c r="EO2" s="393" t="n"/>
      <c r="EP2" s="393" t="n"/>
      <c r="EQ2" s="393" t="n"/>
      <c r="ER2" s="393" t="n"/>
      <c r="ES2" s="394" t="n"/>
      <c r="ET2" s="32" t="inlineStr">
        <is>
          <t>Duplex 2</t>
        </is>
      </c>
      <c r="EU2" s="393" t="n"/>
      <c r="EV2" s="393" t="n"/>
      <c r="EW2" s="394" t="n"/>
      <c r="EX2" s="32" t="inlineStr">
        <is>
          <t>Simplex</t>
        </is>
      </c>
      <c r="EY2" s="393" t="n"/>
      <c r="EZ2" s="393" t="n"/>
      <c r="FA2" s="394" t="n"/>
    </row>
    <row r="3" ht="15.6" customHeight="1" s="307">
      <c r="A3" s="149" t="inlineStr">
        <is>
          <t xml:space="preserve">S No. </t>
        </is>
      </c>
      <c r="B3" s="150" t="inlineStr">
        <is>
          <t xml:space="preserve">Items </t>
        </is>
      </c>
      <c r="C3" s="151" t="inlineStr">
        <is>
          <t>Qty.</t>
        </is>
      </c>
      <c r="D3" s="151" t="inlineStr">
        <is>
          <t>Unit</t>
        </is>
      </c>
      <c r="E3" s="151" t="inlineStr">
        <is>
          <t>Rate</t>
        </is>
      </c>
      <c r="F3" s="151" t="inlineStr">
        <is>
          <t>Amount</t>
        </is>
      </c>
      <c r="G3" s="152" t="n"/>
      <c r="H3" s="152" t="n"/>
      <c r="I3" s="153" t="n"/>
      <c r="J3" s="153" t="n"/>
      <c r="K3" s="153" t="n"/>
      <c r="L3" s="153" t="n"/>
      <c r="M3" s="153" t="n"/>
      <c r="N3" s="153" t="n"/>
      <c r="O3" s="30" t="n"/>
      <c r="Q3" s="149" t="inlineStr">
        <is>
          <t xml:space="preserve">S No. </t>
        </is>
      </c>
      <c r="R3" s="149" t="inlineStr">
        <is>
          <t xml:space="preserve">Items </t>
        </is>
      </c>
      <c r="S3" s="149" t="inlineStr">
        <is>
          <t>Qty.</t>
        </is>
      </c>
      <c r="T3" s="149" t="inlineStr">
        <is>
          <t>Unit</t>
        </is>
      </c>
      <c r="U3" s="149" t="inlineStr">
        <is>
          <t>Rate</t>
        </is>
      </c>
      <c r="V3" s="149" t="inlineStr">
        <is>
          <t>Amount</t>
        </is>
      </c>
      <c r="W3" s="26" t="n"/>
      <c r="X3" s="26" t="n"/>
      <c r="Y3" s="32" t="n"/>
      <c r="Z3" s="32" t="n"/>
      <c r="AA3" s="32" t="n"/>
      <c r="AB3" s="32" t="n"/>
      <c r="AC3" s="32" t="n"/>
      <c r="AD3" s="32" t="n"/>
      <c r="AE3" s="26" t="n"/>
      <c r="AG3" s="425" t="inlineStr">
        <is>
          <t xml:space="preserve">S No. </t>
        </is>
      </c>
      <c r="AH3" s="150" t="inlineStr">
        <is>
          <t xml:space="preserve">Items </t>
        </is>
      </c>
      <c r="AI3" s="150" t="inlineStr">
        <is>
          <t>Qty.</t>
        </is>
      </c>
      <c r="AJ3" s="150" t="inlineStr">
        <is>
          <t>Unit</t>
        </is>
      </c>
      <c r="AK3" s="150" t="inlineStr">
        <is>
          <t>Rate</t>
        </is>
      </c>
      <c r="AL3" s="150" t="inlineStr">
        <is>
          <t>Amount</t>
        </is>
      </c>
      <c r="AM3" s="154" t="n"/>
      <c r="AN3" s="154" t="n"/>
      <c r="AO3" s="155" t="n"/>
      <c r="AP3" s="155" t="n"/>
      <c r="AQ3" s="155" t="n"/>
      <c r="AR3" s="155" t="n"/>
      <c r="AS3" s="155" t="n"/>
      <c r="AT3" s="155" t="n"/>
      <c r="AU3" s="26" t="n"/>
      <c r="AW3" s="425" t="inlineStr">
        <is>
          <t xml:space="preserve">S No. </t>
        </is>
      </c>
      <c r="AX3" s="150" t="inlineStr">
        <is>
          <t xml:space="preserve">Items </t>
        </is>
      </c>
      <c r="AY3" s="150" t="inlineStr">
        <is>
          <t>Qty.</t>
        </is>
      </c>
      <c r="AZ3" s="150" t="inlineStr">
        <is>
          <t>Unit</t>
        </is>
      </c>
      <c r="BA3" s="150" t="inlineStr">
        <is>
          <t>Rate</t>
        </is>
      </c>
      <c r="BB3" s="150" t="inlineStr">
        <is>
          <t>Amount</t>
        </is>
      </c>
      <c r="BC3" s="154" t="n"/>
      <c r="BD3" s="154" t="n"/>
      <c r="BE3" s="155" t="n"/>
      <c r="BF3" s="155" t="n"/>
      <c r="BG3" s="155" t="n"/>
      <c r="BH3" s="155" t="n"/>
      <c r="BI3" s="155" t="n"/>
      <c r="BJ3" s="155" t="n"/>
      <c r="BK3" s="26" t="n"/>
      <c r="BM3" s="425" t="inlineStr">
        <is>
          <t xml:space="preserve">S No. </t>
        </is>
      </c>
      <c r="BN3" s="150" t="inlineStr">
        <is>
          <t xml:space="preserve">Items </t>
        </is>
      </c>
      <c r="BO3" s="150" t="inlineStr">
        <is>
          <t>Qty.</t>
        </is>
      </c>
      <c r="BP3" s="150" t="inlineStr">
        <is>
          <t>Unit</t>
        </is>
      </c>
      <c r="BQ3" s="150" t="inlineStr">
        <is>
          <t>Rate</t>
        </is>
      </c>
      <c r="BR3" s="150" t="inlineStr">
        <is>
          <t>Amount</t>
        </is>
      </c>
      <c r="BS3" s="154" t="n"/>
      <c r="BT3" s="154" t="n"/>
      <c r="BU3" s="155" t="n"/>
      <c r="BV3" s="155" t="n"/>
      <c r="BW3" s="155" t="n"/>
      <c r="BX3" s="155" t="n"/>
      <c r="BY3" s="155" t="n"/>
      <c r="BZ3" s="155" t="n"/>
      <c r="CA3" s="26" t="n"/>
      <c r="CC3" s="425" t="inlineStr">
        <is>
          <t xml:space="preserve">S No. </t>
        </is>
      </c>
      <c r="CD3" s="150" t="inlineStr">
        <is>
          <t xml:space="preserve">Items </t>
        </is>
      </c>
      <c r="CE3" s="150" t="inlineStr">
        <is>
          <t>Qty.</t>
        </is>
      </c>
      <c r="CF3" s="150" t="inlineStr">
        <is>
          <t>Unit</t>
        </is>
      </c>
      <c r="CG3" s="150" t="inlineStr">
        <is>
          <t>Rate</t>
        </is>
      </c>
      <c r="CH3" s="150" t="inlineStr">
        <is>
          <t>Amount</t>
        </is>
      </c>
      <c r="CI3" s="154" t="n"/>
      <c r="CJ3" s="154" t="n"/>
      <c r="CK3" s="155" t="n"/>
      <c r="CL3" s="155" t="n"/>
      <c r="CM3" s="155" t="n"/>
      <c r="CN3" s="155" t="n"/>
      <c r="CO3" s="155" t="n"/>
      <c r="CP3" s="155" t="n"/>
      <c r="CS3" s="425" t="inlineStr">
        <is>
          <t xml:space="preserve">S No. </t>
        </is>
      </c>
      <c r="CT3" s="150" t="inlineStr">
        <is>
          <t xml:space="preserve">Items </t>
        </is>
      </c>
      <c r="CU3" s="150" t="inlineStr">
        <is>
          <t>Qty.</t>
        </is>
      </c>
      <c r="CV3" s="150" t="inlineStr">
        <is>
          <t>Unit</t>
        </is>
      </c>
      <c r="CW3" s="150" t="inlineStr">
        <is>
          <t>Rate</t>
        </is>
      </c>
      <c r="CX3" s="150" t="inlineStr">
        <is>
          <t>Amount</t>
        </is>
      </c>
      <c r="CY3" s="154" t="n"/>
      <c r="CZ3" s="154" t="n"/>
      <c r="DA3" s="155" t="n"/>
      <c r="DB3" s="155" t="n"/>
      <c r="DC3" s="155" t="n"/>
      <c r="DD3" s="155" t="n"/>
      <c r="DE3" s="155" t="n"/>
      <c r="DF3" s="155" t="n"/>
      <c r="DG3" s="26" t="n"/>
      <c r="DH3" s="425" t="inlineStr">
        <is>
          <t xml:space="preserve">S No. </t>
        </is>
      </c>
      <c r="DI3" s="150" t="inlineStr">
        <is>
          <t xml:space="preserve">Items </t>
        </is>
      </c>
      <c r="DJ3" s="150" t="inlineStr">
        <is>
          <t>Qty.</t>
        </is>
      </c>
      <c r="DK3" s="150" t="inlineStr">
        <is>
          <t>Unit</t>
        </is>
      </c>
      <c r="DL3" s="150" t="inlineStr">
        <is>
          <t>Rate</t>
        </is>
      </c>
      <c r="DM3" s="150" t="inlineStr">
        <is>
          <t>Amount</t>
        </is>
      </c>
      <c r="DN3" s="154" t="n"/>
      <c r="DO3" s="154" t="n"/>
      <c r="DP3" s="155" t="n"/>
      <c r="DQ3" s="155" t="n"/>
      <c r="DR3" s="155" t="n"/>
      <c r="DS3" s="155" t="n"/>
      <c r="DT3" s="155" t="n"/>
      <c r="DU3" s="155" t="n"/>
      <c r="DV3" s="26" t="n"/>
      <c r="DX3" s="425" t="inlineStr">
        <is>
          <t xml:space="preserve">S No. </t>
        </is>
      </c>
      <c r="DY3" s="150" t="inlineStr">
        <is>
          <t xml:space="preserve">Items </t>
        </is>
      </c>
      <c r="DZ3" s="150" t="inlineStr">
        <is>
          <t>Qty.</t>
        </is>
      </c>
      <c r="EA3" s="150" t="inlineStr">
        <is>
          <t>Unit</t>
        </is>
      </c>
      <c r="EB3" s="150" t="inlineStr">
        <is>
          <t>Rate</t>
        </is>
      </c>
      <c r="EC3" s="150" t="inlineStr">
        <is>
          <t>Amount</t>
        </is>
      </c>
      <c r="ED3" s="154" t="n"/>
      <c r="EE3" s="154" t="n"/>
      <c r="EF3" s="155" t="n"/>
      <c r="EG3" s="155" t="n"/>
      <c r="EH3" s="155" t="n"/>
      <c r="EI3" s="155" t="n"/>
      <c r="EJ3" s="155" t="n"/>
      <c r="EK3" s="155" t="n"/>
      <c r="EL3" s="26" t="n"/>
      <c r="EN3" s="425" t="inlineStr">
        <is>
          <t xml:space="preserve">S No. </t>
        </is>
      </c>
      <c r="EO3" s="150" t="inlineStr">
        <is>
          <t xml:space="preserve">Items </t>
        </is>
      </c>
      <c r="EP3" s="150" t="inlineStr">
        <is>
          <t>Qty.</t>
        </is>
      </c>
      <c r="EQ3" s="150" t="inlineStr">
        <is>
          <t>Unit</t>
        </is>
      </c>
      <c r="ER3" s="150" t="inlineStr">
        <is>
          <t>Rate</t>
        </is>
      </c>
      <c r="ES3" s="150" t="inlineStr">
        <is>
          <t>Amount</t>
        </is>
      </c>
      <c r="ET3" s="154" t="n"/>
      <c r="EU3" s="154" t="n"/>
      <c r="EV3" s="155" t="n"/>
      <c r="EW3" s="155" t="n"/>
      <c r="EX3" s="155" t="n"/>
      <c r="EY3" s="155" t="n"/>
      <c r="EZ3" s="155" t="n"/>
      <c r="FA3" s="155" t="n"/>
      <c r="FB3" s="26" t="n"/>
      <c r="FE3" s="156" t="n"/>
      <c r="FF3" s="157" t="n"/>
      <c r="FG3" s="157" t="n"/>
      <c r="FH3" s="157" t="n"/>
      <c r="FI3" s="157" t="n"/>
      <c r="FJ3" s="157" t="n"/>
      <c r="FK3" s="157" t="n"/>
      <c r="FL3" s="158" t="n"/>
    </row>
    <row r="4" ht="15.6" customHeight="1" s="307">
      <c r="A4" s="149" t="n"/>
      <c r="B4" s="149" t="n"/>
      <c r="C4" s="159" t="n"/>
      <c r="D4" s="159" t="n"/>
      <c r="E4" s="159" t="n"/>
      <c r="F4" s="159" t="n"/>
      <c r="G4" s="34" t="inlineStr">
        <is>
          <t>Qty.</t>
        </is>
      </c>
      <c r="H4" s="34" t="inlineStr">
        <is>
          <t>Unit</t>
        </is>
      </c>
      <c r="I4" s="34" t="inlineStr">
        <is>
          <t>Rate</t>
        </is>
      </c>
      <c r="J4" s="34" t="inlineStr">
        <is>
          <t>Amount</t>
        </is>
      </c>
      <c r="K4" s="34" t="inlineStr">
        <is>
          <t>Qty.</t>
        </is>
      </c>
      <c r="L4" s="34" t="inlineStr">
        <is>
          <t>Unit</t>
        </is>
      </c>
      <c r="M4" s="34" t="inlineStr">
        <is>
          <t>Rate</t>
        </is>
      </c>
      <c r="N4" s="34" t="inlineStr">
        <is>
          <t>Amount</t>
        </is>
      </c>
      <c r="O4" s="34" t="inlineStr">
        <is>
          <t>Pre. Price</t>
        </is>
      </c>
      <c r="Q4" s="426" t="n"/>
      <c r="R4" s="426" t="n"/>
      <c r="S4" s="426" t="n"/>
      <c r="T4" s="426" t="n"/>
      <c r="U4" s="426" t="n"/>
      <c r="V4" s="426" t="n"/>
      <c r="W4" s="33" t="inlineStr">
        <is>
          <t>Qty.</t>
        </is>
      </c>
      <c r="X4" s="33" t="inlineStr">
        <is>
          <t>Unit</t>
        </is>
      </c>
      <c r="Y4" s="33" t="inlineStr">
        <is>
          <t>Rate</t>
        </is>
      </c>
      <c r="Z4" s="33" t="inlineStr">
        <is>
          <t>Amount</t>
        </is>
      </c>
      <c r="AA4" s="33" t="inlineStr">
        <is>
          <t>Qty.</t>
        </is>
      </c>
      <c r="AB4" s="33" t="inlineStr">
        <is>
          <t>Unit</t>
        </is>
      </c>
      <c r="AC4" s="33" t="inlineStr">
        <is>
          <t>Rate</t>
        </is>
      </c>
      <c r="AD4" s="33" t="inlineStr">
        <is>
          <t>Amount</t>
        </is>
      </c>
      <c r="AE4" s="33" t="inlineStr">
        <is>
          <t>Pre. Price</t>
        </is>
      </c>
      <c r="AG4" s="427" t="n"/>
      <c r="AH4" s="426" t="n"/>
      <c r="AI4" s="426" t="n"/>
      <c r="AJ4" s="426" t="n"/>
      <c r="AK4" s="426" t="n"/>
      <c r="AL4" s="426" t="n"/>
      <c r="AM4" s="33" t="inlineStr">
        <is>
          <t>Qty.</t>
        </is>
      </c>
      <c r="AN4" s="33" t="inlineStr">
        <is>
          <t>Unit</t>
        </is>
      </c>
      <c r="AO4" s="33" t="inlineStr">
        <is>
          <t>Rate</t>
        </is>
      </c>
      <c r="AP4" s="33" t="inlineStr">
        <is>
          <t>Amount</t>
        </is>
      </c>
      <c r="AQ4" s="33" t="inlineStr">
        <is>
          <t>Qty.</t>
        </is>
      </c>
      <c r="AR4" s="33" t="inlineStr">
        <is>
          <t>Unit</t>
        </is>
      </c>
      <c r="AS4" s="33" t="inlineStr">
        <is>
          <t>Rate</t>
        </is>
      </c>
      <c r="AT4" s="33" t="inlineStr">
        <is>
          <t>Amount</t>
        </is>
      </c>
      <c r="AU4" s="33" t="inlineStr">
        <is>
          <t>Pre. Price</t>
        </is>
      </c>
      <c r="AW4" s="427" t="n"/>
      <c r="AX4" s="426" t="n"/>
      <c r="AY4" s="426" t="n"/>
      <c r="AZ4" s="426" t="n"/>
      <c r="BA4" s="426" t="n"/>
      <c r="BB4" s="426" t="n"/>
      <c r="BC4" s="33" t="inlineStr">
        <is>
          <t>Qty.</t>
        </is>
      </c>
      <c r="BD4" s="33" t="inlineStr">
        <is>
          <t>Unit</t>
        </is>
      </c>
      <c r="BE4" s="33" t="inlineStr">
        <is>
          <t>Rate</t>
        </is>
      </c>
      <c r="BF4" s="33" t="inlineStr">
        <is>
          <t>Amount</t>
        </is>
      </c>
      <c r="BG4" s="33" t="inlineStr">
        <is>
          <t>Qty.</t>
        </is>
      </c>
      <c r="BH4" s="33" t="inlineStr">
        <is>
          <t>Unit</t>
        </is>
      </c>
      <c r="BI4" s="33" t="inlineStr">
        <is>
          <t>Rate</t>
        </is>
      </c>
      <c r="BJ4" s="33" t="inlineStr">
        <is>
          <t>Amount</t>
        </is>
      </c>
      <c r="BK4" s="33" t="inlineStr">
        <is>
          <t>Pre. Price</t>
        </is>
      </c>
      <c r="BM4" s="427" t="n"/>
      <c r="BN4" s="426" t="n"/>
      <c r="BO4" s="426" t="n"/>
      <c r="BP4" s="426" t="n"/>
      <c r="BQ4" s="426" t="n"/>
      <c r="BR4" s="426" t="n"/>
      <c r="BS4" s="33" t="inlineStr">
        <is>
          <t>Qty.</t>
        </is>
      </c>
      <c r="BT4" s="33" t="inlineStr">
        <is>
          <t>Unit</t>
        </is>
      </c>
      <c r="BU4" s="33" t="inlineStr">
        <is>
          <t>Rate</t>
        </is>
      </c>
      <c r="BV4" s="33" t="inlineStr">
        <is>
          <t>Amount</t>
        </is>
      </c>
      <c r="BW4" s="33" t="inlineStr">
        <is>
          <t>Qty.</t>
        </is>
      </c>
      <c r="BX4" s="33" t="inlineStr">
        <is>
          <t>Unit</t>
        </is>
      </c>
      <c r="BY4" s="33" t="inlineStr">
        <is>
          <t>Rate</t>
        </is>
      </c>
      <c r="BZ4" s="33" t="inlineStr">
        <is>
          <t>Amount</t>
        </is>
      </c>
      <c r="CA4" s="33" t="inlineStr">
        <is>
          <t>Pre. Price</t>
        </is>
      </c>
      <c r="CC4" s="427" t="n"/>
      <c r="CD4" s="426" t="n"/>
      <c r="CE4" s="426" t="n"/>
      <c r="CF4" s="426" t="n"/>
      <c r="CG4" s="426" t="n"/>
      <c r="CH4" s="426" t="n"/>
      <c r="CI4" s="33" t="inlineStr">
        <is>
          <t>Qty.</t>
        </is>
      </c>
      <c r="CJ4" s="33" t="inlineStr">
        <is>
          <t>Unit</t>
        </is>
      </c>
      <c r="CK4" s="33" t="inlineStr">
        <is>
          <t>Rate</t>
        </is>
      </c>
      <c r="CL4" s="33" t="inlineStr">
        <is>
          <t>Amount</t>
        </is>
      </c>
      <c r="CM4" s="33" t="inlineStr">
        <is>
          <t>Qty.</t>
        </is>
      </c>
      <c r="CN4" s="33" t="inlineStr">
        <is>
          <t>Unit</t>
        </is>
      </c>
      <c r="CO4" s="33" t="inlineStr">
        <is>
          <t>Rate</t>
        </is>
      </c>
      <c r="CP4" s="33" t="inlineStr">
        <is>
          <t>Amount</t>
        </is>
      </c>
      <c r="CQ4" s="33" t="inlineStr">
        <is>
          <t>Pre.Price</t>
        </is>
      </c>
      <c r="CS4" s="427" t="n"/>
      <c r="CT4" s="426" t="n"/>
      <c r="CU4" s="426" t="n"/>
      <c r="CV4" s="426" t="n"/>
      <c r="CW4" s="426" t="n"/>
      <c r="CX4" s="426" t="n"/>
      <c r="CY4" s="33" t="inlineStr">
        <is>
          <t>Qty.</t>
        </is>
      </c>
      <c r="CZ4" s="33" t="inlineStr">
        <is>
          <t>Unit</t>
        </is>
      </c>
      <c r="DA4" s="33" t="inlineStr">
        <is>
          <t>Rate</t>
        </is>
      </c>
      <c r="DB4" s="33" t="inlineStr">
        <is>
          <t>Amount</t>
        </is>
      </c>
      <c r="DC4" s="33" t="inlineStr">
        <is>
          <t>Qty.</t>
        </is>
      </c>
      <c r="DD4" s="33" t="inlineStr">
        <is>
          <t>Unit</t>
        </is>
      </c>
      <c r="DE4" s="33" t="inlineStr">
        <is>
          <t>Rate</t>
        </is>
      </c>
      <c r="DF4" s="33" t="inlineStr">
        <is>
          <t>Amount</t>
        </is>
      </c>
      <c r="DG4" s="26" t="n"/>
      <c r="DH4" s="427" t="n"/>
      <c r="DI4" s="426" t="n"/>
      <c r="DJ4" s="426" t="n"/>
      <c r="DK4" s="426" t="n"/>
      <c r="DL4" s="426" t="n"/>
      <c r="DM4" s="426" t="n"/>
      <c r="DN4" s="33" t="inlineStr">
        <is>
          <t>Qty.</t>
        </is>
      </c>
      <c r="DO4" s="33" t="inlineStr">
        <is>
          <t>Unit</t>
        </is>
      </c>
      <c r="DP4" s="33" t="inlineStr">
        <is>
          <t>Rate</t>
        </is>
      </c>
      <c r="DQ4" s="33" t="inlineStr">
        <is>
          <t>Amount</t>
        </is>
      </c>
      <c r="DR4" s="33" t="inlineStr">
        <is>
          <t>Qty.</t>
        </is>
      </c>
      <c r="DS4" s="33" t="inlineStr">
        <is>
          <t>Unit</t>
        </is>
      </c>
      <c r="DT4" s="33" t="inlineStr">
        <is>
          <t>Rate</t>
        </is>
      </c>
      <c r="DU4" s="33" t="inlineStr">
        <is>
          <t>Amount</t>
        </is>
      </c>
      <c r="DV4" s="33" t="inlineStr">
        <is>
          <t>Pre. Price</t>
        </is>
      </c>
      <c r="DX4" s="427" t="n"/>
      <c r="DY4" s="426" t="n"/>
      <c r="DZ4" s="426" t="n"/>
      <c r="EA4" s="426" t="n"/>
      <c r="EB4" s="426" t="n"/>
      <c r="EC4" s="426" t="n"/>
      <c r="ED4" s="33" t="inlineStr">
        <is>
          <t>Qty.</t>
        </is>
      </c>
      <c r="EE4" s="33" t="inlineStr">
        <is>
          <t>Unit</t>
        </is>
      </c>
      <c r="EF4" s="33" t="inlineStr">
        <is>
          <t>Rate</t>
        </is>
      </c>
      <c r="EG4" s="33" t="inlineStr">
        <is>
          <t>Amount</t>
        </is>
      </c>
      <c r="EH4" s="33" t="inlineStr">
        <is>
          <t>Qty.</t>
        </is>
      </c>
      <c r="EI4" s="33" t="inlineStr">
        <is>
          <t>Unit</t>
        </is>
      </c>
      <c r="EJ4" s="33" t="inlineStr">
        <is>
          <t>Rate</t>
        </is>
      </c>
      <c r="EK4" s="33" t="inlineStr">
        <is>
          <t>Amount</t>
        </is>
      </c>
      <c r="EL4" s="33" t="inlineStr">
        <is>
          <t>Pre Price</t>
        </is>
      </c>
      <c r="EN4" s="427" t="n"/>
      <c r="EO4" s="426" t="n"/>
      <c r="EP4" s="426" t="n"/>
      <c r="EQ4" s="426" t="n"/>
      <c r="ER4" s="426" t="n"/>
      <c r="ES4" s="426" t="n"/>
      <c r="ET4" s="33" t="inlineStr">
        <is>
          <t>Qty.</t>
        </is>
      </c>
      <c r="EU4" s="33" t="inlineStr">
        <is>
          <t>Unit</t>
        </is>
      </c>
      <c r="EV4" s="33" t="inlineStr">
        <is>
          <t>Rate</t>
        </is>
      </c>
      <c r="EW4" s="33" t="inlineStr">
        <is>
          <t>Amount</t>
        </is>
      </c>
      <c r="EX4" s="33" t="inlineStr">
        <is>
          <t>Qty.</t>
        </is>
      </c>
      <c r="EY4" s="33" t="inlineStr">
        <is>
          <t>Unit</t>
        </is>
      </c>
      <c r="EZ4" s="33" t="inlineStr">
        <is>
          <t>Rate</t>
        </is>
      </c>
      <c r="FA4" s="33" t="inlineStr">
        <is>
          <t>Amount</t>
        </is>
      </c>
      <c r="FB4" s="33" t="inlineStr">
        <is>
          <t>Pre. Price</t>
        </is>
      </c>
      <c r="FE4" s="160" t="n"/>
      <c r="FF4" s="161" t="n"/>
      <c r="FG4" s="162" t="n"/>
      <c r="FH4" s="163" t="n"/>
      <c r="FI4" s="162" t="n"/>
      <c r="FJ4" s="163" t="n"/>
      <c r="FK4" s="162" t="n"/>
      <c r="FL4" s="163" t="n"/>
    </row>
    <row r="5" ht="15.6" customHeight="1" s="307">
      <c r="A5" s="26" t="n">
        <v>1</v>
      </c>
      <c r="B5" s="26" t="inlineStr">
        <is>
          <t>M.S Channel 75x40(2700 mm long)</t>
        </is>
      </c>
      <c r="C5" s="30" t="n">
        <v>20</v>
      </c>
      <c r="D5" s="30" t="inlineStr">
        <is>
          <t>Kg</t>
        </is>
      </c>
      <c r="E5" s="164">
        <f>Rates!C10</f>
        <v/>
      </c>
      <c r="F5" s="159">
        <f>C5*E5</f>
        <v/>
      </c>
      <c r="G5" s="30" t="n">
        <v>25.9</v>
      </c>
      <c r="H5" s="30" t="inlineStr">
        <is>
          <t>kg</t>
        </is>
      </c>
      <c r="I5" s="164">
        <f>E5</f>
        <v/>
      </c>
      <c r="J5" s="34">
        <f>G5*I5</f>
        <v/>
      </c>
      <c r="K5" s="30" t="n">
        <v>20</v>
      </c>
      <c r="L5" s="30" t="inlineStr">
        <is>
          <t>Kg</t>
        </is>
      </c>
      <c r="M5" s="164">
        <f>I5</f>
        <v/>
      </c>
      <c r="N5" s="159">
        <f>K5*M5</f>
        <v/>
      </c>
      <c r="O5" s="30" t="n">
        <v>71</v>
      </c>
      <c r="Q5" s="26" t="n">
        <v>1</v>
      </c>
      <c r="R5" s="26" t="inlineStr">
        <is>
          <t>M.S Channel 75x40(2700 mm long)</t>
        </is>
      </c>
      <c r="S5" s="26" t="n">
        <v>20</v>
      </c>
      <c r="T5" s="26" t="inlineStr">
        <is>
          <t>Kg</t>
        </is>
      </c>
      <c r="U5" s="165">
        <f>Rates!C10</f>
        <v/>
      </c>
      <c r="V5" s="166">
        <f>S5*U5</f>
        <v/>
      </c>
      <c r="W5" s="26" t="n">
        <v>25.9</v>
      </c>
      <c r="X5" s="26" t="inlineStr">
        <is>
          <t>kg</t>
        </is>
      </c>
      <c r="Y5" s="165">
        <f>U5</f>
        <v/>
      </c>
      <c r="Z5" s="33">
        <f>W5*Y5</f>
        <v/>
      </c>
      <c r="AA5" s="26" t="n">
        <v>20</v>
      </c>
      <c r="AB5" s="26" t="inlineStr">
        <is>
          <t>Kg</t>
        </is>
      </c>
      <c r="AC5" s="165">
        <f>U5</f>
        <v/>
      </c>
      <c r="AD5" s="166">
        <f>AA5*AC5</f>
        <v/>
      </c>
      <c r="AE5" s="165" t="n">
        <v>71</v>
      </c>
      <c r="AG5" s="167" t="n">
        <v>1</v>
      </c>
      <c r="AH5" s="26" t="inlineStr">
        <is>
          <t>M.S Channel 75x40(2900 mm long)</t>
        </is>
      </c>
      <c r="AI5" s="26" t="n">
        <v>21.4</v>
      </c>
      <c r="AJ5" s="26" t="inlineStr">
        <is>
          <t>Kg</t>
        </is>
      </c>
      <c r="AK5" s="165">
        <f>Rates!C10</f>
        <v/>
      </c>
      <c r="AL5" s="166">
        <f>AI5*AK5</f>
        <v/>
      </c>
      <c r="AM5" s="26" t="n">
        <v>42.8</v>
      </c>
      <c r="AN5" s="26" t="inlineStr">
        <is>
          <t>kg</t>
        </is>
      </c>
      <c r="AO5" s="165">
        <f>AK5</f>
        <v/>
      </c>
      <c r="AP5" s="33">
        <f>AM5*AO5</f>
        <v/>
      </c>
      <c r="AQ5" s="26" t="n">
        <v>21.4</v>
      </c>
      <c r="AR5" s="26" t="inlineStr">
        <is>
          <t>Kg</t>
        </is>
      </c>
      <c r="AS5" s="165">
        <f>AK5</f>
        <v/>
      </c>
      <c r="AT5" s="166">
        <f>AQ5*AS5</f>
        <v/>
      </c>
      <c r="AU5" s="26" t="n">
        <v>71</v>
      </c>
      <c r="AW5" s="167" t="n">
        <v>1</v>
      </c>
      <c r="AX5" s="26" t="inlineStr">
        <is>
          <t>M.S Channel 75x40(3200 mm long)</t>
        </is>
      </c>
      <c r="AY5" s="26" t="n">
        <v>22.8</v>
      </c>
      <c r="AZ5" s="26" t="inlineStr">
        <is>
          <t>Kg</t>
        </is>
      </c>
      <c r="BA5" s="165">
        <f>Rates!C10</f>
        <v/>
      </c>
      <c r="BB5" s="166">
        <f>AY5*BA5</f>
        <v/>
      </c>
      <c r="BC5" s="26" t="n">
        <v>45.6</v>
      </c>
      <c r="BD5" s="26" t="inlineStr">
        <is>
          <t>kg</t>
        </is>
      </c>
      <c r="BE5" s="165">
        <f>BA5</f>
        <v/>
      </c>
      <c r="BF5" s="33">
        <f>BC5*BE5</f>
        <v/>
      </c>
      <c r="BG5" s="26" t="n">
        <v>22.8</v>
      </c>
      <c r="BH5" s="26" t="inlineStr">
        <is>
          <t>Kg</t>
        </is>
      </c>
      <c r="BI5" s="165">
        <f>BA5</f>
        <v/>
      </c>
      <c r="BJ5" s="166">
        <f>BG5*BI5</f>
        <v/>
      </c>
      <c r="BK5" s="26" t="n">
        <v>71</v>
      </c>
      <c r="BM5" s="167" t="n">
        <v>1</v>
      </c>
      <c r="BN5" s="26" t="inlineStr">
        <is>
          <t>M.S Channel 75x40(3200 mm long)</t>
        </is>
      </c>
      <c r="BO5" s="26" t="n">
        <v>22.8</v>
      </c>
      <c r="BP5" s="26" t="inlineStr">
        <is>
          <t>Kg</t>
        </is>
      </c>
      <c r="BQ5" s="165">
        <f>Rates!C10</f>
        <v/>
      </c>
      <c r="BR5" s="166">
        <f>BO5*BQ5</f>
        <v/>
      </c>
      <c r="BS5" s="26" t="n">
        <v>45.6</v>
      </c>
      <c r="BT5" s="26" t="inlineStr">
        <is>
          <t>kg</t>
        </is>
      </c>
      <c r="BU5" s="165">
        <f>BQ5</f>
        <v/>
      </c>
      <c r="BV5" s="33">
        <f>BS5*BU5</f>
        <v/>
      </c>
      <c r="BW5" s="26" t="n">
        <v>22.8</v>
      </c>
      <c r="BX5" s="26" t="inlineStr">
        <is>
          <t>Kg</t>
        </is>
      </c>
      <c r="BY5" s="165">
        <f>BQ5</f>
        <v/>
      </c>
      <c r="BZ5" s="166">
        <f>BW5*BY5</f>
        <v/>
      </c>
      <c r="CA5" s="26" t="n">
        <v>71</v>
      </c>
      <c r="CC5" s="167" t="n">
        <v>1</v>
      </c>
      <c r="CD5" s="26" t="inlineStr">
        <is>
          <t>M.S Channel 75x40(3400 mm long)</t>
        </is>
      </c>
      <c r="CE5" s="26" t="n">
        <v>25</v>
      </c>
      <c r="CF5" s="26" t="inlineStr">
        <is>
          <t>Kg</t>
        </is>
      </c>
      <c r="CG5" s="165">
        <f>Rates!C10</f>
        <v/>
      </c>
      <c r="CH5" s="166">
        <f>CE5*CG5</f>
        <v/>
      </c>
      <c r="CI5" s="26" t="n">
        <v>48</v>
      </c>
      <c r="CJ5" s="26" t="inlineStr">
        <is>
          <t>kg</t>
        </is>
      </c>
      <c r="CK5" s="165">
        <f>CG5</f>
        <v/>
      </c>
      <c r="CL5" s="33">
        <f>CI5*CK5</f>
        <v/>
      </c>
      <c r="CM5" s="26" t="n">
        <v>25</v>
      </c>
      <c r="CN5" s="26" t="inlineStr">
        <is>
          <t>Kg</t>
        </is>
      </c>
      <c r="CO5" s="165">
        <f>CG5</f>
        <v/>
      </c>
      <c r="CP5" s="166">
        <f>CM5*CO5</f>
        <v/>
      </c>
      <c r="CQ5" s="26" t="n">
        <v>71</v>
      </c>
      <c r="CS5" s="167" t="n">
        <v>1</v>
      </c>
      <c r="CT5" s="26" t="inlineStr">
        <is>
          <t>M.S Channel 75x40(3600 mm long)</t>
        </is>
      </c>
      <c r="CU5" s="26" t="n">
        <v>25.7</v>
      </c>
      <c r="CV5" s="26" t="inlineStr">
        <is>
          <t>Kg</t>
        </is>
      </c>
      <c r="CW5" s="165">
        <f>Rates!C10</f>
        <v/>
      </c>
      <c r="CX5" s="166">
        <f>CU5*CW5</f>
        <v/>
      </c>
      <c r="CY5" s="26" t="n">
        <v>51.4</v>
      </c>
      <c r="CZ5" s="26" t="inlineStr">
        <is>
          <t>kg</t>
        </is>
      </c>
      <c r="DA5" s="165">
        <f>CW5</f>
        <v/>
      </c>
      <c r="DB5" s="33">
        <f>CY5*DA5</f>
        <v/>
      </c>
      <c r="DC5" s="26" t="n">
        <v>25.7</v>
      </c>
      <c r="DD5" s="26" t="inlineStr">
        <is>
          <t>Kg</t>
        </is>
      </c>
      <c r="DE5" s="165">
        <f>CW5</f>
        <v/>
      </c>
      <c r="DF5" s="166">
        <f>DC5*DE5</f>
        <v/>
      </c>
      <c r="DG5" s="26">
        <f>DF5-CP5</f>
        <v/>
      </c>
      <c r="DH5" s="167" t="n">
        <v>1</v>
      </c>
      <c r="DI5" s="26" t="inlineStr">
        <is>
          <t>M.S Channel 75x40(3600 mm long)</t>
        </is>
      </c>
      <c r="DJ5" s="26" t="n">
        <v>25.7</v>
      </c>
      <c r="DK5" s="26" t="inlineStr">
        <is>
          <t>Kg</t>
        </is>
      </c>
      <c r="DL5" s="165">
        <f>Rates!C10</f>
        <v/>
      </c>
      <c r="DM5" s="166">
        <f>DJ5*DL5</f>
        <v/>
      </c>
      <c r="DN5" s="26" t="n">
        <v>51.4</v>
      </c>
      <c r="DO5" s="26" t="inlineStr">
        <is>
          <t>kg</t>
        </is>
      </c>
      <c r="DP5" s="165">
        <f>DL5</f>
        <v/>
      </c>
      <c r="DQ5" s="33">
        <f>DN5*DP5</f>
        <v/>
      </c>
      <c r="DR5" s="26" t="n">
        <v>25.7</v>
      </c>
      <c r="DS5" s="26" t="inlineStr">
        <is>
          <t>Kg</t>
        </is>
      </c>
      <c r="DT5" s="165">
        <f>DL5</f>
        <v/>
      </c>
      <c r="DU5" s="166">
        <f>DR5*DT5</f>
        <v/>
      </c>
      <c r="DV5" s="26" t="n">
        <v>71</v>
      </c>
      <c r="DX5" s="167" t="n">
        <v>1</v>
      </c>
      <c r="DY5" s="26" t="inlineStr">
        <is>
          <t>M.S Channel 75x40(3600 mm long)</t>
        </is>
      </c>
      <c r="DZ5" s="26" t="n">
        <v>25.7</v>
      </c>
      <c r="EA5" s="26" t="inlineStr">
        <is>
          <t>Kg</t>
        </is>
      </c>
      <c r="EB5" s="165">
        <f>Rates!C10</f>
        <v/>
      </c>
      <c r="EC5" s="166">
        <f>DZ5*EB5</f>
        <v/>
      </c>
      <c r="ED5" s="26" t="n">
        <v>51.4</v>
      </c>
      <c r="EE5" s="26" t="inlineStr">
        <is>
          <t>kg</t>
        </is>
      </c>
      <c r="EF5" s="165">
        <f>EB5</f>
        <v/>
      </c>
      <c r="EG5" s="33">
        <f>ED5*EF5</f>
        <v/>
      </c>
      <c r="EH5" s="26" t="n">
        <v>25.7</v>
      </c>
      <c r="EI5" s="26" t="inlineStr">
        <is>
          <t>Kg</t>
        </is>
      </c>
      <c r="EJ5" s="165">
        <f>EB5</f>
        <v/>
      </c>
      <c r="EK5" s="166">
        <f>EH5*EJ5</f>
        <v/>
      </c>
      <c r="EL5" s="26" t="n">
        <v>71</v>
      </c>
      <c r="EN5" s="167" t="n">
        <v>1</v>
      </c>
      <c r="EO5" s="26" t="inlineStr">
        <is>
          <t>M.S Channel 100x50( 5 mtr. long)</t>
        </is>
      </c>
      <c r="EP5" s="26" t="n">
        <v>47.8</v>
      </c>
      <c r="EQ5" s="26" t="inlineStr">
        <is>
          <t>Kg</t>
        </is>
      </c>
      <c r="ER5" s="165">
        <f>Rates!C10</f>
        <v/>
      </c>
      <c r="ES5" s="166">
        <f>EP5*ER5</f>
        <v/>
      </c>
      <c r="ET5" s="26" t="n">
        <v>68.8</v>
      </c>
      <c r="EU5" s="26" t="inlineStr">
        <is>
          <t>kg</t>
        </is>
      </c>
      <c r="EV5" s="165">
        <f>ER5</f>
        <v/>
      </c>
      <c r="EW5" s="33">
        <f>ET5*EV5</f>
        <v/>
      </c>
      <c r="EX5" s="26" t="n">
        <v>47.8</v>
      </c>
      <c r="EY5" s="26" t="inlineStr">
        <is>
          <t>Kg</t>
        </is>
      </c>
      <c r="EZ5" s="165">
        <f>ER5</f>
        <v/>
      </c>
      <c r="FA5" s="166">
        <f>EX5*EZ5</f>
        <v/>
      </c>
      <c r="FB5" s="26" t="n">
        <v>71</v>
      </c>
      <c r="FE5" s="160" t="n"/>
      <c r="FF5" s="161" t="n"/>
      <c r="FG5" s="162" t="n"/>
      <c r="FH5" s="163" t="n"/>
      <c r="FI5" s="162" t="n"/>
      <c r="FJ5" s="163" t="n"/>
      <c r="FK5" s="162" t="n"/>
      <c r="FL5" s="163" t="n"/>
    </row>
    <row r="6" ht="15.6" customHeight="1" s="307">
      <c r="A6" s="26" t="n">
        <v>2</v>
      </c>
      <c r="B6" s="26" t="inlineStr">
        <is>
          <t>M.S  pipe 150 NB X 700  MM long</t>
        </is>
      </c>
      <c r="C6" s="30" t="n">
        <v>19.7</v>
      </c>
      <c r="D6" s="30" t="inlineStr">
        <is>
          <t>Kg</t>
        </is>
      </c>
      <c r="E6" s="164">
        <f>Rates!C22</f>
        <v/>
      </c>
      <c r="F6" s="159">
        <f>C6*E6</f>
        <v/>
      </c>
      <c r="G6" s="30" t="n">
        <v>39.4</v>
      </c>
      <c r="H6" s="30" t="inlineStr">
        <is>
          <t>kg</t>
        </is>
      </c>
      <c r="I6" s="164">
        <f>E6</f>
        <v/>
      </c>
      <c r="J6" s="34">
        <f>G6*I6</f>
        <v/>
      </c>
      <c r="K6" s="30" t="n">
        <v>19.7</v>
      </c>
      <c r="L6" s="30" t="inlineStr">
        <is>
          <t>Kg</t>
        </is>
      </c>
      <c r="M6" s="164">
        <f>I6</f>
        <v/>
      </c>
      <c r="N6" s="159">
        <f>K6*M6</f>
        <v/>
      </c>
      <c r="O6" s="30" t="n">
        <v>135</v>
      </c>
      <c r="Q6" s="26" t="n">
        <v>2</v>
      </c>
      <c r="R6" s="26" t="inlineStr">
        <is>
          <t>M.S  pipe 200 NB X 700  MM long</t>
        </is>
      </c>
      <c r="S6" s="26" t="n">
        <v>29</v>
      </c>
      <c r="T6" s="26" t="inlineStr">
        <is>
          <t>Kg</t>
        </is>
      </c>
      <c r="U6" s="165">
        <f>Rates!C22</f>
        <v/>
      </c>
      <c r="V6" s="166">
        <f>S6*U6</f>
        <v/>
      </c>
      <c r="W6" s="26" t="n">
        <v>58</v>
      </c>
      <c r="X6" s="26" t="inlineStr">
        <is>
          <t>kg</t>
        </is>
      </c>
      <c r="Y6" s="165">
        <f>U6</f>
        <v/>
      </c>
      <c r="Z6" s="33">
        <f>W6*Y6</f>
        <v/>
      </c>
      <c r="AA6" s="26" t="n">
        <v>29</v>
      </c>
      <c r="AB6" s="26" t="inlineStr">
        <is>
          <t>Kg</t>
        </is>
      </c>
      <c r="AC6" s="165">
        <f>U6</f>
        <v/>
      </c>
      <c r="AD6" s="166">
        <f>AA6*AC6</f>
        <v/>
      </c>
      <c r="AE6" s="165" t="n">
        <v>135</v>
      </c>
      <c r="AG6" s="167" t="n">
        <v>2</v>
      </c>
      <c r="AH6" s="26" t="inlineStr">
        <is>
          <t>M.S Plate 5 mmx1051x700 mm</t>
        </is>
      </c>
      <c r="AI6" s="26" t="n">
        <v>29</v>
      </c>
      <c r="AJ6" s="26" t="inlineStr">
        <is>
          <t>Kg</t>
        </is>
      </c>
      <c r="AK6" s="165">
        <f>Rates!C14</f>
        <v/>
      </c>
      <c r="AL6" s="166">
        <f>AI6*AK6</f>
        <v/>
      </c>
      <c r="AM6" s="26" t="n">
        <v>58</v>
      </c>
      <c r="AN6" s="26" t="inlineStr">
        <is>
          <t>kg</t>
        </is>
      </c>
      <c r="AO6" s="165">
        <f>AK6</f>
        <v/>
      </c>
      <c r="AP6" s="33">
        <f>AM6*AO6</f>
        <v/>
      </c>
      <c r="AQ6" s="26" t="n">
        <v>29</v>
      </c>
      <c r="AR6" s="26" t="inlineStr">
        <is>
          <t>Kg</t>
        </is>
      </c>
      <c r="AS6" s="165">
        <f>AK6</f>
        <v/>
      </c>
      <c r="AT6" s="166">
        <f>AQ6*AS6</f>
        <v/>
      </c>
      <c r="AU6" s="26" t="n">
        <v>72</v>
      </c>
      <c r="AW6" s="167" t="n">
        <v>2</v>
      </c>
      <c r="AX6" s="26" t="inlineStr">
        <is>
          <t>M.S Plate 5 mmx1051x700 mm</t>
        </is>
      </c>
      <c r="AY6" s="26" t="n">
        <v>29</v>
      </c>
      <c r="AZ6" s="26" t="inlineStr">
        <is>
          <t>Kg</t>
        </is>
      </c>
      <c r="BA6" s="165">
        <f>Rates!C20</f>
        <v/>
      </c>
      <c r="BB6" s="166">
        <f>AY6*BA6</f>
        <v/>
      </c>
      <c r="BC6" s="26" t="n">
        <v>58</v>
      </c>
      <c r="BD6" s="26" t="inlineStr">
        <is>
          <t>kg</t>
        </is>
      </c>
      <c r="BE6" s="165">
        <f>BA6</f>
        <v/>
      </c>
      <c r="BF6" s="33">
        <f>BC6*BE6</f>
        <v/>
      </c>
      <c r="BG6" s="26" t="n">
        <v>29</v>
      </c>
      <c r="BH6" s="26" t="inlineStr">
        <is>
          <t>Kg</t>
        </is>
      </c>
      <c r="BI6" s="165">
        <f>BA6</f>
        <v/>
      </c>
      <c r="BJ6" s="166">
        <f>BG6*BI6</f>
        <v/>
      </c>
      <c r="BK6" s="26" t="n">
        <v>72</v>
      </c>
      <c r="BM6" s="167" t="n">
        <v>2</v>
      </c>
      <c r="BN6" s="26" t="inlineStr">
        <is>
          <t>M.S Plate 5 mmx1318x700 mm</t>
        </is>
      </c>
      <c r="BO6" s="26" t="n">
        <v>36</v>
      </c>
      <c r="BP6" s="26" t="inlineStr">
        <is>
          <t>Kg</t>
        </is>
      </c>
      <c r="BQ6" s="165">
        <f>Rates!C20</f>
        <v/>
      </c>
      <c r="BR6" s="166">
        <f>BO6*BQ6</f>
        <v/>
      </c>
      <c r="BS6" s="26" t="n">
        <v>72</v>
      </c>
      <c r="BT6" s="26" t="inlineStr">
        <is>
          <t>kg</t>
        </is>
      </c>
      <c r="BU6" s="165">
        <f>BQ6</f>
        <v/>
      </c>
      <c r="BV6" s="33">
        <f>BS6*BU6</f>
        <v/>
      </c>
      <c r="BW6" s="26" t="n">
        <v>36</v>
      </c>
      <c r="BX6" s="26" t="inlineStr">
        <is>
          <t>Kg</t>
        </is>
      </c>
      <c r="BY6" s="165">
        <f>BQ6</f>
        <v/>
      </c>
      <c r="BZ6" s="166">
        <f>BW6*BY6</f>
        <v/>
      </c>
      <c r="CA6" s="26" t="n">
        <v>72</v>
      </c>
      <c r="CC6" s="167" t="n">
        <v>2</v>
      </c>
      <c r="CD6" s="26" t="inlineStr">
        <is>
          <t>M.S Plate 5 mmx 1428x700 mm</t>
        </is>
      </c>
      <c r="CE6" s="26" t="n">
        <v>39</v>
      </c>
      <c r="CF6" s="26" t="inlineStr">
        <is>
          <t>Kg</t>
        </is>
      </c>
      <c r="CG6" s="165">
        <f>Rates!C20</f>
        <v/>
      </c>
      <c r="CH6" s="166">
        <f>CE6*CG6</f>
        <v/>
      </c>
      <c r="CI6" s="26" t="n">
        <v>78</v>
      </c>
      <c r="CJ6" s="26" t="inlineStr">
        <is>
          <t>kg</t>
        </is>
      </c>
      <c r="CK6" s="165">
        <f>CG6</f>
        <v/>
      </c>
      <c r="CL6" s="33">
        <f>CI6*CK6</f>
        <v/>
      </c>
      <c r="CM6" s="26" t="n">
        <v>39</v>
      </c>
      <c r="CN6" s="26" t="inlineStr">
        <is>
          <t>Kg</t>
        </is>
      </c>
      <c r="CO6" s="165">
        <f>CG6</f>
        <v/>
      </c>
      <c r="CP6" s="166">
        <f>CM6*CO6</f>
        <v/>
      </c>
      <c r="CQ6" s="26" t="n">
        <v>72</v>
      </c>
      <c r="CS6" s="167" t="n">
        <v>2</v>
      </c>
      <c r="CT6" s="26" t="inlineStr">
        <is>
          <t>M.S Plate 5 mmx 1444x700 mm</t>
        </is>
      </c>
      <c r="CU6" s="26" t="n">
        <v>39.6</v>
      </c>
      <c r="CV6" s="26" t="inlineStr">
        <is>
          <t>Kg</t>
        </is>
      </c>
      <c r="CW6" s="165">
        <f>Rates!C20</f>
        <v/>
      </c>
      <c r="CX6" s="166">
        <f>CU6*CW6</f>
        <v/>
      </c>
      <c r="CY6" s="26" t="n">
        <v>79</v>
      </c>
      <c r="CZ6" s="26" t="inlineStr">
        <is>
          <t>kg</t>
        </is>
      </c>
      <c r="DA6" s="165">
        <f>CW6</f>
        <v/>
      </c>
      <c r="DB6" s="33">
        <f>CY6*DA6</f>
        <v/>
      </c>
      <c r="DC6" s="26" t="n">
        <v>39.6</v>
      </c>
      <c r="DD6" s="26" t="inlineStr">
        <is>
          <t>Kg</t>
        </is>
      </c>
      <c r="DE6" s="165">
        <f>CW6</f>
        <v/>
      </c>
      <c r="DF6" s="166">
        <f>DC6*DE6</f>
        <v/>
      </c>
      <c r="DG6" s="26">
        <f>DF6-CP6</f>
        <v/>
      </c>
      <c r="DH6" s="167" t="n">
        <v>2</v>
      </c>
      <c r="DI6" s="26" t="inlineStr">
        <is>
          <t>M.S Plate 5 mmx 2166x700 mm</t>
        </is>
      </c>
      <c r="DJ6" s="26" t="n">
        <v>59.5</v>
      </c>
      <c r="DK6" s="26" t="inlineStr">
        <is>
          <t>Kg</t>
        </is>
      </c>
      <c r="DL6" s="165">
        <f>Rates!C20</f>
        <v/>
      </c>
      <c r="DM6" s="166">
        <f>DJ6*DL6</f>
        <v/>
      </c>
      <c r="DN6" s="26" t="n">
        <v>119</v>
      </c>
      <c r="DO6" s="26" t="inlineStr">
        <is>
          <t>kg</t>
        </is>
      </c>
      <c r="DP6" s="165">
        <f>DL6</f>
        <v/>
      </c>
      <c r="DQ6" s="33">
        <f>DN6*DP6</f>
        <v/>
      </c>
      <c r="DR6" s="26" t="n">
        <v>59.5</v>
      </c>
      <c r="DS6" s="26" t="inlineStr">
        <is>
          <t>Kg</t>
        </is>
      </c>
      <c r="DT6" s="165">
        <f>DL6</f>
        <v/>
      </c>
      <c r="DU6" s="166">
        <f>DR6*DT6</f>
        <v/>
      </c>
      <c r="DV6" s="26" t="n">
        <v>72</v>
      </c>
      <c r="DX6" s="167" t="n">
        <v>2</v>
      </c>
      <c r="DY6" s="26" t="inlineStr">
        <is>
          <t>M.S Plate 5 mmx 2245x700 mm</t>
        </is>
      </c>
      <c r="DZ6" s="26" t="n">
        <v>61.6</v>
      </c>
      <c r="EA6" s="26" t="inlineStr">
        <is>
          <t>Kg</t>
        </is>
      </c>
      <c r="EB6" s="165">
        <f>Rates!C20</f>
        <v/>
      </c>
      <c r="EC6" s="166">
        <f>DZ6*EB6</f>
        <v/>
      </c>
      <c r="ED6" s="26" t="n">
        <v>123</v>
      </c>
      <c r="EE6" s="26" t="inlineStr">
        <is>
          <t>kg</t>
        </is>
      </c>
      <c r="EF6" s="165">
        <f>EB6</f>
        <v/>
      </c>
      <c r="EG6" s="33">
        <f>ED6*EF6</f>
        <v/>
      </c>
      <c r="EH6" s="26" t="n">
        <v>61.6</v>
      </c>
      <c r="EI6" s="26" t="inlineStr">
        <is>
          <t>Kg</t>
        </is>
      </c>
      <c r="EJ6" s="165">
        <f>EB6</f>
        <v/>
      </c>
      <c r="EK6" s="166">
        <f>EH6*EJ6</f>
        <v/>
      </c>
      <c r="EL6" s="26" t="n">
        <v>72</v>
      </c>
      <c r="EN6" s="167" t="n">
        <v>2</v>
      </c>
      <c r="EO6" s="26" t="inlineStr">
        <is>
          <t>M.S Plate 5 mmx 2794x700 mm</t>
        </is>
      </c>
      <c r="EP6" s="26" t="n">
        <v>77</v>
      </c>
      <c r="EQ6" s="26" t="inlineStr">
        <is>
          <t>Kg</t>
        </is>
      </c>
      <c r="ER6" s="165">
        <f>Rates!C20</f>
        <v/>
      </c>
      <c r="ES6" s="166">
        <f>EP6*ER6</f>
        <v/>
      </c>
      <c r="ET6" s="26" t="n">
        <v>154</v>
      </c>
      <c r="EU6" s="26" t="inlineStr">
        <is>
          <t>kg</t>
        </is>
      </c>
      <c r="EV6" s="165">
        <f>ER6</f>
        <v/>
      </c>
      <c r="EW6" s="33">
        <f>ET6*EV6</f>
        <v/>
      </c>
      <c r="EX6" s="26" t="n">
        <v>77</v>
      </c>
      <c r="EY6" s="26" t="inlineStr">
        <is>
          <t>Kg</t>
        </is>
      </c>
      <c r="EZ6" s="165">
        <f>ER6</f>
        <v/>
      </c>
      <c r="FA6" s="166">
        <f>EX6*EZ6</f>
        <v/>
      </c>
      <c r="FB6" s="26" t="n">
        <v>72</v>
      </c>
      <c r="FE6" s="160" t="n"/>
      <c r="FF6" s="161" t="n"/>
      <c r="FG6" s="162" t="n"/>
      <c r="FH6" s="163" t="n"/>
      <c r="FI6" s="162" t="n"/>
      <c r="FJ6" s="163" t="n"/>
      <c r="FK6" s="162" t="n"/>
      <c r="FL6" s="163" t="n"/>
    </row>
    <row r="7" ht="15.6" customHeight="1" s="307">
      <c r="A7" s="26" t="n">
        <v>3</v>
      </c>
      <c r="B7" s="26" t="inlineStr">
        <is>
          <t>HR Sheet 850x1000X3 MM</t>
        </is>
      </c>
      <c r="C7" s="30" t="n">
        <v>20</v>
      </c>
      <c r="D7" s="30" t="inlineStr">
        <is>
          <t>Kg</t>
        </is>
      </c>
      <c r="E7" s="164">
        <f>Rates!C18</f>
        <v/>
      </c>
      <c r="F7" s="159">
        <f>C7*E7</f>
        <v/>
      </c>
      <c r="G7" s="30" t="n">
        <v>28</v>
      </c>
      <c r="H7" s="30" t="inlineStr">
        <is>
          <t>kg</t>
        </is>
      </c>
      <c r="I7" s="164">
        <f>E7</f>
        <v/>
      </c>
      <c r="J7" s="34">
        <f>G7*I7</f>
        <v/>
      </c>
      <c r="K7" s="30" t="n">
        <v>20</v>
      </c>
      <c r="L7" s="30" t="inlineStr">
        <is>
          <t>Kg</t>
        </is>
      </c>
      <c r="M7" s="164">
        <f>I7</f>
        <v/>
      </c>
      <c r="N7" s="159">
        <f>K7*M7</f>
        <v/>
      </c>
      <c r="O7" s="30" t="n">
        <v>77</v>
      </c>
      <c r="Q7" s="26" t="n">
        <v>3</v>
      </c>
      <c r="R7" s="26" t="inlineStr">
        <is>
          <t>HR Sheet 1050X900X3 MM</t>
        </is>
      </c>
      <c r="S7" s="26" t="n">
        <v>22.3</v>
      </c>
      <c r="T7" s="26" t="inlineStr">
        <is>
          <t>Kg</t>
        </is>
      </c>
      <c r="U7" s="165">
        <f>Rates!C18</f>
        <v/>
      </c>
      <c r="V7" s="166">
        <f>S7*U7</f>
        <v/>
      </c>
      <c r="W7" s="26" t="n">
        <v>30.7</v>
      </c>
      <c r="X7" s="26" t="inlineStr">
        <is>
          <t>kg</t>
        </is>
      </c>
      <c r="Y7" s="165">
        <f>U7</f>
        <v/>
      </c>
      <c r="Z7" s="33">
        <f>W7*Y7</f>
        <v/>
      </c>
      <c r="AA7" s="26" t="n">
        <v>22.3</v>
      </c>
      <c r="AB7" s="26" t="inlineStr">
        <is>
          <t>Kg</t>
        </is>
      </c>
      <c r="AC7" s="165">
        <f>U7</f>
        <v/>
      </c>
      <c r="AD7" s="166">
        <f>AA7*AC7</f>
        <v/>
      </c>
      <c r="AE7" s="165" t="n">
        <v>77</v>
      </c>
      <c r="AG7" s="167" t="n">
        <v>3</v>
      </c>
      <c r="AH7" s="26" t="inlineStr">
        <is>
          <t>HR Sheet 1100x1000X3 MM</t>
        </is>
      </c>
      <c r="AI7" s="26" t="n">
        <v>25.9</v>
      </c>
      <c r="AJ7" s="26" t="inlineStr">
        <is>
          <t>Kg</t>
        </is>
      </c>
      <c r="AK7" s="165">
        <f>Rates!C18</f>
        <v/>
      </c>
      <c r="AL7" s="166">
        <f>AI7*AK7</f>
        <v/>
      </c>
      <c r="AM7" s="26" t="n">
        <v>35.3</v>
      </c>
      <c r="AN7" s="26" t="inlineStr">
        <is>
          <t>kg</t>
        </is>
      </c>
      <c r="AO7" s="165">
        <f>AK7</f>
        <v/>
      </c>
      <c r="AP7" s="33">
        <f>AM7*AO7</f>
        <v/>
      </c>
      <c r="AQ7" s="26" t="n">
        <v>25.9</v>
      </c>
      <c r="AR7" s="26" t="inlineStr">
        <is>
          <t>Kg</t>
        </is>
      </c>
      <c r="AS7" s="165">
        <f>AK7</f>
        <v/>
      </c>
      <c r="AT7" s="166">
        <f>AQ7*AS7</f>
        <v/>
      </c>
      <c r="AU7" s="26" t="n">
        <v>77</v>
      </c>
      <c r="AW7" s="167" t="n">
        <v>3</v>
      </c>
      <c r="AX7" s="26" t="inlineStr">
        <is>
          <t>HR Sheet 1100x1200X3 MM</t>
        </is>
      </c>
      <c r="AY7" s="26" t="n">
        <v>31</v>
      </c>
      <c r="AZ7" s="26" t="inlineStr">
        <is>
          <t>Kg</t>
        </is>
      </c>
      <c r="BA7" s="165">
        <f>Rates!C18</f>
        <v/>
      </c>
      <c r="BB7" s="166">
        <f>AY7*BA7</f>
        <v/>
      </c>
      <c r="BC7" s="26" t="n">
        <v>41</v>
      </c>
      <c r="BD7" s="26" t="inlineStr">
        <is>
          <t>kg</t>
        </is>
      </c>
      <c r="BE7" s="165">
        <f>BA7</f>
        <v/>
      </c>
      <c r="BF7" s="33">
        <f>BC7*BE7</f>
        <v/>
      </c>
      <c r="BG7" s="26" t="n">
        <v>31</v>
      </c>
      <c r="BH7" s="26" t="inlineStr">
        <is>
          <t>Kg</t>
        </is>
      </c>
      <c r="BI7" s="165">
        <f>BA7</f>
        <v/>
      </c>
      <c r="BJ7" s="166">
        <f>BG7*BI7</f>
        <v/>
      </c>
      <c r="BK7" s="26" t="n">
        <v>77</v>
      </c>
      <c r="BM7" s="167" t="n">
        <v>3</v>
      </c>
      <c r="BN7" s="26" t="inlineStr">
        <is>
          <t>HR Sheet 1100x1200X3 MM</t>
        </is>
      </c>
      <c r="BO7" s="26" t="n">
        <v>31</v>
      </c>
      <c r="BP7" s="26" t="inlineStr">
        <is>
          <t>Kg</t>
        </is>
      </c>
      <c r="BQ7" s="165">
        <f>Rates!C18</f>
        <v/>
      </c>
      <c r="BR7" s="166">
        <f>BO7*BQ7</f>
        <v/>
      </c>
      <c r="BS7" s="26" t="n">
        <v>41</v>
      </c>
      <c r="BT7" s="26" t="inlineStr">
        <is>
          <t>kg</t>
        </is>
      </c>
      <c r="BU7" s="165">
        <f>BQ7</f>
        <v/>
      </c>
      <c r="BV7" s="33">
        <f>BS7*BU7</f>
        <v/>
      </c>
      <c r="BW7" s="26" t="n">
        <v>31</v>
      </c>
      <c r="BX7" s="26" t="inlineStr">
        <is>
          <t>Kg</t>
        </is>
      </c>
      <c r="BY7" s="165">
        <f>BQ7</f>
        <v/>
      </c>
      <c r="BZ7" s="166">
        <f>BW7*BY7</f>
        <v/>
      </c>
      <c r="CA7" s="26" t="n">
        <v>77</v>
      </c>
      <c r="CC7" s="167" t="n">
        <v>3</v>
      </c>
      <c r="CD7" s="26" t="inlineStr">
        <is>
          <t>HR Sheet 1200x1300X3 MM</t>
        </is>
      </c>
      <c r="CE7" s="26" t="n">
        <v>36.7</v>
      </c>
      <c r="CF7" s="26" t="inlineStr">
        <is>
          <t>Kg</t>
        </is>
      </c>
      <c r="CG7" s="165">
        <f>Rates!C18</f>
        <v/>
      </c>
      <c r="CH7" s="166">
        <f>CE7*CG7</f>
        <v/>
      </c>
      <c r="CI7" s="26" t="n">
        <v>50.8</v>
      </c>
      <c r="CJ7" s="26" t="inlineStr">
        <is>
          <t>kg</t>
        </is>
      </c>
      <c r="CK7" s="165">
        <f>CG7</f>
        <v/>
      </c>
      <c r="CL7" s="33">
        <f>CI7*CK7</f>
        <v/>
      </c>
      <c r="CM7" s="26" t="n">
        <v>36.7</v>
      </c>
      <c r="CN7" s="26" t="inlineStr">
        <is>
          <t>Kg</t>
        </is>
      </c>
      <c r="CO7" s="165">
        <f>CG7</f>
        <v/>
      </c>
      <c r="CP7" s="166">
        <f>CM7*CO7</f>
        <v/>
      </c>
      <c r="CQ7" s="26" t="n">
        <v>77</v>
      </c>
      <c r="CS7" s="167" t="n">
        <v>3</v>
      </c>
      <c r="CT7" s="26" t="inlineStr">
        <is>
          <t>HR Sheet 1300x1400X3 MM</t>
        </is>
      </c>
      <c r="CU7" s="26" t="n">
        <v>42.8</v>
      </c>
      <c r="CV7" s="26" t="inlineStr">
        <is>
          <t>Kg</t>
        </is>
      </c>
      <c r="CW7" s="165">
        <f>Rates!C18</f>
        <v/>
      </c>
      <c r="CX7" s="166">
        <f>CU7*CW7</f>
        <v/>
      </c>
      <c r="CY7" s="26" t="n">
        <v>90.40000000000001</v>
      </c>
      <c r="CZ7" s="26" t="inlineStr">
        <is>
          <t>kg</t>
        </is>
      </c>
      <c r="DA7" s="165">
        <f>CW7</f>
        <v/>
      </c>
      <c r="DB7" s="33">
        <f>CY7*DA7</f>
        <v/>
      </c>
      <c r="DC7" s="26" t="n">
        <v>42.8</v>
      </c>
      <c r="DD7" s="26" t="inlineStr">
        <is>
          <t>Kg</t>
        </is>
      </c>
      <c r="DE7" s="165">
        <f>CW7</f>
        <v/>
      </c>
      <c r="DF7" s="166">
        <f>DC7*DE7</f>
        <v/>
      </c>
      <c r="DG7" s="26">
        <f>DF7-CP7</f>
        <v/>
      </c>
      <c r="DH7" s="167" t="n">
        <v>3</v>
      </c>
      <c r="DI7" s="26" t="inlineStr">
        <is>
          <t>HR Sheet 1300x1400X3 MM</t>
        </is>
      </c>
      <c r="DJ7" s="26" t="n">
        <v>42.8</v>
      </c>
      <c r="DK7" s="26" t="inlineStr">
        <is>
          <t>Kg</t>
        </is>
      </c>
      <c r="DL7" s="165">
        <f>Rates!C18</f>
        <v/>
      </c>
      <c r="DM7" s="166">
        <f>DJ7*DL7</f>
        <v/>
      </c>
      <c r="DN7" s="26" t="n">
        <v>90.40000000000001</v>
      </c>
      <c r="DO7" s="26" t="inlineStr">
        <is>
          <t>kg</t>
        </is>
      </c>
      <c r="DP7" s="165">
        <f>DL7</f>
        <v/>
      </c>
      <c r="DQ7" s="33">
        <f>DN7*DP7</f>
        <v/>
      </c>
      <c r="DR7" s="26" t="n">
        <v>42.8</v>
      </c>
      <c r="DS7" s="26" t="inlineStr">
        <is>
          <t>Kg</t>
        </is>
      </c>
      <c r="DT7" s="165">
        <f>DL7</f>
        <v/>
      </c>
      <c r="DU7" s="166">
        <f>DR7*DT7</f>
        <v/>
      </c>
      <c r="DV7" s="26" t="n">
        <v>77</v>
      </c>
      <c r="DX7" s="167" t="n">
        <v>3</v>
      </c>
      <c r="DY7" s="26" t="inlineStr">
        <is>
          <t>HR Sheet 1300x1400X3 MM</t>
        </is>
      </c>
      <c r="DZ7" s="26" t="n">
        <v>42.8</v>
      </c>
      <c r="EA7" s="26" t="inlineStr">
        <is>
          <t>Kg</t>
        </is>
      </c>
      <c r="EB7" s="165">
        <f>Rates!C18</f>
        <v/>
      </c>
      <c r="EC7" s="166">
        <f>DZ7*EB7</f>
        <v/>
      </c>
      <c r="ED7" s="26" t="n">
        <v>90.40000000000001</v>
      </c>
      <c r="EE7" s="26" t="inlineStr">
        <is>
          <t>kg</t>
        </is>
      </c>
      <c r="EF7" s="165">
        <f>EB7</f>
        <v/>
      </c>
      <c r="EG7" s="33">
        <f>ED7*EF7</f>
        <v/>
      </c>
      <c r="EH7" s="26" t="n">
        <v>42.8</v>
      </c>
      <c r="EI7" s="26" t="inlineStr">
        <is>
          <t>Kg</t>
        </is>
      </c>
      <c r="EJ7" s="165">
        <f>EB7</f>
        <v/>
      </c>
      <c r="EK7" s="166">
        <f>EH7*EJ7</f>
        <v/>
      </c>
      <c r="EL7" s="26" t="n">
        <v>77</v>
      </c>
      <c r="EN7" s="167" t="n">
        <v>3</v>
      </c>
      <c r="EO7" s="26" t="inlineStr">
        <is>
          <t>HR Sheet 1800x1900X5 MM</t>
        </is>
      </c>
      <c r="EP7" s="26" t="n">
        <v>134</v>
      </c>
      <c r="EQ7" s="26" t="inlineStr">
        <is>
          <t>Kg</t>
        </is>
      </c>
      <c r="ER7" s="165">
        <f>Rates!C14</f>
        <v/>
      </c>
      <c r="ES7" s="166">
        <f>EP7*ER7</f>
        <v/>
      </c>
      <c r="ET7" s="26" t="n">
        <v>183</v>
      </c>
      <c r="EU7" s="26" t="inlineStr">
        <is>
          <t>kg</t>
        </is>
      </c>
      <c r="EV7" s="165">
        <f>ER7</f>
        <v/>
      </c>
      <c r="EW7" s="33">
        <f>ET7*EV7</f>
        <v/>
      </c>
      <c r="EX7" s="26" t="n">
        <v>134</v>
      </c>
      <c r="EY7" s="26" t="inlineStr">
        <is>
          <t>Kg</t>
        </is>
      </c>
      <c r="EZ7" s="165">
        <f>ER7</f>
        <v/>
      </c>
      <c r="FA7" s="166">
        <f>EX7*EZ7</f>
        <v/>
      </c>
      <c r="FB7" s="26" t="n">
        <v>72</v>
      </c>
      <c r="FE7" s="160" t="n"/>
      <c r="FF7" s="161" t="n"/>
      <c r="FG7" s="162" t="n"/>
      <c r="FH7" s="163" t="n"/>
      <c r="FI7" s="162" t="n"/>
      <c r="FJ7" s="163" t="n"/>
      <c r="FK7" s="162" t="n"/>
      <c r="FL7" s="163" t="n"/>
    </row>
    <row r="8" ht="15.6" customHeight="1" s="307">
      <c r="A8" s="26" t="n">
        <v>4</v>
      </c>
      <c r="B8" s="26" t="inlineStr">
        <is>
          <t>HR Sheet 709 X175X3 MM</t>
        </is>
      </c>
      <c r="C8" s="30" t="n">
        <v>3</v>
      </c>
      <c r="D8" s="30" t="inlineStr">
        <is>
          <t>Kg</t>
        </is>
      </c>
      <c r="E8" s="164">
        <f>E7</f>
        <v/>
      </c>
      <c r="F8" s="159">
        <f>C8*E8</f>
        <v/>
      </c>
      <c r="G8" s="30" t="n">
        <v>6</v>
      </c>
      <c r="H8" s="30" t="inlineStr">
        <is>
          <t>kg</t>
        </is>
      </c>
      <c r="I8" s="164">
        <f>E8</f>
        <v/>
      </c>
      <c r="J8" s="34">
        <f>G8*I8</f>
        <v/>
      </c>
      <c r="K8" s="30" t="n">
        <v>3</v>
      </c>
      <c r="L8" s="30" t="inlineStr">
        <is>
          <t>Kg</t>
        </is>
      </c>
      <c r="M8" s="164">
        <f>I8</f>
        <v/>
      </c>
      <c r="N8" s="159">
        <f>K8*M8</f>
        <v/>
      </c>
      <c r="O8" s="30" t="n">
        <v>77</v>
      </c>
      <c r="Q8" s="26" t="n">
        <v>4</v>
      </c>
      <c r="R8" s="26" t="inlineStr">
        <is>
          <t>HR Sheet 286 diaX175X3 MM</t>
        </is>
      </c>
      <c r="S8" s="26" t="n">
        <v>6</v>
      </c>
      <c r="T8" s="26" t="inlineStr">
        <is>
          <t>Kg</t>
        </is>
      </c>
      <c r="U8" s="165">
        <f>U7</f>
        <v/>
      </c>
      <c r="V8" s="166">
        <f>S8*U8</f>
        <v/>
      </c>
      <c r="W8" s="26" t="n">
        <v>12</v>
      </c>
      <c r="X8" s="26" t="inlineStr">
        <is>
          <t>kg</t>
        </is>
      </c>
      <c r="Y8" s="165">
        <f>U8</f>
        <v/>
      </c>
      <c r="Z8" s="33">
        <f>W8*Y8</f>
        <v/>
      </c>
      <c r="AA8" s="26" t="n">
        <v>6</v>
      </c>
      <c r="AB8" s="26" t="inlineStr">
        <is>
          <t>Kg</t>
        </is>
      </c>
      <c r="AC8" s="165">
        <f>U8</f>
        <v/>
      </c>
      <c r="AD8" s="166">
        <f>AA8*AC8</f>
        <v/>
      </c>
      <c r="AE8" s="165" t="n">
        <v>77</v>
      </c>
      <c r="AG8" s="167" t="n">
        <v>4</v>
      </c>
      <c r="AH8" s="26" t="inlineStr">
        <is>
          <t>HR Sheet 1274 X175X3 MM</t>
        </is>
      </c>
      <c r="AI8" s="26" t="n">
        <v>5</v>
      </c>
      <c r="AJ8" s="26" t="inlineStr">
        <is>
          <t>Kg</t>
        </is>
      </c>
      <c r="AK8" s="165">
        <f>AK7</f>
        <v/>
      </c>
      <c r="AL8" s="166">
        <f>AI8*AK8</f>
        <v/>
      </c>
      <c r="AM8" s="26" t="n">
        <v>10</v>
      </c>
      <c r="AN8" s="26" t="inlineStr">
        <is>
          <t>kg</t>
        </is>
      </c>
      <c r="AO8" s="165">
        <f>AK8</f>
        <v/>
      </c>
      <c r="AP8" s="33">
        <f>AM8*AO8</f>
        <v/>
      </c>
      <c r="AQ8" s="26" t="n">
        <v>5</v>
      </c>
      <c r="AR8" s="26" t="inlineStr">
        <is>
          <t>Kg</t>
        </is>
      </c>
      <c r="AS8" s="165">
        <f>AK8</f>
        <v/>
      </c>
      <c r="AT8" s="166">
        <f>AQ8*AS8</f>
        <v/>
      </c>
      <c r="AU8" s="26" t="n">
        <v>77</v>
      </c>
      <c r="AW8" s="167" t="n">
        <v>4</v>
      </c>
      <c r="AX8" s="26" t="inlineStr">
        <is>
          <t>HR Sheet 1274 X175X3 MM</t>
        </is>
      </c>
      <c r="AY8" s="26" t="n">
        <v>5</v>
      </c>
      <c r="AZ8" s="26" t="inlineStr">
        <is>
          <t>Kg</t>
        </is>
      </c>
      <c r="BA8" s="165">
        <f>Rates!C18</f>
        <v/>
      </c>
      <c r="BB8" s="166">
        <f>AY8*BA8</f>
        <v/>
      </c>
      <c r="BC8" s="26" t="n">
        <v>10</v>
      </c>
      <c r="BD8" s="26" t="inlineStr">
        <is>
          <t>kg</t>
        </is>
      </c>
      <c r="BE8" s="165">
        <f>BA8</f>
        <v/>
      </c>
      <c r="BF8" s="33">
        <f>BC8*BE8</f>
        <v/>
      </c>
      <c r="BG8" s="26" t="n">
        <v>5</v>
      </c>
      <c r="BH8" s="26" t="inlineStr">
        <is>
          <t>Kg</t>
        </is>
      </c>
      <c r="BI8" s="165">
        <f>BA8</f>
        <v/>
      </c>
      <c r="BJ8" s="166">
        <f>BG8*BI8</f>
        <v/>
      </c>
      <c r="BK8" s="26" t="n">
        <v>77</v>
      </c>
      <c r="BM8" s="167" t="n">
        <v>4</v>
      </c>
      <c r="BN8" s="26" t="inlineStr">
        <is>
          <t>HR Sheet 1318 X175X3 MM</t>
        </is>
      </c>
      <c r="BO8" s="26" t="n">
        <v>5.4</v>
      </c>
      <c r="BP8" s="26" t="inlineStr">
        <is>
          <t>Kg</t>
        </is>
      </c>
      <c r="BQ8" s="165">
        <f>Rates!C18</f>
        <v/>
      </c>
      <c r="BR8" s="166">
        <f>BO8*BQ8</f>
        <v/>
      </c>
      <c r="BS8" s="26" t="n">
        <v>10.8</v>
      </c>
      <c r="BT8" s="26" t="inlineStr">
        <is>
          <t>kg</t>
        </is>
      </c>
      <c r="BU8" s="165">
        <f>BQ8</f>
        <v/>
      </c>
      <c r="BV8" s="33">
        <f>BS8*BU8</f>
        <v/>
      </c>
      <c r="BW8" s="26" t="n">
        <v>5.4</v>
      </c>
      <c r="BX8" s="26" t="inlineStr">
        <is>
          <t>Kg</t>
        </is>
      </c>
      <c r="BY8" s="165">
        <f>BQ8</f>
        <v/>
      </c>
      <c r="BZ8" s="166">
        <f>BW8*BY8</f>
        <v/>
      </c>
      <c r="CA8" s="26" t="n">
        <v>77</v>
      </c>
      <c r="CC8" s="167" t="n">
        <v>4</v>
      </c>
      <c r="CD8" s="26" t="inlineStr">
        <is>
          <t>HR Sheet 1632 X175X3 MM</t>
        </is>
      </c>
      <c r="CE8" s="26" t="n">
        <v>7</v>
      </c>
      <c r="CF8" s="26" t="inlineStr">
        <is>
          <t>Kg</t>
        </is>
      </c>
      <c r="CG8" s="165">
        <f>Rates!C18</f>
        <v/>
      </c>
      <c r="CH8" s="166">
        <f>CE8*CG8</f>
        <v/>
      </c>
      <c r="CI8" s="26" t="n">
        <v>14</v>
      </c>
      <c r="CJ8" s="26" t="inlineStr">
        <is>
          <t>kg</t>
        </is>
      </c>
      <c r="CK8" s="165">
        <f>CG8</f>
        <v/>
      </c>
      <c r="CL8" s="33">
        <f>CI8*CK8</f>
        <v/>
      </c>
      <c r="CM8" s="26" t="n">
        <v>7</v>
      </c>
      <c r="CN8" s="26" t="inlineStr">
        <is>
          <t>Kg</t>
        </is>
      </c>
      <c r="CO8" s="165">
        <f>CG8</f>
        <v/>
      </c>
      <c r="CP8" s="166">
        <f>CM8*CO8</f>
        <v/>
      </c>
      <c r="CQ8" s="26" t="n">
        <v>77</v>
      </c>
      <c r="CS8" s="167" t="n">
        <v>4</v>
      </c>
      <c r="CT8" s="26" t="inlineStr">
        <is>
          <t>HR Sheet 1651 X175X3 MM</t>
        </is>
      </c>
      <c r="CU8" s="26" t="n">
        <v>7</v>
      </c>
      <c r="CV8" s="26" t="inlineStr">
        <is>
          <t>Kg</t>
        </is>
      </c>
      <c r="CW8" s="165">
        <f>Rates!C18</f>
        <v/>
      </c>
      <c r="CX8" s="166">
        <f>CU8*CW8</f>
        <v/>
      </c>
      <c r="CY8" s="26" t="n">
        <v>14</v>
      </c>
      <c r="CZ8" s="26" t="inlineStr">
        <is>
          <t>kg</t>
        </is>
      </c>
      <c r="DA8" s="165">
        <f>CW8</f>
        <v/>
      </c>
      <c r="DB8" s="33">
        <f>CY8*DA8</f>
        <v/>
      </c>
      <c r="DC8" s="26" t="n">
        <v>7</v>
      </c>
      <c r="DD8" s="26" t="inlineStr">
        <is>
          <t>Kg</t>
        </is>
      </c>
      <c r="DE8" s="165">
        <f>CW8</f>
        <v/>
      </c>
      <c r="DF8" s="166">
        <f>DC8*DE8</f>
        <v/>
      </c>
      <c r="DG8" s="26">
        <f>DF8-CP8</f>
        <v/>
      </c>
      <c r="DH8" s="167" t="n">
        <v>4</v>
      </c>
      <c r="DI8" s="26" t="inlineStr">
        <is>
          <t>HR Sheet 2373 X175X3 MM</t>
        </is>
      </c>
      <c r="DJ8" s="26" t="n">
        <v>10</v>
      </c>
      <c r="DK8" s="26" t="inlineStr">
        <is>
          <t>Kg</t>
        </is>
      </c>
      <c r="DL8" s="165">
        <f>Rates!C18</f>
        <v/>
      </c>
      <c r="DM8" s="166">
        <f>DJ8*DL8</f>
        <v/>
      </c>
      <c r="DN8" s="26" t="n">
        <v>20</v>
      </c>
      <c r="DO8" s="26" t="inlineStr">
        <is>
          <t>kg</t>
        </is>
      </c>
      <c r="DP8" s="165">
        <f>DL8</f>
        <v/>
      </c>
      <c r="DQ8" s="33">
        <f>DN8*DP8</f>
        <v/>
      </c>
      <c r="DR8" s="26" t="n">
        <v>10</v>
      </c>
      <c r="DS8" s="26" t="inlineStr">
        <is>
          <t>Kg</t>
        </is>
      </c>
      <c r="DT8" s="165">
        <f>DL8</f>
        <v/>
      </c>
      <c r="DU8" s="166">
        <f>DR8*DT8</f>
        <v/>
      </c>
      <c r="DV8" s="26" t="n">
        <v>77</v>
      </c>
      <c r="DX8" s="167" t="n">
        <v>4</v>
      </c>
      <c r="DY8" s="26" t="inlineStr">
        <is>
          <t>HR Sheet 2452 X175X3 MM</t>
        </is>
      </c>
      <c r="DZ8" s="26" t="n">
        <v>10</v>
      </c>
      <c r="EA8" s="26" t="inlineStr">
        <is>
          <t>Kg</t>
        </is>
      </c>
      <c r="EB8" s="165">
        <f>Rates!C18</f>
        <v/>
      </c>
      <c r="EC8" s="166">
        <f>DZ8*EB8</f>
        <v/>
      </c>
      <c r="ED8" s="26" t="n">
        <v>20</v>
      </c>
      <c r="EE8" s="26" t="inlineStr">
        <is>
          <t>kg</t>
        </is>
      </c>
      <c r="EF8" s="165">
        <f>EB8</f>
        <v/>
      </c>
      <c r="EG8" s="33">
        <f>ED8*EF8</f>
        <v/>
      </c>
      <c r="EH8" s="26" t="n">
        <v>10</v>
      </c>
      <c r="EI8" s="26" t="inlineStr">
        <is>
          <t>Kg</t>
        </is>
      </c>
      <c r="EJ8" s="165">
        <f>EB8</f>
        <v/>
      </c>
      <c r="EK8" s="166">
        <f>EH8*EJ8</f>
        <v/>
      </c>
      <c r="EL8" s="26" t="n">
        <v>77</v>
      </c>
      <c r="EN8" s="167" t="n">
        <v>4</v>
      </c>
      <c r="EO8" s="26" t="inlineStr">
        <is>
          <t>HR Sheet 3000 X175X3 MM</t>
        </is>
      </c>
      <c r="EP8" s="26" t="n">
        <v>12</v>
      </c>
      <c r="EQ8" s="26" t="inlineStr">
        <is>
          <t>Kg</t>
        </is>
      </c>
      <c r="ER8" s="165">
        <f>Rates!C18</f>
        <v/>
      </c>
      <c r="ES8" s="166">
        <f>EP8*ER8</f>
        <v/>
      </c>
      <c r="ET8" s="26" t="n">
        <v>24</v>
      </c>
      <c r="EU8" s="26" t="inlineStr">
        <is>
          <t>kg</t>
        </is>
      </c>
      <c r="EV8" s="165">
        <f>ER8</f>
        <v/>
      </c>
      <c r="EW8" s="33">
        <f>ET8*EV8</f>
        <v/>
      </c>
      <c r="EX8" s="26" t="n">
        <v>12</v>
      </c>
      <c r="EY8" s="26" t="inlineStr">
        <is>
          <t>Kg</t>
        </is>
      </c>
      <c r="EZ8" s="165">
        <f>ER8</f>
        <v/>
      </c>
      <c r="FA8" s="166">
        <f>EX8*EZ8</f>
        <v/>
      </c>
      <c r="FB8" s="26" t="n">
        <v>77</v>
      </c>
      <c r="FE8" s="160" t="n"/>
      <c r="FF8" s="161" t="n"/>
      <c r="FG8" s="162" t="n"/>
      <c r="FH8" s="163" t="n"/>
      <c r="FI8" s="162" t="n"/>
      <c r="FJ8" s="163" t="n"/>
      <c r="FK8" s="162" t="n"/>
      <c r="FL8" s="163" t="n"/>
    </row>
    <row r="9" ht="15.6" customHeight="1" s="307">
      <c r="A9" s="26" t="n">
        <v>5</v>
      </c>
      <c r="B9" s="26" t="inlineStr">
        <is>
          <t>M.S Plate 226 diax3 mm</t>
        </is>
      </c>
      <c r="C9" s="30" t="n">
        <v>1.5</v>
      </c>
      <c r="D9" s="30" t="inlineStr">
        <is>
          <t>Kg</t>
        </is>
      </c>
      <c r="E9" s="164">
        <f>E8</f>
        <v/>
      </c>
      <c r="F9" s="159">
        <f>C9*E9</f>
        <v/>
      </c>
      <c r="G9" s="30" t="n">
        <v>3</v>
      </c>
      <c r="H9" s="30" t="inlineStr">
        <is>
          <t>Kg</t>
        </is>
      </c>
      <c r="I9" s="164">
        <f>E9</f>
        <v/>
      </c>
      <c r="J9" s="34">
        <f>G9*I9</f>
        <v/>
      </c>
      <c r="K9" s="30" t="n">
        <v>1.5</v>
      </c>
      <c r="L9" s="30" t="inlineStr">
        <is>
          <t>Kg</t>
        </is>
      </c>
      <c r="M9" s="164">
        <f>I9</f>
        <v/>
      </c>
      <c r="N9" s="159">
        <f>K9*M9</f>
        <v/>
      </c>
      <c r="O9" s="30" t="n">
        <v>77</v>
      </c>
      <c r="Q9" s="26" t="n">
        <v>5</v>
      </c>
      <c r="R9" s="26" t="inlineStr">
        <is>
          <t>M.S Plate 5 MM motor base</t>
        </is>
      </c>
      <c r="S9" s="26" t="n">
        <v>10.8</v>
      </c>
      <c r="T9" s="26" t="inlineStr">
        <is>
          <t>Kg</t>
        </is>
      </c>
      <c r="U9" s="165">
        <f>Rates!C20</f>
        <v/>
      </c>
      <c r="V9" s="166">
        <f>S9*U9</f>
        <v/>
      </c>
      <c r="W9" s="26" t="n">
        <v>10.8</v>
      </c>
      <c r="X9" s="26" t="inlineStr">
        <is>
          <t>kg</t>
        </is>
      </c>
      <c r="Y9" s="165">
        <f>U9</f>
        <v/>
      </c>
      <c r="Z9" s="33">
        <f>W9*Y9</f>
        <v/>
      </c>
      <c r="AA9" s="26" t="n">
        <v>10.8</v>
      </c>
      <c r="AB9" s="26" t="inlineStr">
        <is>
          <t>Kg</t>
        </is>
      </c>
      <c r="AC9" s="165">
        <f>U9</f>
        <v/>
      </c>
      <c r="AD9" s="166">
        <f>AA9*AC9</f>
        <v/>
      </c>
      <c r="AE9" s="165" t="n">
        <v>72</v>
      </c>
      <c r="AG9" s="167" t="n">
        <v>5</v>
      </c>
      <c r="AH9" s="26" t="inlineStr">
        <is>
          <t>M.S Plate 406 diax3 mm</t>
        </is>
      </c>
      <c r="AI9" s="26" t="n">
        <v>3.8</v>
      </c>
      <c r="AJ9" s="26" t="inlineStr">
        <is>
          <t>Kg</t>
        </is>
      </c>
      <c r="AK9" s="165">
        <f>AK8</f>
        <v/>
      </c>
      <c r="AL9" s="166">
        <f>AI9*AK9</f>
        <v/>
      </c>
      <c r="AM9" s="26" t="n">
        <v>7.6</v>
      </c>
      <c r="AN9" s="26" t="inlineStr">
        <is>
          <t>Kg</t>
        </is>
      </c>
      <c r="AO9" s="165">
        <f>AK9</f>
        <v/>
      </c>
      <c r="AP9" s="33">
        <f>AM9*AO9</f>
        <v/>
      </c>
      <c r="AQ9" s="26" t="n">
        <v>3.8</v>
      </c>
      <c r="AR9" s="26" t="inlineStr">
        <is>
          <t>Kg</t>
        </is>
      </c>
      <c r="AS9" s="165">
        <f>AK9</f>
        <v/>
      </c>
      <c r="AT9" s="166">
        <f>AQ9*AS9</f>
        <v/>
      </c>
      <c r="AU9" s="26" t="n">
        <v>77</v>
      </c>
      <c r="AW9" s="167" t="n">
        <v>5</v>
      </c>
      <c r="AX9" s="26" t="inlineStr">
        <is>
          <t>M.S Plate 406 diax3 mm</t>
        </is>
      </c>
      <c r="AY9" s="26" t="n">
        <v>3.8</v>
      </c>
      <c r="AZ9" s="26" t="inlineStr">
        <is>
          <t>Kg</t>
        </is>
      </c>
      <c r="BA9" s="165">
        <f>Rates!C18</f>
        <v/>
      </c>
      <c r="BB9" s="166">
        <f>AY9*BA9</f>
        <v/>
      </c>
      <c r="BC9" s="26" t="n">
        <v>7.6</v>
      </c>
      <c r="BD9" s="26" t="inlineStr">
        <is>
          <t>Kg</t>
        </is>
      </c>
      <c r="BE9" s="165">
        <f>BA9</f>
        <v/>
      </c>
      <c r="BF9" s="33">
        <f>BC9*BE9</f>
        <v/>
      </c>
      <c r="BG9" s="26" t="n">
        <v>3.8</v>
      </c>
      <c r="BH9" s="26" t="inlineStr">
        <is>
          <t>Kg</t>
        </is>
      </c>
      <c r="BI9" s="165">
        <f>BA9</f>
        <v/>
      </c>
      <c r="BJ9" s="166">
        <f>BG9*BI9</f>
        <v/>
      </c>
      <c r="BK9" s="26" t="n">
        <v>77</v>
      </c>
      <c r="BM9" s="167" t="n">
        <v>5</v>
      </c>
      <c r="BN9" s="26" t="inlineStr">
        <is>
          <t>M.S Plate 486 diax3 mm</t>
        </is>
      </c>
      <c r="BO9" s="26" t="n">
        <v>5.5</v>
      </c>
      <c r="BP9" s="26" t="inlineStr">
        <is>
          <t>Kg</t>
        </is>
      </c>
      <c r="BQ9" s="165">
        <f>Rates!C18</f>
        <v/>
      </c>
      <c r="BR9" s="166">
        <f>BO9*BQ9</f>
        <v/>
      </c>
      <c r="BS9" s="26" t="n">
        <v>11</v>
      </c>
      <c r="BT9" s="26" t="inlineStr">
        <is>
          <t>Kg</t>
        </is>
      </c>
      <c r="BU9" s="165">
        <f>BQ9</f>
        <v/>
      </c>
      <c r="BV9" s="33">
        <f>BS9*BU9</f>
        <v/>
      </c>
      <c r="BW9" s="26" t="n">
        <v>5.5</v>
      </c>
      <c r="BX9" s="26" t="inlineStr">
        <is>
          <t>Kg</t>
        </is>
      </c>
      <c r="BY9" s="165">
        <f>BQ9</f>
        <v/>
      </c>
      <c r="BZ9" s="166">
        <f>BW9*BY9</f>
        <v/>
      </c>
      <c r="CA9" s="26" t="n">
        <v>77</v>
      </c>
      <c r="CC9" s="167" t="n">
        <v>5</v>
      </c>
      <c r="CD9" s="26" t="inlineStr">
        <is>
          <t>M.S Plate 526 diax3 mm</t>
        </is>
      </c>
      <c r="CE9" s="26" t="n">
        <v>6.5</v>
      </c>
      <c r="CF9" s="26" t="inlineStr">
        <is>
          <t>Kg</t>
        </is>
      </c>
      <c r="CG9" s="165">
        <f>Rates!C18</f>
        <v/>
      </c>
      <c r="CH9" s="166">
        <f>CE9*CG9</f>
        <v/>
      </c>
      <c r="CI9" s="26" t="n">
        <v>13</v>
      </c>
      <c r="CJ9" s="26" t="inlineStr">
        <is>
          <t>Kg</t>
        </is>
      </c>
      <c r="CK9" s="165">
        <f>CG9</f>
        <v/>
      </c>
      <c r="CL9" s="33">
        <f>CI9*CK9</f>
        <v/>
      </c>
      <c r="CM9" s="26" t="n">
        <v>6.5</v>
      </c>
      <c r="CN9" s="26" t="inlineStr">
        <is>
          <t>Kg</t>
        </is>
      </c>
      <c r="CO9" s="165">
        <f>CG9</f>
        <v/>
      </c>
      <c r="CP9" s="166">
        <f>CM9*CO9</f>
        <v/>
      </c>
      <c r="CQ9" s="26" t="n">
        <v>77</v>
      </c>
      <c r="CS9" s="167" t="n">
        <v>5</v>
      </c>
      <c r="CT9" s="26" t="inlineStr">
        <is>
          <t>M.S Plate 526 diax3 mm</t>
        </is>
      </c>
      <c r="CU9" s="26" t="n">
        <v>6.5</v>
      </c>
      <c r="CV9" s="26" t="inlineStr">
        <is>
          <t>Kg</t>
        </is>
      </c>
      <c r="CW9" s="165">
        <f>Rates!C18</f>
        <v/>
      </c>
      <c r="CX9" s="166">
        <f>CU9*CW9</f>
        <v/>
      </c>
      <c r="CY9" s="26" t="n">
        <v>13</v>
      </c>
      <c r="CZ9" s="26" t="inlineStr">
        <is>
          <t>Kg</t>
        </is>
      </c>
      <c r="DA9" s="165">
        <f>CW9</f>
        <v/>
      </c>
      <c r="DB9" s="33">
        <f>CY9*DA9</f>
        <v/>
      </c>
      <c r="DC9" s="26" t="n">
        <v>6.5</v>
      </c>
      <c r="DD9" s="26" t="inlineStr">
        <is>
          <t>Kg</t>
        </is>
      </c>
      <c r="DE9" s="165">
        <f>CW9</f>
        <v/>
      </c>
      <c r="DF9" s="166">
        <f>DC9*DE9</f>
        <v/>
      </c>
      <c r="DG9" s="26">
        <f>DF9-CP9</f>
        <v/>
      </c>
      <c r="DH9" s="167" t="n">
        <v>5</v>
      </c>
      <c r="DI9" s="26" t="inlineStr">
        <is>
          <t>M.S Plate 756 diax3 mm</t>
        </is>
      </c>
      <c r="DJ9" s="26" t="n">
        <v>13.4</v>
      </c>
      <c r="DK9" s="26" t="inlineStr">
        <is>
          <t>Kg</t>
        </is>
      </c>
      <c r="DL9" s="165">
        <f>Rates!C18</f>
        <v/>
      </c>
      <c r="DM9" s="166">
        <f>DJ9*DL9</f>
        <v/>
      </c>
      <c r="DN9" s="26" t="n">
        <v>26.8</v>
      </c>
      <c r="DO9" s="26" t="inlineStr">
        <is>
          <t>Kg</t>
        </is>
      </c>
      <c r="DP9" s="165">
        <f>DL9</f>
        <v/>
      </c>
      <c r="DQ9" s="33">
        <f>DN9*DP9</f>
        <v/>
      </c>
      <c r="DR9" s="26" t="n">
        <v>13.4</v>
      </c>
      <c r="DS9" s="26" t="inlineStr">
        <is>
          <t>Kg</t>
        </is>
      </c>
      <c r="DT9" s="165">
        <f>DL9</f>
        <v/>
      </c>
      <c r="DU9" s="166">
        <f>DR9*DT9</f>
        <v/>
      </c>
      <c r="DV9" s="26" t="n">
        <v>77</v>
      </c>
      <c r="DX9" s="167" t="n">
        <v>5</v>
      </c>
      <c r="DY9" s="26" t="inlineStr">
        <is>
          <t>M.S Plate 781 diax3 mm</t>
        </is>
      </c>
      <c r="DZ9" s="26" t="n">
        <v>14</v>
      </c>
      <c r="EA9" s="26" t="inlineStr">
        <is>
          <t>Kg</t>
        </is>
      </c>
      <c r="EB9" s="165">
        <f>Rates!C18</f>
        <v/>
      </c>
      <c r="EC9" s="166">
        <f>DZ9*EB9</f>
        <v/>
      </c>
      <c r="ED9" s="26" t="n">
        <v>28</v>
      </c>
      <c r="EE9" s="26" t="inlineStr">
        <is>
          <t>Kg</t>
        </is>
      </c>
      <c r="EF9" s="165">
        <f>EB9</f>
        <v/>
      </c>
      <c r="EG9" s="33">
        <f>ED9*EF9</f>
        <v/>
      </c>
      <c r="EH9" s="26" t="n">
        <v>14</v>
      </c>
      <c r="EI9" s="26" t="inlineStr">
        <is>
          <t>Kg</t>
        </is>
      </c>
      <c r="EJ9" s="165">
        <f>EB9</f>
        <v/>
      </c>
      <c r="EK9" s="166">
        <f>EH9*EJ9</f>
        <v/>
      </c>
      <c r="EL9" s="26" t="n">
        <v>77</v>
      </c>
      <c r="EN9" s="167" t="n">
        <v>5</v>
      </c>
      <c r="EO9" s="26" t="inlineStr">
        <is>
          <t>M.S Plate 956 diax3 mm</t>
        </is>
      </c>
      <c r="EP9" s="26" t="n">
        <v>21</v>
      </c>
      <c r="EQ9" s="26" t="inlineStr">
        <is>
          <t>Kg</t>
        </is>
      </c>
      <c r="ER9" s="165">
        <f>Rates!C18</f>
        <v/>
      </c>
      <c r="ES9" s="166">
        <f>EP9*ER9</f>
        <v/>
      </c>
      <c r="ET9" s="26" t="n">
        <v>42</v>
      </c>
      <c r="EU9" s="26" t="inlineStr">
        <is>
          <t>Kg</t>
        </is>
      </c>
      <c r="EV9" s="165">
        <f>ER9</f>
        <v/>
      </c>
      <c r="EW9" s="33">
        <f>ET9*EV9</f>
        <v/>
      </c>
      <c r="EX9" s="26" t="n">
        <v>21</v>
      </c>
      <c r="EY9" s="26" t="inlineStr">
        <is>
          <t>Kg</t>
        </is>
      </c>
      <c r="EZ9" s="165">
        <f>ER9</f>
        <v/>
      </c>
      <c r="FA9" s="166">
        <f>EX9*EZ9</f>
        <v/>
      </c>
      <c r="FB9" s="26" t="n">
        <v>77</v>
      </c>
      <c r="FE9" s="160" t="n"/>
      <c r="FF9" s="161" t="n"/>
      <c r="FG9" s="162" t="n"/>
      <c r="FH9" s="163" t="n"/>
      <c r="FI9" s="162" t="n"/>
      <c r="FJ9" s="163" t="n"/>
      <c r="FK9" s="162" t="n"/>
      <c r="FL9" s="163" t="n"/>
    </row>
    <row r="10" ht="15.6" customHeight="1" s="307">
      <c r="A10" s="26" t="n">
        <v>6</v>
      </c>
      <c r="B10" s="26" t="inlineStr">
        <is>
          <t>M.S Plate 5 MM motor base</t>
        </is>
      </c>
      <c r="C10" s="30" t="n">
        <v>10.8</v>
      </c>
      <c r="D10" s="30" t="inlineStr">
        <is>
          <t>Kg</t>
        </is>
      </c>
      <c r="E10" s="164">
        <f>Rates!C20</f>
        <v/>
      </c>
      <c r="F10" s="159">
        <f>C10*E10</f>
        <v/>
      </c>
      <c r="G10" s="30" t="n">
        <v>10.8</v>
      </c>
      <c r="H10" s="30" t="inlineStr">
        <is>
          <t>kg</t>
        </is>
      </c>
      <c r="I10" s="164">
        <f>E10</f>
        <v/>
      </c>
      <c r="J10" s="34">
        <f>G10*I10</f>
        <v/>
      </c>
      <c r="K10" s="30" t="n">
        <v>10.8</v>
      </c>
      <c r="L10" s="30" t="inlineStr">
        <is>
          <t>Kg</t>
        </is>
      </c>
      <c r="M10" s="164">
        <f>I10</f>
        <v/>
      </c>
      <c r="N10" s="159">
        <f>K10*M10</f>
        <v/>
      </c>
      <c r="O10" s="30" t="n">
        <v>72</v>
      </c>
      <c r="Q10" s="26" t="n">
        <v>6</v>
      </c>
      <c r="R10" s="26" t="inlineStr">
        <is>
          <t>M.S Plate 280 diax16 MM</t>
        </is>
      </c>
      <c r="S10" s="26" t="n">
        <v>9.800000000000001</v>
      </c>
      <c r="T10" s="26" t="inlineStr">
        <is>
          <t>Kg</t>
        </is>
      </c>
      <c r="U10" s="165">
        <f>Rates!C12</f>
        <v/>
      </c>
      <c r="V10" s="166">
        <f>S10*U10</f>
        <v/>
      </c>
      <c r="W10" s="26" t="n">
        <v>19.6</v>
      </c>
      <c r="X10" s="26" t="inlineStr">
        <is>
          <t>Kg</t>
        </is>
      </c>
      <c r="Y10" s="165">
        <f>U10</f>
        <v/>
      </c>
      <c r="Z10" s="33">
        <f>W10*Y10</f>
        <v/>
      </c>
      <c r="AA10" s="26" t="n">
        <v>9.800000000000001</v>
      </c>
      <c r="AB10" s="26" t="inlineStr">
        <is>
          <t>Kg</t>
        </is>
      </c>
      <c r="AC10" s="165">
        <f>U10</f>
        <v/>
      </c>
      <c r="AD10" s="166">
        <f>AA10*AC10</f>
        <v/>
      </c>
      <c r="AE10" s="165" t="n">
        <v>72</v>
      </c>
      <c r="AG10" s="167" t="n">
        <v>6</v>
      </c>
      <c r="AH10" s="26" t="inlineStr">
        <is>
          <t>M.S Plate 5 MM motor base</t>
        </is>
      </c>
      <c r="AI10" s="26" t="n">
        <v>10.8</v>
      </c>
      <c r="AJ10" s="26" t="inlineStr">
        <is>
          <t>Kg</t>
        </is>
      </c>
      <c r="AK10" s="165">
        <f>AK6</f>
        <v/>
      </c>
      <c r="AL10" s="166">
        <f>AI10*AK10</f>
        <v/>
      </c>
      <c r="AM10" s="26" t="n">
        <v>10.8</v>
      </c>
      <c r="AN10" s="26" t="inlineStr">
        <is>
          <t>kg</t>
        </is>
      </c>
      <c r="AO10" s="165">
        <f>AK10</f>
        <v/>
      </c>
      <c r="AP10" s="33">
        <f>AM10*AO10</f>
        <v/>
      </c>
      <c r="AQ10" s="26" t="n">
        <v>10.8</v>
      </c>
      <c r="AR10" s="26" t="inlineStr">
        <is>
          <t>Kg</t>
        </is>
      </c>
      <c r="AS10" s="165">
        <f>AK10</f>
        <v/>
      </c>
      <c r="AT10" s="166">
        <f>AQ10*AS10</f>
        <v/>
      </c>
      <c r="AU10" s="26" t="n">
        <v>72</v>
      </c>
      <c r="AW10" s="167" t="n">
        <v>6</v>
      </c>
      <c r="AX10" s="26" t="inlineStr">
        <is>
          <t>M.S Plate 5 MM motor base</t>
        </is>
      </c>
      <c r="AY10" s="26" t="n">
        <v>10.8</v>
      </c>
      <c r="AZ10" s="26" t="inlineStr">
        <is>
          <t>Kg</t>
        </is>
      </c>
      <c r="BA10" s="165">
        <f>Rates!C20</f>
        <v/>
      </c>
      <c r="BB10" s="166">
        <f>AY10*BA10</f>
        <v/>
      </c>
      <c r="BC10" s="26" t="n">
        <v>10.8</v>
      </c>
      <c r="BD10" s="26" t="inlineStr">
        <is>
          <t>kg</t>
        </is>
      </c>
      <c r="BE10" s="165">
        <f>BA10</f>
        <v/>
      </c>
      <c r="BF10" s="33">
        <f>BC10*BE10</f>
        <v/>
      </c>
      <c r="BG10" s="26" t="n">
        <v>10.8</v>
      </c>
      <c r="BH10" s="26" t="inlineStr">
        <is>
          <t>Kg</t>
        </is>
      </c>
      <c r="BI10" s="165">
        <f>BA10</f>
        <v/>
      </c>
      <c r="BJ10" s="166">
        <f>BG10*BI10</f>
        <v/>
      </c>
      <c r="BK10" s="26" t="n">
        <v>72</v>
      </c>
      <c r="BM10" s="167" t="n">
        <v>6</v>
      </c>
      <c r="BN10" s="26" t="inlineStr">
        <is>
          <t>M.S Plate 5 MM motor base</t>
        </is>
      </c>
      <c r="BO10" s="26" t="n">
        <v>10.8</v>
      </c>
      <c r="BP10" s="26" t="inlineStr">
        <is>
          <t>Kg</t>
        </is>
      </c>
      <c r="BQ10" s="165">
        <f>Rates!C20</f>
        <v/>
      </c>
      <c r="BR10" s="166">
        <f>BO10*BQ10</f>
        <v/>
      </c>
      <c r="BS10" s="26" t="n">
        <v>10.8</v>
      </c>
      <c r="BT10" s="26" t="inlineStr">
        <is>
          <t>kg</t>
        </is>
      </c>
      <c r="BU10" s="165">
        <f>BQ10</f>
        <v/>
      </c>
      <c r="BV10" s="33">
        <f>BS10*BU10</f>
        <v/>
      </c>
      <c r="BW10" s="26" t="n">
        <v>10.8</v>
      </c>
      <c r="BX10" s="26" t="inlineStr">
        <is>
          <t>Kg</t>
        </is>
      </c>
      <c r="BY10" s="165">
        <f>BQ10</f>
        <v/>
      </c>
      <c r="BZ10" s="166">
        <f>BW10*BY10</f>
        <v/>
      </c>
      <c r="CA10" s="26" t="n">
        <v>72</v>
      </c>
      <c r="CC10" s="167" t="n">
        <v>6</v>
      </c>
      <c r="CD10" s="26" t="inlineStr">
        <is>
          <t>M.S Plate 5 MM motor base</t>
        </is>
      </c>
      <c r="CE10" s="26" t="n">
        <v>10.8</v>
      </c>
      <c r="CF10" s="26" t="inlineStr">
        <is>
          <t>Kg</t>
        </is>
      </c>
      <c r="CG10" s="165">
        <f>Rates!C20</f>
        <v/>
      </c>
      <c r="CH10" s="166">
        <f>CE10*CG10</f>
        <v/>
      </c>
      <c r="CI10" s="26" t="n">
        <v>10.8</v>
      </c>
      <c r="CJ10" s="26" t="inlineStr">
        <is>
          <t>kg</t>
        </is>
      </c>
      <c r="CK10" s="165">
        <f>CG10</f>
        <v/>
      </c>
      <c r="CL10" s="33">
        <f>CI10*CK10</f>
        <v/>
      </c>
      <c r="CM10" s="26" t="n">
        <v>10.8</v>
      </c>
      <c r="CN10" s="26" t="inlineStr">
        <is>
          <t>Kg</t>
        </is>
      </c>
      <c r="CO10" s="165">
        <f>CG10</f>
        <v/>
      </c>
      <c r="CP10" s="166">
        <f>CM10*CO10</f>
        <v/>
      </c>
      <c r="CQ10" s="26" t="n">
        <v>72</v>
      </c>
      <c r="CS10" s="167" t="n">
        <v>6</v>
      </c>
      <c r="CT10" s="26" t="inlineStr">
        <is>
          <t>M.S Plate 5 MM motor base</t>
        </is>
      </c>
      <c r="CU10" s="26" t="n">
        <v>10.8</v>
      </c>
      <c r="CV10" s="26" t="inlineStr">
        <is>
          <t>Kg</t>
        </is>
      </c>
      <c r="CW10" s="165">
        <f>Rates!C20</f>
        <v/>
      </c>
      <c r="CX10" s="166">
        <f>CU10*CW10</f>
        <v/>
      </c>
      <c r="CY10" s="26" t="n">
        <v>10.8</v>
      </c>
      <c r="CZ10" s="26" t="inlineStr">
        <is>
          <t>kg</t>
        </is>
      </c>
      <c r="DA10" s="165">
        <f>CW10</f>
        <v/>
      </c>
      <c r="DB10" s="33">
        <f>CY10*DA10</f>
        <v/>
      </c>
      <c r="DC10" s="26" t="n">
        <v>10.8</v>
      </c>
      <c r="DD10" s="26" t="inlineStr">
        <is>
          <t>Kg</t>
        </is>
      </c>
      <c r="DE10" s="165">
        <f>CW10</f>
        <v/>
      </c>
      <c r="DF10" s="166">
        <f>DC10*DE10</f>
        <v/>
      </c>
      <c r="DG10" s="26">
        <f>DF10-CP10</f>
        <v/>
      </c>
      <c r="DH10" s="167" t="n">
        <v>6</v>
      </c>
      <c r="DI10" s="26" t="inlineStr">
        <is>
          <t>M.S Plate 5 MM motor base</t>
        </is>
      </c>
      <c r="DJ10" s="26" t="n">
        <v>14</v>
      </c>
      <c r="DK10" s="26" t="inlineStr">
        <is>
          <t>Kg</t>
        </is>
      </c>
      <c r="DL10" s="165">
        <f>Rates!C14</f>
        <v/>
      </c>
      <c r="DM10" s="166">
        <f>DJ10*DL10</f>
        <v/>
      </c>
      <c r="DN10" s="26" t="n">
        <v>14</v>
      </c>
      <c r="DO10" s="26" t="inlineStr">
        <is>
          <t>kg</t>
        </is>
      </c>
      <c r="DP10" s="165">
        <f>DL10</f>
        <v/>
      </c>
      <c r="DQ10" s="33">
        <f>DN10*DP10</f>
        <v/>
      </c>
      <c r="DR10" s="26" t="n">
        <v>14</v>
      </c>
      <c r="DS10" s="26" t="inlineStr">
        <is>
          <t>Kg</t>
        </is>
      </c>
      <c r="DT10" s="165">
        <f>DL10</f>
        <v/>
      </c>
      <c r="DU10" s="166">
        <f>DR10*DT10</f>
        <v/>
      </c>
      <c r="DV10" s="26" t="n">
        <v>72</v>
      </c>
      <c r="DX10" s="167" t="n">
        <v>6</v>
      </c>
      <c r="DY10" s="26" t="inlineStr">
        <is>
          <t>M.S Plate 5 MM motor base</t>
        </is>
      </c>
      <c r="DZ10" s="26" t="n">
        <v>14</v>
      </c>
      <c r="EA10" s="26" t="inlineStr">
        <is>
          <t>Kg</t>
        </is>
      </c>
      <c r="EB10" s="165">
        <f>Rates!C14</f>
        <v/>
      </c>
      <c r="EC10" s="166">
        <f>DZ10*EB10</f>
        <v/>
      </c>
      <c r="ED10" s="26" t="n">
        <v>14</v>
      </c>
      <c r="EE10" s="26" t="inlineStr">
        <is>
          <t>kg</t>
        </is>
      </c>
      <c r="EF10" s="165">
        <f>EB10</f>
        <v/>
      </c>
      <c r="EG10" s="33">
        <f>ED10*EF10</f>
        <v/>
      </c>
      <c r="EH10" s="26" t="n">
        <v>14</v>
      </c>
      <c r="EI10" s="26" t="inlineStr">
        <is>
          <t>Kg</t>
        </is>
      </c>
      <c r="EJ10" s="165">
        <f>EB10</f>
        <v/>
      </c>
      <c r="EK10" s="166">
        <f>EH10*EJ10</f>
        <v/>
      </c>
      <c r="EL10" s="26" t="n">
        <v>72</v>
      </c>
      <c r="EN10" s="167" t="n">
        <v>6</v>
      </c>
      <c r="EO10" s="26" t="inlineStr">
        <is>
          <t>M.S Plate 5 MM motor base</t>
        </is>
      </c>
      <c r="EP10" s="26" t="n">
        <v>14</v>
      </c>
      <c r="EQ10" s="26" t="inlineStr">
        <is>
          <t>Kg</t>
        </is>
      </c>
      <c r="ER10" s="165">
        <f>Rates!C20</f>
        <v/>
      </c>
      <c r="ES10" s="166">
        <f>EP10*ER10</f>
        <v/>
      </c>
      <c r="ET10" s="26" t="n">
        <v>14</v>
      </c>
      <c r="EU10" s="26" t="inlineStr">
        <is>
          <t>kg</t>
        </is>
      </c>
      <c r="EV10" s="165">
        <f>ER10</f>
        <v/>
      </c>
      <c r="EW10" s="33">
        <f>ET10*EV10</f>
        <v/>
      </c>
      <c r="EX10" s="26" t="n">
        <v>14</v>
      </c>
      <c r="EY10" s="26" t="inlineStr">
        <is>
          <t>Kg</t>
        </is>
      </c>
      <c r="EZ10" s="165">
        <f>ER10</f>
        <v/>
      </c>
      <c r="FA10" s="166">
        <f>EX10*EZ10</f>
        <v/>
      </c>
      <c r="FB10" s="26" t="n">
        <v>72</v>
      </c>
      <c r="FE10" s="160" t="n"/>
      <c r="FF10" s="161" t="n"/>
      <c r="FG10" s="162" t="n"/>
      <c r="FH10" s="163" t="n"/>
      <c r="FI10" s="162" t="n"/>
      <c r="FJ10" s="163" t="n"/>
      <c r="FK10" s="162" t="n"/>
      <c r="FL10" s="163" t="n"/>
    </row>
    <row r="11" ht="15.6" customHeight="1" s="307">
      <c r="A11" s="26" t="n">
        <v>7</v>
      </c>
      <c r="B11" s="26" t="inlineStr">
        <is>
          <t>M.S Plate 220 diax16 MM</t>
        </is>
      </c>
      <c r="C11" s="30" t="n">
        <v>6</v>
      </c>
      <c r="D11" s="30" t="inlineStr">
        <is>
          <t>Kg</t>
        </is>
      </c>
      <c r="E11" s="164">
        <f>Rates!C13</f>
        <v/>
      </c>
      <c r="F11" s="159">
        <f>C11*E11</f>
        <v/>
      </c>
      <c r="G11" s="30" t="n">
        <v>12</v>
      </c>
      <c r="H11" s="30" t="inlineStr">
        <is>
          <t>Kg</t>
        </is>
      </c>
      <c r="I11" s="164">
        <f>E11</f>
        <v/>
      </c>
      <c r="J11" s="34">
        <f>G11*I11</f>
        <v/>
      </c>
      <c r="K11" s="30" t="n">
        <v>6</v>
      </c>
      <c r="L11" s="30" t="inlineStr">
        <is>
          <t>Kg</t>
        </is>
      </c>
      <c r="M11" s="164">
        <f>I11</f>
        <v/>
      </c>
      <c r="N11" s="159">
        <f>K11*M11</f>
        <v/>
      </c>
      <c r="O11" s="30" t="n">
        <v>72</v>
      </c>
      <c r="Q11" s="26" t="n">
        <v>7</v>
      </c>
      <c r="R11" s="26" t="inlineStr">
        <is>
          <t>M.S Plate  240 dia x5 mm</t>
        </is>
      </c>
      <c r="S11" s="26" t="n">
        <v>2.2</v>
      </c>
      <c r="T11" s="26" t="inlineStr">
        <is>
          <t>Kg</t>
        </is>
      </c>
      <c r="U11" s="165">
        <f>Rates!C14</f>
        <v/>
      </c>
      <c r="V11" s="166">
        <f>S11*U11</f>
        <v/>
      </c>
      <c r="W11" s="26" t="n">
        <v>4.4</v>
      </c>
      <c r="X11" s="26" t="inlineStr">
        <is>
          <t>Kg</t>
        </is>
      </c>
      <c r="Y11" s="165">
        <f>U11</f>
        <v/>
      </c>
      <c r="Z11" s="33">
        <f>W11*Y11</f>
        <v/>
      </c>
      <c r="AA11" s="26" t="n">
        <v>2.2</v>
      </c>
      <c r="AB11" s="26" t="inlineStr">
        <is>
          <t>Kg</t>
        </is>
      </c>
      <c r="AC11" s="165">
        <f>U11</f>
        <v/>
      </c>
      <c r="AD11" s="166">
        <f>AA11*AC11</f>
        <v/>
      </c>
      <c r="AE11" s="165" t="n">
        <v>72</v>
      </c>
      <c r="AG11" s="167" t="n">
        <v>7</v>
      </c>
      <c r="AH11" s="26" t="inlineStr">
        <is>
          <t>M.S Plate 400 diax16 MM</t>
        </is>
      </c>
      <c r="AI11" s="26" t="n">
        <v>20</v>
      </c>
      <c r="AJ11" s="26" t="inlineStr">
        <is>
          <t>Kg</t>
        </is>
      </c>
      <c r="AK11" s="165">
        <f>Rates!C12</f>
        <v/>
      </c>
      <c r="AL11" s="166">
        <f>AI11*AK11</f>
        <v/>
      </c>
      <c r="AM11" s="26" t="n">
        <v>40</v>
      </c>
      <c r="AN11" s="26" t="inlineStr">
        <is>
          <t>Kg</t>
        </is>
      </c>
      <c r="AO11" s="165">
        <f>AK11</f>
        <v/>
      </c>
      <c r="AP11" s="33">
        <f>AM11*AO11</f>
        <v/>
      </c>
      <c r="AQ11" s="26" t="n">
        <v>20</v>
      </c>
      <c r="AR11" s="26" t="inlineStr">
        <is>
          <t>Kg</t>
        </is>
      </c>
      <c r="AS11" s="165">
        <f>AK11</f>
        <v/>
      </c>
      <c r="AT11" s="166">
        <f>AQ11*AS11</f>
        <v/>
      </c>
      <c r="AU11" s="26" t="n">
        <v>72</v>
      </c>
      <c r="AW11" s="167" t="n">
        <v>7</v>
      </c>
      <c r="AX11" s="26" t="inlineStr">
        <is>
          <t>M.S Plate 400 diax16 MM</t>
        </is>
      </c>
      <c r="AY11" s="26" t="n">
        <v>20</v>
      </c>
      <c r="AZ11" s="26" t="inlineStr">
        <is>
          <t>Kg</t>
        </is>
      </c>
      <c r="BA11" s="165">
        <f>Rates!C12</f>
        <v/>
      </c>
      <c r="BB11" s="166">
        <f>AY11*BA11</f>
        <v/>
      </c>
      <c r="BC11" s="26" t="n">
        <v>40</v>
      </c>
      <c r="BD11" s="26" t="inlineStr">
        <is>
          <t>Kg</t>
        </is>
      </c>
      <c r="BE11" s="165">
        <f>BA11</f>
        <v/>
      </c>
      <c r="BF11" s="33">
        <f>BC11*BE11</f>
        <v/>
      </c>
      <c r="BG11" s="26" t="n">
        <v>20</v>
      </c>
      <c r="BH11" s="26" t="inlineStr">
        <is>
          <t>Kg</t>
        </is>
      </c>
      <c r="BI11" s="165">
        <f>BA11</f>
        <v/>
      </c>
      <c r="BJ11" s="166">
        <f>BG11*BI11</f>
        <v/>
      </c>
      <c r="BK11" s="26" t="n">
        <v>72</v>
      </c>
      <c r="BM11" s="167" t="n">
        <v>7</v>
      </c>
      <c r="BN11" s="26" t="inlineStr">
        <is>
          <t>M.S Plate 480 diax16 MM</t>
        </is>
      </c>
      <c r="BO11" s="26" t="n">
        <v>29</v>
      </c>
      <c r="BP11" s="26" t="inlineStr">
        <is>
          <t>Kg</t>
        </is>
      </c>
      <c r="BQ11" s="165">
        <f>Rates!C12</f>
        <v/>
      </c>
      <c r="BR11" s="166">
        <f>BO11*BQ11</f>
        <v/>
      </c>
      <c r="BS11" s="26" t="n">
        <v>58</v>
      </c>
      <c r="BT11" s="26" t="inlineStr">
        <is>
          <t>Kg</t>
        </is>
      </c>
      <c r="BU11" s="165">
        <f>BQ11</f>
        <v/>
      </c>
      <c r="BV11" s="33">
        <f>BS11*BU11</f>
        <v/>
      </c>
      <c r="BW11" s="26" t="n">
        <v>29</v>
      </c>
      <c r="BX11" s="26" t="inlineStr">
        <is>
          <t>Kg</t>
        </is>
      </c>
      <c r="BY11" s="165">
        <f>BQ11</f>
        <v/>
      </c>
      <c r="BZ11" s="166">
        <f>BW11*BY11</f>
        <v/>
      </c>
      <c r="CA11" s="26" t="n">
        <v>72</v>
      </c>
      <c r="CC11" s="167" t="n">
        <v>7</v>
      </c>
      <c r="CD11" s="26" t="inlineStr">
        <is>
          <t>M.S Plate 520 diax16 MM</t>
        </is>
      </c>
      <c r="CE11" s="26" t="n">
        <v>34</v>
      </c>
      <c r="CF11" s="26" t="inlineStr">
        <is>
          <t>Kg</t>
        </is>
      </c>
      <c r="CG11" s="165">
        <f>Rates!C12</f>
        <v/>
      </c>
      <c r="CH11" s="166">
        <f>CE11*CG11</f>
        <v/>
      </c>
      <c r="CI11" s="26" t="n">
        <v>68</v>
      </c>
      <c r="CJ11" s="26" t="inlineStr">
        <is>
          <t>Kg</t>
        </is>
      </c>
      <c r="CK11" s="165">
        <f>CG11</f>
        <v/>
      </c>
      <c r="CL11" s="33">
        <f>CI11*CK11</f>
        <v/>
      </c>
      <c r="CM11" s="26" t="n">
        <v>34</v>
      </c>
      <c r="CN11" s="26" t="inlineStr">
        <is>
          <t>Kg</t>
        </is>
      </c>
      <c r="CO11" s="165">
        <f>CG11</f>
        <v/>
      </c>
      <c r="CP11" s="166">
        <f>CM11*CO11</f>
        <v/>
      </c>
      <c r="CQ11" s="26" t="n">
        <v>72</v>
      </c>
      <c r="CS11" s="167" t="n">
        <v>7</v>
      </c>
      <c r="CT11" s="26" t="inlineStr">
        <is>
          <t>M.S Plate 520 diax16 MM</t>
        </is>
      </c>
      <c r="CU11" s="26" t="n">
        <v>34</v>
      </c>
      <c r="CV11" s="26" t="inlineStr">
        <is>
          <t>Kg</t>
        </is>
      </c>
      <c r="CW11" s="165">
        <f>Rates!C12</f>
        <v/>
      </c>
      <c r="CX11" s="166">
        <f>CU11*CW11</f>
        <v/>
      </c>
      <c r="CY11" s="26" t="n">
        <v>68</v>
      </c>
      <c r="CZ11" s="26" t="inlineStr">
        <is>
          <t>Kg</t>
        </is>
      </c>
      <c r="DA11" s="165">
        <f>CW11</f>
        <v/>
      </c>
      <c r="DB11" s="33">
        <f>CY11*DA11</f>
        <v/>
      </c>
      <c r="DC11" s="26" t="n">
        <v>34</v>
      </c>
      <c r="DD11" s="26" t="inlineStr">
        <is>
          <t>Kg</t>
        </is>
      </c>
      <c r="DE11" s="165">
        <f>CW11</f>
        <v/>
      </c>
      <c r="DF11" s="166">
        <f>DC11*DE11</f>
        <v/>
      </c>
      <c r="DG11" s="26">
        <f>DF11-CP11</f>
        <v/>
      </c>
      <c r="DH11" s="167" t="n">
        <v>7</v>
      </c>
      <c r="DI11" s="26" t="inlineStr">
        <is>
          <t>M.S Plate 750 diax16 MM</t>
        </is>
      </c>
      <c r="DJ11" s="26" t="n">
        <v>70</v>
      </c>
      <c r="DK11" s="26" t="inlineStr">
        <is>
          <t>Kg</t>
        </is>
      </c>
      <c r="DL11" s="165">
        <f>Rates!C12</f>
        <v/>
      </c>
      <c r="DM11" s="166">
        <f>DJ11*DL11</f>
        <v/>
      </c>
      <c r="DN11" s="26" t="n">
        <v>140</v>
      </c>
      <c r="DO11" s="26" t="inlineStr">
        <is>
          <t>Kg</t>
        </is>
      </c>
      <c r="DP11" s="165">
        <f>DL11</f>
        <v/>
      </c>
      <c r="DQ11" s="33">
        <f>DN11*DP11</f>
        <v/>
      </c>
      <c r="DR11" s="26" t="n">
        <v>70</v>
      </c>
      <c r="DS11" s="26" t="inlineStr">
        <is>
          <t>Kg</t>
        </is>
      </c>
      <c r="DT11" s="165">
        <f>DL11</f>
        <v/>
      </c>
      <c r="DU11" s="166">
        <f>DR11*DT11</f>
        <v/>
      </c>
      <c r="DV11" s="26" t="n">
        <v>72</v>
      </c>
      <c r="DX11" s="167" t="n">
        <v>7</v>
      </c>
      <c r="DY11" s="26" t="inlineStr">
        <is>
          <t>M.S Plate 775 diax16 MM</t>
        </is>
      </c>
      <c r="DZ11" s="26" t="n">
        <v>75.40000000000001</v>
      </c>
      <c r="EA11" s="26" t="inlineStr">
        <is>
          <t>Kg</t>
        </is>
      </c>
      <c r="EB11" s="165">
        <f>Rates!C12</f>
        <v/>
      </c>
      <c r="EC11" s="166">
        <f>DZ11*EB11</f>
        <v/>
      </c>
      <c r="ED11" s="26" t="n">
        <v>150.8</v>
      </c>
      <c r="EE11" s="26" t="inlineStr">
        <is>
          <t>Kg</t>
        </is>
      </c>
      <c r="EF11" s="165">
        <f>EB11</f>
        <v/>
      </c>
      <c r="EG11" s="33">
        <f>ED11*EF11</f>
        <v/>
      </c>
      <c r="EH11" s="26" t="n">
        <v>75.40000000000001</v>
      </c>
      <c r="EI11" s="26" t="inlineStr">
        <is>
          <t>Kg</t>
        </is>
      </c>
      <c r="EJ11" s="165">
        <f>EB11</f>
        <v/>
      </c>
      <c r="EK11" s="166">
        <f>EH11*EJ11</f>
        <v/>
      </c>
      <c r="EL11" s="26" t="n">
        <v>72</v>
      </c>
      <c r="EN11" s="167" t="n">
        <v>7</v>
      </c>
      <c r="EO11" s="26" t="inlineStr">
        <is>
          <t>M.S Plate 950 diax20MM</t>
        </is>
      </c>
      <c r="EP11" s="26" t="n">
        <v>141</v>
      </c>
      <c r="EQ11" s="26" t="inlineStr">
        <is>
          <t>Kg</t>
        </is>
      </c>
      <c r="ER11" s="165">
        <f>Rates!C12</f>
        <v/>
      </c>
      <c r="ES11" s="166">
        <f>EP11*ER11</f>
        <v/>
      </c>
      <c r="ET11" s="26" t="n">
        <v>282</v>
      </c>
      <c r="EU11" s="26" t="inlineStr">
        <is>
          <t>Kg</t>
        </is>
      </c>
      <c r="EV11" s="165">
        <f>ER11</f>
        <v/>
      </c>
      <c r="EW11" s="33">
        <f>ET11*EV11</f>
        <v/>
      </c>
      <c r="EX11" s="26" t="n">
        <v>141</v>
      </c>
      <c r="EY11" s="26" t="inlineStr">
        <is>
          <t>Kg</t>
        </is>
      </c>
      <c r="EZ11" s="165">
        <f>ER11</f>
        <v/>
      </c>
      <c r="FA11" s="166">
        <f>EX11*EZ11</f>
        <v/>
      </c>
      <c r="FB11" s="26" t="n">
        <v>72</v>
      </c>
      <c r="FE11" s="160" t="n"/>
      <c r="FF11" s="161" t="n"/>
      <c r="FG11" s="162" t="n"/>
      <c r="FH11" s="163" t="n"/>
      <c r="FI11" s="162" t="n"/>
      <c r="FJ11" s="163" t="n"/>
      <c r="FK11" s="162" t="n"/>
      <c r="FL11" s="163" t="n"/>
    </row>
    <row r="12" ht="15.6" customHeight="1" s="307">
      <c r="A12" s="26" t="n">
        <v>8</v>
      </c>
      <c r="B12" s="26" t="inlineStr">
        <is>
          <t>M.S Plate  240 dia x5 mm</t>
        </is>
      </c>
      <c r="C12" s="30" t="n">
        <v>2.2</v>
      </c>
      <c r="D12" s="30" t="inlineStr">
        <is>
          <t>Kg</t>
        </is>
      </c>
      <c r="E12" s="164">
        <f>Rates!C20</f>
        <v/>
      </c>
      <c r="F12" s="159">
        <f>C12*E12</f>
        <v/>
      </c>
      <c r="G12" s="30" t="n">
        <v>4.4</v>
      </c>
      <c r="H12" s="30" t="inlineStr">
        <is>
          <t>Kg</t>
        </is>
      </c>
      <c r="I12" s="164">
        <f>E12</f>
        <v/>
      </c>
      <c r="J12" s="34">
        <f>G12*I12</f>
        <v/>
      </c>
      <c r="K12" s="30" t="n">
        <v>2.2</v>
      </c>
      <c r="L12" s="30" t="inlineStr">
        <is>
          <t>Kg</t>
        </is>
      </c>
      <c r="M12" s="164">
        <f>I12</f>
        <v/>
      </c>
      <c r="N12" s="159">
        <f>K12*M12</f>
        <v/>
      </c>
      <c r="O12" s="30" t="n">
        <v>72</v>
      </c>
      <c r="Q12" s="26" t="n">
        <v>8</v>
      </c>
      <c r="R12" s="26" t="inlineStr">
        <is>
          <t>M.S Pipe 20 NB (5 mtr.)</t>
        </is>
      </c>
      <c r="S12" s="26" t="n">
        <v>9</v>
      </c>
      <c r="T12" s="26" t="inlineStr">
        <is>
          <t>kg</t>
        </is>
      </c>
      <c r="U12" s="165">
        <f>Rates!C22</f>
        <v/>
      </c>
      <c r="V12" s="166">
        <f>S12*U12</f>
        <v/>
      </c>
      <c r="W12" s="26" t="n">
        <v>9</v>
      </c>
      <c r="X12" s="26" t="inlineStr">
        <is>
          <t>kg</t>
        </is>
      </c>
      <c r="Y12" s="165">
        <f>U12</f>
        <v/>
      </c>
      <c r="Z12" s="33">
        <f>W12*Y12</f>
        <v/>
      </c>
      <c r="AA12" s="26" t="n">
        <v>9</v>
      </c>
      <c r="AB12" s="26" t="inlineStr">
        <is>
          <t>kg</t>
        </is>
      </c>
      <c r="AC12" s="165">
        <f>U12</f>
        <v/>
      </c>
      <c r="AD12" s="166">
        <f>AA12*AC12</f>
        <v/>
      </c>
      <c r="AE12" s="165" t="n">
        <v>135</v>
      </c>
      <c r="AG12" s="167" t="n">
        <v>8</v>
      </c>
      <c r="AH12" s="26" t="inlineStr">
        <is>
          <t>M.S Plate  380 dia x5 mm</t>
        </is>
      </c>
      <c r="AI12" s="26" t="n">
        <v>5.6</v>
      </c>
      <c r="AJ12" s="26" t="inlineStr">
        <is>
          <t>Kg</t>
        </is>
      </c>
      <c r="AK12" s="165">
        <f>AK10</f>
        <v/>
      </c>
      <c r="AL12" s="166">
        <f>AI12*AK12</f>
        <v/>
      </c>
      <c r="AM12" s="26" t="n">
        <v>11.2</v>
      </c>
      <c r="AN12" s="26" t="inlineStr">
        <is>
          <t>Kg</t>
        </is>
      </c>
      <c r="AO12" s="165">
        <f>AK12</f>
        <v/>
      </c>
      <c r="AP12" s="33">
        <f>AM12*AO12</f>
        <v/>
      </c>
      <c r="AQ12" s="26" t="n">
        <v>5.6</v>
      </c>
      <c r="AR12" s="26" t="inlineStr">
        <is>
          <t>Kg</t>
        </is>
      </c>
      <c r="AS12" s="165">
        <f>AK12</f>
        <v/>
      </c>
      <c r="AT12" s="166">
        <f>AQ12*AS12</f>
        <v/>
      </c>
      <c r="AU12" s="26" t="n">
        <v>72</v>
      </c>
      <c r="AW12" s="167" t="n">
        <v>8</v>
      </c>
      <c r="AX12" s="26" t="inlineStr">
        <is>
          <t>M.S Plate  380 dia x5 mm</t>
        </is>
      </c>
      <c r="AY12" s="26" t="n">
        <v>5.6</v>
      </c>
      <c r="AZ12" s="26" t="inlineStr">
        <is>
          <t>Kg</t>
        </is>
      </c>
      <c r="BA12" s="165">
        <f>Rates!C20</f>
        <v/>
      </c>
      <c r="BB12" s="166">
        <f>AY12*BA12</f>
        <v/>
      </c>
      <c r="BC12" s="26" t="n">
        <v>11.2</v>
      </c>
      <c r="BD12" s="26" t="inlineStr">
        <is>
          <t>Kg</t>
        </is>
      </c>
      <c r="BE12" s="165">
        <f>BA12</f>
        <v/>
      </c>
      <c r="BF12" s="33">
        <f>BC12*BE12</f>
        <v/>
      </c>
      <c r="BG12" s="26" t="n">
        <v>5.6</v>
      </c>
      <c r="BH12" s="26" t="inlineStr">
        <is>
          <t>Kg</t>
        </is>
      </c>
      <c r="BI12" s="165">
        <f>BA12</f>
        <v/>
      </c>
      <c r="BJ12" s="166">
        <f>BG12*BI12</f>
        <v/>
      </c>
      <c r="BK12" s="26" t="n">
        <v>72</v>
      </c>
      <c r="BM12" s="167" t="n">
        <v>8</v>
      </c>
      <c r="BN12" s="26" t="inlineStr">
        <is>
          <t>M.S Plate  440 dia x5 mm</t>
        </is>
      </c>
      <c r="BO12" s="26" t="n">
        <v>7</v>
      </c>
      <c r="BP12" s="26" t="inlineStr">
        <is>
          <t>Kg</t>
        </is>
      </c>
      <c r="BQ12" s="165">
        <f>Rates!C20</f>
        <v/>
      </c>
      <c r="BR12" s="166">
        <f>BO12*BQ12</f>
        <v/>
      </c>
      <c r="BS12" s="26" t="n">
        <v>14</v>
      </c>
      <c r="BT12" s="26" t="inlineStr">
        <is>
          <t>Kg</t>
        </is>
      </c>
      <c r="BU12" s="165">
        <f>BQ12</f>
        <v/>
      </c>
      <c r="BV12" s="33">
        <f>BS12*BU12</f>
        <v/>
      </c>
      <c r="BW12" s="26" t="n">
        <v>7</v>
      </c>
      <c r="BX12" s="26" t="inlineStr">
        <is>
          <t>Kg</t>
        </is>
      </c>
      <c r="BY12" s="165">
        <f>BQ12</f>
        <v/>
      </c>
      <c r="BZ12" s="166">
        <f>BW12*BY12</f>
        <v/>
      </c>
      <c r="CA12" s="26" t="n">
        <v>72</v>
      </c>
      <c r="CC12" s="167" t="n">
        <v>8</v>
      </c>
      <c r="CD12" s="26" t="inlineStr">
        <is>
          <t>M.S Plate  480 dia x5 mm</t>
        </is>
      </c>
      <c r="CE12" s="26" t="n">
        <v>9</v>
      </c>
      <c r="CF12" s="26" t="inlineStr">
        <is>
          <t>Kg</t>
        </is>
      </c>
      <c r="CG12" s="165">
        <f>Rates!C20</f>
        <v/>
      </c>
      <c r="CH12" s="166">
        <f>CE12*CG12</f>
        <v/>
      </c>
      <c r="CI12" s="26" t="n">
        <v>18</v>
      </c>
      <c r="CJ12" s="26" t="inlineStr">
        <is>
          <t>Kg</t>
        </is>
      </c>
      <c r="CK12" s="165">
        <f>CG12</f>
        <v/>
      </c>
      <c r="CL12" s="33">
        <f>CI12*CK12</f>
        <v/>
      </c>
      <c r="CM12" s="26" t="n">
        <v>9</v>
      </c>
      <c r="CN12" s="26" t="inlineStr">
        <is>
          <t>Kg</t>
        </is>
      </c>
      <c r="CO12" s="165">
        <f>CG12</f>
        <v/>
      </c>
      <c r="CP12" s="166">
        <f>CM12*CO12</f>
        <v/>
      </c>
      <c r="CQ12" s="26" t="n">
        <v>72</v>
      </c>
      <c r="CS12" s="167" t="n">
        <v>8</v>
      </c>
      <c r="CT12" s="26" t="inlineStr">
        <is>
          <t>M.S Plate  480 dia x5 mm</t>
        </is>
      </c>
      <c r="CU12" s="26" t="n">
        <v>9</v>
      </c>
      <c r="CV12" s="26" t="inlineStr">
        <is>
          <t>Kg</t>
        </is>
      </c>
      <c r="CW12" s="165">
        <f>Rates!C20</f>
        <v/>
      </c>
      <c r="CX12" s="166">
        <f>CU12*CW12</f>
        <v/>
      </c>
      <c r="CY12" s="26" t="n">
        <v>18</v>
      </c>
      <c r="CZ12" s="26" t="inlineStr">
        <is>
          <t>Kg</t>
        </is>
      </c>
      <c r="DA12" s="165">
        <f>CW12</f>
        <v/>
      </c>
      <c r="DB12" s="33">
        <f>CY12*DA12</f>
        <v/>
      </c>
      <c r="DC12" s="26" t="n">
        <v>9</v>
      </c>
      <c r="DD12" s="26" t="inlineStr">
        <is>
          <t>Kg</t>
        </is>
      </c>
      <c r="DE12" s="165">
        <f>CW12</f>
        <v/>
      </c>
      <c r="DF12" s="166">
        <f>DC12*DE12</f>
        <v/>
      </c>
      <c r="DG12" s="26">
        <f>DF12-CP12</f>
        <v/>
      </c>
      <c r="DH12" s="167" t="n">
        <v>8</v>
      </c>
      <c r="DI12" s="26" t="inlineStr">
        <is>
          <t>M.S Plate  770 dia x5 mm</t>
        </is>
      </c>
      <c r="DJ12" s="26" t="n">
        <v>23</v>
      </c>
      <c r="DK12" s="26" t="inlineStr">
        <is>
          <t>Kg</t>
        </is>
      </c>
      <c r="DL12" s="165">
        <f>Rates!C20</f>
        <v/>
      </c>
      <c r="DM12" s="166">
        <f>DJ12*DL12</f>
        <v/>
      </c>
      <c r="DN12" s="26" t="n">
        <v>46</v>
      </c>
      <c r="DO12" s="26" t="inlineStr">
        <is>
          <t>Kg</t>
        </is>
      </c>
      <c r="DP12" s="165">
        <f>DL12</f>
        <v/>
      </c>
      <c r="DQ12" s="33">
        <f>DN12*DP12</f>
        <v/>
      </c>
      <c r="DR12" s="26" t="n">
        <v>23</v>
      </c>
      <c r="DS12" s="26" t="inlineStr">
        <is>
          <t>Kg</t>
        </is>
      </c>
      <c r="DT12" s="165">
        <f>DL12</f>
        <v/>
      </c>
      <c r="DU12" s="166">
        <f>DR12*DT12</f>
        <v/>
      </c>
      <c r="DV12" s="26" t="n">
        <v>72</v>
      </c>
      <c r="DX12" s="167" t="n">
        <v>8</v>
      </c>
      <c r="DY12" s="26" t="inlineStr">
        <is>
          <t>M.S Plate  770 dia x5 mm</t>
        </is>
      </c>
      <c r="DZ12" s="26" t="n">
        <v>23</v>
      </c>
      <c r="EA12" s="26" t="inlineStr">
        <is>
          <t>Kg</t>
        </is>
      </c>
      <c r="EB12" s="165">
        <f>Rates!C20</f>
        <v/>
      </c>
      <c r="EC12" s="166">
        <f>DZ12*EB12</f>
        <v/>
      </c>
      <c r="ED12" s="26" t="n">
        <v>46</v>
      </c>
      <c r="EE12" s="26" t="inlineStr">
        <is>
          <t>Kg</t>
        </is>
      </c>
      <c r="EF12" s="165">
        <f>EB12</f>
        <v/>
      </c>
      <c r="EG12" s="33">
        <f>ED12*EF12</f>
        <v/>
      </c>
      <c r="EH12" s="26" t="n">
        <v>23</v>
      </c>
      <c r="EI12" s="26" t="inlineStr">
        <is>
          <t>Kg</t>
        </is>
      </c>
      <c r="EJ12" s="165">
        <f>EB12</f>
        <v/>
      </c>
      <c r="EK12" s="166">
        <f>EH12*EJ12</f>
        <v/>
      </c>
      <c r="EL12" s="26" t="n">
        <v>72</v>
      </c>
      <c r="EN12" s="167" t="n">
        <v>8</v>
      </c>
      <c r="EO12" s="26" t="inlineStr">
        <is>
          <t>M.S Plate  910 dia x5 mm</t>
        </is>
      </c>
      <c r="EP12" s="26" t="n">
        <v>32.5</v>
      </c>
      <c r="EQ12" s="26" t="inlineStr">
        <is>
          <t>Kg</t>
        </is>
      </c>
      <c r="ER12" s="165">
        <f>Rates!C20</f>
        <v/>
      </c>
      <c r="ES12" s="166">
        <f>EP12*ER12</f>
        <v/>
      </c>
      <c r="ET12" s="26" t="n">
        <v>65</v>
      </c>
      <c r="EU12" s="26" t="inlineStr">
        <is>
          <t>Kg</t>
        </is>
      </c>
      <c r="EV12" s="165">
        <f>ER12</f>
        <v/>
      </c>
      <c r="EW12" s="33">
        <f>ET12*EV12</f>
        <v/>
      </c>
      <c r="EX12" s="26" t="n">
        <v>32.5</v>
      </c>
      <c r="EY12" s="26" t="inlineStr">
        <is>
          <t>Kg</t>
        </is>
      </c>
      <c r="EZ12" s="165">
        <f>ER12</f>
        <v/>
      </c>
      <c r="FA12" s="166">
        <f>EX12*EZ12</f>
        <v/>
      </c>
      <c r="FB12" s="26" t="n">
        <v>72</v>
      </c>
      <c r="FE12" s="160" t="n"/>
      <c r="FF12" s="161" t="n"/>
      <c r="FG12" s="162" t="n"/>
      <c r="FH12" s="163" t="n"/>
      <c r="FI12" s="162" t="n"/>
      <c r="FJ12" s="163" t="n"/>
      <c r="FK12" s="162" t="n"/>
      <c r="FL12" s="163" t="n"/>
    </row>
    <row r="13" ht="15.6" customHeight="1" s="307">
      <c r="A13" s="26" t="n">
        <v>9</v>
      </c>
      <c r="B13" s="26" t="inlineStr">
        <is>
          <t>M.S Pipe 20 NB (5 mtr.)</t>
        </is>
      </c>
      <c r="C13" s="30" t="n">
        <v>9</v>
      </c>
      <c r="D13" s="30" t="inlineStr">
        <is>
          <t>kg</t>
        </is>
      </c>
      <c r="E13" s="164">
        <f>Rates!C22</f>
        <v/>
      </c>
      <c r="F13" s="159">
        <f>C13*E13</f>
        <v/>
      </c>
      <c r="G13" s="30" t="n">
        <v>9</v>
      </c>
      <c r="H13" s="30" t="inlineStr">
        <is>
          <t>kg</t>
        </is>
      </c>
      <c r="I13" s="164">
        <f>E13</f>
        <v/>
      </c>
      <c r="J13" s="34">
        <f>G13*I13</f>
        <v/>
      </c>
      <c r="K13" s="30" t="n">
        <v>9</v>
      </c>
      <c r="L13" s="30" t="inlineStr">
        <is>
          <t>kg</t>
        </is>
      </c>
      <c r="M13" s="164">
        <f>I13</f>
        <v/>
      </c>
      <c r="N13" s="159">
        <f>K13*M13</f>
        <v/>
      </c>
      <c r="O13" s="30" t="n">
        <v>135</v>
      </c>
      <c r="Q13" s="26" t="n">
        <v>9</v>
      </c>
      <c r="R13" s="26" t="inlineStr">
        <is>
          <t>M.S Pipe 15 NB (.5 mtr.)</t>
        </is>
      </c>
      <c r="S13" s="26" t="n">
        <v>1.5</v>
      </c>
      <c r="T13" s="26" t="inlineStr">
        <is>
          <t>Kg</t>
        </is>
      </c>
      <c r="U13" s="165">
        <f>Rates!C22</f>
        <v/>
      </c>
      <c r="V13" s="166">
        <f>S13*U13</f>
        <v/>
      </c>
      <c r="W13" s="26" t="n">
        <v>1.5</v>
      </c>
      <c r="X13" s="26" t="inlineStr">
        <is>
          <t>kg</t>
        </is>
      </c>
      <c r="Y13" s="165">
        <f>U13</f>
        <v/>
      </c>
      <c r="Z13" s="33">
        <f>W13*Y13</f>
        <v/>
      </c>
      <c r="AA13" s="26" t="n">
        <v>1.5</v>
      </c>
      <c r="AB13" s="26" t="inlineStr">
        <is>
          <t>Kg</t>
        </is>
      </c>
      <c r="AC13" s="165">
        <f>U13</f>
        <v/>
      </c>
      <c r="AD13" s="166">
        <f>AA13*AC13</f>
        <v/>
      </c>
      <c r="AE13" s="165" t="n">
        <v>135</v>
      </c>
      <c r="AG13" s="167" t="n">
        <v>9</v>
      </c>
      <c r="AH13" s="26" t="inlineStr">
        <is>
          <t>M.S Pipe 20 NB (5 mtr.)</t>
        </is>
      </c>
      <c r="AI13" s="26" t="n">
        <v>9</v>
      </c>
      <c r="AJ13" s="26" t="inlineStr">
        <is>
          <t>kg</t>
        </is>
      </c>
      <c r="AK13" s="165">
        <f>Rates!C22</f>
        <v/>
      </c>
      <c r="AL13" s="166">
        <f>AI13*AK13</f>
        <v/>
      </c>
      <c r="AM13" s="26" t="n">
        <v>9</v>
      </c>
      <c r="AN13" s="26" t="inlineStr">
        <is>
          <t>kg</t>
        </is>
      </c>
      <c r="AO13" s="165">
        <f>AK13</f>
        <v/>
      </c>
      <c r="AP13" s="33">
        <f>AM13*AO13</f>
        <v/>
      </c>
      <c r="AQ13" s="26" t="n">
        <v>9</v>
      </c>
      <c r="AR13" s="26" t="inlineStr">
        <is>
          <t>kg</t>
        </is>
      </c>
      <c r="AS13" s="165">
        <f>AK13</f>
        <v/>
      </c>
      <c r="AT13" s="166">
        <f>AQ13*AS13</f>
        <v/>
      </c>
      <c r="AU13" s="26" t="n">
        <v>135</v>
      </c>
      <c r="AW13" s="167" t="n">
        <v>9</v>
      </c>
      <c r="AX13" s="26" t="inlineStr">
        <is>
          <t>M.S Pipe 20 NB (5 mtr.)</t>
        </is>
      </c>
      <c r="AY13" s="26" t="n">
        <v>9</v>
      </c>
      <c r="AZ13" s="26" t="inlineStr">
        <is>
          <t>kg</t>
        </is>
      </c>
      <c r="BA13" s="165">
        <f>Rates!C22</f>
        <v/>
      </c>
      <c r="BB13" s="166">
        <f>AY13*BA13</f>
        <v/>
      </c>
      <c r="BC13" s="26" t="n">
        <v>9</v>
      </c>
      <c r="BD13" s="26" t="inlineStr">
        <is>
          <t>kg</t>
        </is>
      </c>
      <c r="BE13" s="165">
        <f>BA13</f>
        <v/>
      </c>
      <c r="BF13" s="33">
        <f>BC13*BE13</f>
        <v/>
      </c>
      <c r="BG13" s="26" t="n">
        <v>9</v>
      </c>
      <c r="BH13" s="26" t="inlineStr">
        <is>
          <t>kg</t>
        </is>
      </c>
      <c r="BI13" s="165">
        <f>BA13</f>
        <v/>
      </c>
      <c r="BJ13" s="166">
        <f>BG13*BI13</f>
        <v/>
      </c>
      <c r="BK13" s="26" t="n">
        <v>135</v>
      </c>
      <c r="BM13" s="167" t="n">
        <v>9</v>
      </c>
      <c r="BN13" s="26" t="inlineStr">
        <is>
          <t>M.S Pipe 20 NB (6 mtr.)</t>
        </is>
      </c>
      <c r="BO13" s="26" t="n">
        <v>10.8</v>
      </c>
      <c r="BP13" s="26" t="inlineStr">
        <is>
          <t>kg</t>
        </is>
      </c>
      <c r="BQ13" s="165">
        <f>Rates!C22</f>
        <v/>
      </c>
      <c r="BR13" s="166">
        <f>BO13*BQ13</f>
        <v/>
      </c>
      <c r="BS13" s="26" t="n">
        <v>10.8</v>
      </c>
      <c r="BT13" s="26" t="inlineStr">
        <is>
          <t>kg</t>
        </is>
      </c>
      <c r="BU13" s="165">
        <f>BQ13</f>
        <v/>
      </c>
      <c r="BV13" s="33">
        <f>BS13*BU13</f>
        <v/>
      </c>
      <c r="BW13" s="26" t="n">
        <v>10.8</v>
      </c>
      <c r="BX13" s="26" t="inlineStr">
        <is>
          <t>kg</t>
        </is>
      </c>
      <c r="BY13" s="165">
        <f>BQ13</f>
        <v/>
      </c>
      <c r="BZ13" s="166">
        <f>BW13*BY13</f>
        <v/>
      </c>
      <c r="CA13" s="26" t="n">
        <v>135</v>
      </c>
      <c r="CC13" s="167" t="n">
        <v>9</v>
      </c>
      <c r="CD13" s="26" t="inlineStr">
        <is>
          <t>M.S Pipe 20 NB (6 mtr.)</t>
        </is>
      </c>
      <c r="CE13" s="26" t="n">
        <v>10.8</v>
      </c>
      <c r="CF13" s="26" t="inlineStr">
        <is>
          <t>kg</t>
        </is>
      </c>
      <c r="CG13" s="165">
        <f>Rates!C22</f>
        <v/>
      </c>
      <c r="CH13" s="166">
        <f>CE13*CG13</f>
        <v/>
      </c>
      <c r="CI13" s="26" t="n">
        <v>10.8</v>
      </c>
      <c r="CJ13" s="26" t="inlineStr">
        <is>
          <t>kg</t>
        </is>
      </c>
      <c r="CK13" s="165">
        <f>CG13</f>
        <v/>
      </c>
      <c r="CL13" s="33">
        <f>CI13*CK13</f>
        <v/>
      </c>
      <c r="CM13" s="26" t="n">
        <v>10.8</v>
      </c>
      <c r="CN13" s="26" t="inlineStr">
        <is>
          <t>kg</t>
        </is>
      </c>
      <c r="CO13" s="165">
        <f>CG13</f>
        <v/>
      </c>
      <c r="CP13" s="166">
        <f>CM13*CO13</f>
        <v/>
      </c>
      <c r="CQ13" s="26" t="n">
        <v>135</v>
      </c>
      <c r="CS13" s="167" t="n">
        <v>9</v>
      </c>
      <c r="CT13" s="26" t="inlineStr">
        <is>
          <t>M.S Pipe 20 NB (6 mtr.)</t>
        </is>
      </c>
      <c r="CU13" s="26" t="n">
        <v>10.8</v>
      </c>
      <c r="CV13" s="26" t="inlineStr">
        <is>
          <t>kg</t>
        </is>
      </c>
      <c r="CW13" s="165">
        <f>Rates!C22</f>
        <v/>
      </c>
      <c r="CX13" s="166">
        <f>CU13*CW13</f>
        <v/>
      </c>
      <c r="CY13" s="26" t="n">
        <v>10.8</v>
      </c>
      <c r="CZ13" s="26" t="inlineStr">
        <is>
          <t>kg</t>
        </is>
      </c>
      <c r="DA13" s="165">
        <f>CW13</f>
        <v/>
      </c>
      <c r="DB13" s="33">
        <f>CY13*DA13</f>
        <v/>
      </c>
      <c r="DC13" s="26" t="n">
        <v>10.8</v>
      </c>
      <c r="DD13" s="26" t="inlineStr">
        <is>
          <t>kg</t>
        </is>
      </c>
      <c r="DE13" s="165">
        <f>CW13</f>
        <v/>
      </c>
      <c r="DF13" s="166">
        <f>DC13*DE13</f>
        <v/>
      </c>
      <c r="DG13" s="26">
        <f>DF13-CP13</f>
        <v/>
      </c>
      <c r="DH13" s="167" t="n">
        <v>9</v>
      </c>
      <c r="DI13" s="26" t="inlineStr">
        <is>
          <t>M.S Pipe 25 NB (6 mtr.)</t>
        </is>
      </c>
      <c r="DJ13" s="26" t="n">
        <v>20</v>
      </c>
      <c r="DK13" s="26" t="inlineStr">
        <is>
          <t>kg</t>
        </is>
      </c>
      <c r="DL13" s="165">
        <f>Rates!C22</f>
        <v/>
      </c>
      <c r="DM13" s="166">
        <f>DJ13*DL13</f>
        <v/>
      </c>
      <c r="DN13" s="26" t="n">
        <v>20</v>
      </c>
      <c r="DO13" s="26" t="inlineStr">
        <is>
          <t>kg</t>
        </is>
      </c>
      <c r="DP13" s="165">
        <f>DL13</f>
        <v/>
      </c>
      <c r="DQ13" s="33">
        <f>DN13*DP13</f>
        <v/>
      </c>
      <c r="DR13" s="26" t="n">
        <v>20</v>
      </c>
      <c r="DS13" s="26" t="inlineStr">
        <is>
          <t>kg</t>
        </is>
      </c>
      <c r="DT13" s="165">
        <f>DL13</f>
        <v/>
      </c>
      <c r="DU13" s="166">
        <f>DR13*DT13</f>
        <v/>
      </c>
      <c r="DV13" s="26" t="n">
        <v>135</v>
      </c>
      <c r="DX13" s="167" t="n">
        <v>9</v>
      </c>
      <c r="DY13" s="26" t="inlineStr">
        <is>
          <t>M.S Pipe 25 NB (6 mtr.)</t>
        </is>
      </c>
      <c r="DZ13" s="26" t="n">
        <v>20</v>
      </c>
      <c r="EA13" s="26" t="inlineStr">
        <is>
          <t>kg</t>
        </is>
      </c>
      <c r="EB13" s="165">
        <f>Rates!C22</f>
        <v/>
      </c>
      <c r="EC13" s="166">
        <f>DZ13*EB13</f>
        <v/>
      </c>
      <c r="ED13" s="26" t="n">
        <v>20</v>
      </c>
      <c r="EE13" s="26" t="inlineStr">
        <is>
          <t>kg</t>
        </is>
      </c>
      <c r="EF13" s="165">
        <f>EB13</f>
        <v/>
      </c>
      <c r="EG13" s="33">
        <f>ED13*EF13</f>
        <v/>
      </c>
      <c r="EH13" s="26" t="n">
        <v>20</v>
      </c>
      <c r="EI13" s="26" t="inlineStr">
        <is>
          <t>kg</t>
        </is>
      </c>
      <c r="EJ13" s="165">
        <f>EB13</f>
        <v/>
      </c>
      <c r="EK13" s="166">
        <f>EH13*EJ13</f>
        <v/>
      </c>
      <c r="EL13" s="26" t="n">
        <v>135</v>
      </c>
      <c r="EN13" s="167" t="n">
        <v>9</v>
      </c>
      <c r="EO13" s="26" t="inlineStr">
        <is>
          <t>M.S Pipe 32 NB (9 mtr.)</t>
        </is>
      </c>
      <c r="EP13" s="26" t="n">
        <v>32</v>
      </c>
      <c r="EQ13" s="26" t="inlineStr">
        <is>
          <t>kg</t>
        </is>
      </c>
      <c r="ER13" s="165">
        <f>Rates!C22</f>
        <v/>
      </c>
      <c r="ES13" s="166">
        <f>EP13*ER13</f>
        <v/>
      </c>
      <c r="ET13" s="26" t="n">
        <v>32</v>
      </c>
      <c r="EU13" s="26" t="inlineStr">
        <is>
          <t>kg</t>
        </is>
      </c>
      <c r="EV13" s="165">
        <f>ER13</f>
        <v/>
      </c>
      <c r="EW13" s="33">
        <f>ET13*EV13</f>
        <v/>
      </c>
      <c r="EX13" s="26" t="n">
        <v>32</v>
      </c>
      <c r="EY13" s="26" t="inlineStr">
        <is>
          <t>kg</t>
        </is>
      </c>
      <c r="EZ13" s="165">
        <f>ER13</f>
        <v/>
      </c>
      <c r="FA13" s="166">
        <f>EX13*EZ13</f>
        <v/>
      </c>
      <c r="FB13" s="26" t="n">
        <v>135</v>
      </c>
      <c r="FE13" s="160" t="n"/>
      <c r="FF13" s="161" t="n"/>
      <c r="FG13" s="162" t="n"/>
      <c r="FH13" s="163" t="n"/>
      <c r="FI13" s="162" t="n"/>
      <c r="FJ13" s="163" t="n"/>
      <c r="FK13" s="162" t="n"/>
      <c r="FL13" s="163" t="n"/>
    </row>
    <row r="14" ht="14.4" customHeight="1" s="307">
      <c r="A14" s="26" t="n">
        <v>10</v>
      </c>
      <c r="B14" s="26" t="inlineStr">
        <is>
          <t>M.S Pipe 15 NB (.5 mtr.)</t>
        </is>
      </c>
      <c r="C14" s="30" t="n">
        <v>1.5</v>
      </c>
      <c r="D14" s="30" t="inlineStr">
        <is>
          <t>Kg</t>
        </is>
      </c>
      <c r="E14" s="164">
        <f>Rates!C22</f>
        <v/>
      </c>
      <c r="F14" s="159">
        <f>C14*E14</f>
        <v/>
      </c>
      <c r="G14" s="30" t="n">
        <v>1.5</v>
      </c>
      <c r="H14" s="30" t="inlineStr">
        <is>
          <t>kg</t>
        </is>
      </c>
      <c r="I14" s="164">
        <f>E14</f>
        <v/>
      </c>
      <c r="J14" s="34">
        <f>G14*I14</f>
        <v/>
      </c>
      <c r="K14" s="30" t="n">
        <v>1.5</v>
      </c>
      <c r="L14" s="30" t="inlineStr">
        <is>
          <t>Kg</t>
        </is>
      </c>
      <c r="M14" s="164">
        <f>I14</f>
        <v/>
      </c>
      <c r="N14" s="159">
        <f>K14*M14</f>
        <v/>
      </c>
      <c r="O14" s="30" t="n">
        <v>135</v>
      </c>
      <c r="Q14" s="26" t="n">
        <v>10</v>
      </c>
      <c r="R14" s="26" t="inlineStr">
        <is>
          <t>M.S Channel 100X50(400 mm long)</t>
        </is>
      </c>
      <c r="S14" s="26" t="n">
        <v>3.8</v>
      </c>
      <c r="T14" s="26" t="inlineStr">
        <is>
          <t>Kg</t>
        </is>
      </c>
      <c r="U14" s="165">
        <f>Rates!C10</f>
        <v/>
      </c>
      <c r="V14" s="166">
        <f>S14*U14</f>
        <v/>
      </c>
      <c r="W14" s="26" t="n">
        <v>7.6</v>
      </c>
      <c r="X14" s="26" t="inlineStr">
        <is>
          <t>kg</t>
        </is>
      </c>
      <c r="Y14" s="165">
        <f>U14</f>
        <v/>
      </c>
      <c r="Z14" s="33">
        <f>W14*Y14</f>
        <v/>
      </c>
      <c r="AA14" s="26" t="n">
        <v>3.8</v>
      </c>
      <c r="AB14" s="26" t="inlineStr">
        <is>
          <t>Kg</t>
        </is>
      </c>
      <c r="AC14" s="165">
        <f>U14</f>
        <v/>
      </c>
      <c r="AD14" s="166">
        <f>AA14*AC14</f>
        <v/>
      </c>
      <c r="AE14" s="165" t="n">
        <v>71</v>
      </c>
      <c r="AG14" s="167" t="n">
        <v>10</v>
      </c>
      <c r="AH14" s="26" t="inlineStr">
        <is>
          <t>M.S Pipe 15 NB (.5 mtr.)</t>
        </is>
      </c>
      <c r="AI14" s="26" t="n">
        <v>1.5</v>
      </c>
      <c r="AJ14" s="26" t="inlineStr">
        <is>
          <t>Kg</t>
        </is>
      </c>
      <c r="AK14" s="165">
        <f>Rates!C22</f>
        <v/>
      </c>
      <c r="AL14" s="166">
        <f>AI14*AK14</f>
        <v/>
      </c>
      <c r="AM14" s="26" t="n">
        <v>1.5</v>
      </c>
      <c r="AN14" s="26" t="inlineStr">
        <is>
          <t>kg</t>
        </is>
      </c>
      <c r="AO14" s="165">
        <f>AK14</f>
        <v/>
      </c>
      <c r="AP14" s="33">
        <f>AM14*AO14</f>
        <v/>
      </c>
      <c r="AQ14" s="26" t="n">
        <v>1.5</v>
      </c>
      <c r="AR14" s="26" t="inlineStr">
        <is>
          <t>Kg</t>
        </is>
      </c>
      <c r="AS14" s="165">
        <f>AK14</f>
        <v/>
      </c>
      <c r="AT14" s="166">
        <f>AQ14*AS14</f>
        <v/>
      </c>
      <c r="AU14" s="26" t="n">
        <v>135</v>
      </c>
      <c r="AW14" s="167" t="n">
        <v>10</v>
      </c>
      <c r="AX14" s="26" t="inlineStr">
        <is>
          <t>M.S Pipe 15 NB (.5 mtr.)</t>
        </is>
      </c>
      <c r="AY14" s="26" t="n">
        <v>1.5</v>
      </c>
      <c r="AZ14" s="26" t="inlineStr">
        <is>
          <t>Kg</t>
        </is>
      </c>
      <c r="BA14" s="165">
        <f>Rates!C22</f>
        <v/>
      </c>
      <c r="BB14" s="166">
        <f>AY14*BA14</f>
        <v/>
      </c>
      <c r="BC14" s="26" t="n">
        <v>1.5</v>
      </c>
      <c r="BD14" s="26" t="inlineStr">
        <is>
          <t>kg</t>
        </is>
      </c>
      <c r="BE14" s="165">
        <f>BA14</f>
        <v/>
      </c>
      <c r="BF14" s="33">
        <f>BC14*BE14</f>
        <v/>
      </c>
      <c r="BG14" s="26" t="n">
        <v>1.5</v>
      </c>
      <c r="BH14" s="26" t="inlineStr">
        <is>
          <t>Kg</t>
        </is>
      </c>
      <c r="BI14" s="165">
        <f>BA14</f>
        <v/>
      </c>
      <c r="BJ14" s="166">
        <f>BG14*BI14</f>
        <v/>
      </c>
      <c r="BK14" s="26" t="n">
        <v>135</v>
      </c>
      <c r="BM14" s="167" t="n">
        <v>10</v>
      </c>
      <c r="BN14" s="26" t="inlineStr">
        <is>
          <t>M.S Pipe 15 NB (.5 mtr.)</t>
        </is>
      </c>
      <c r="BO14" s="26" t="n">
        <v>1.5</v>
      </c>
      <c r="BP14" s="26" t="inlineStr">
        <is>
          <t>Kg</t>
        </is>
      </c>
      <c r="BQ14" s="165">
        <f>Rates!C22</f>
        <v/>
      </c>
      <c r="BR14" s="166">
        <f>BO14*BQ14</f>
        <v/>
      </c>
      <c r="BS14" s="26" t="n">
        <v>1.5</v>
      </c>
      <c r="BT14" s="26" t="inlineStr">
        <is>
          <t>kg</t>
        </is>
      </c>
      <c r="BU14" s="165">
        <f>BQ14</f>
        <v/>
      </c>
      <c r="BV14" s="33">
        <f>BS14*BU14</f>
        <v/>
      </c>
      <c r="BW14" s="26" t="n">
        <v>1.5</v>
      </c>
      <c r="BX14" s="26" t="inlineStr">
        <is>
          <t>Kg</t>
        </is>
      </c>
      <c r="BY14" s="165">
        <f>BQ14</f>
        <v/>
      </c>
      <c r="BZ14" s="166">
        <f>BW14*BY14</f>
        <v/>
      </c>
      <c r="CA14" s="26" t="n">
        <v>135</v>
      </c>
      <c r="CC14" s="167" t="n">
        <v>10</v>
      </c>
      <c r="CD14" s="26" t="inlineStr">
        <is>
          <t>M.S Pipe 15 NB (.5 mtr.)</t>
        </is>
      </c>
      <c r="CE14" s="26" t="n">
        <v>1.5</v>
      </c>
      <c r="CF14" s="26" t="inlineStr">
        <is>
          <t>Kg</t>
        </is>
      </c>
      <c r="CG14" s="165">
        <f>Rates!C22</f>
        <v/>
      </c>
      <c r="CH14" s="166">
        <f>CE14*CG14</f>
        <v/>
      </c>
      <c r="CI14" s="26" t="n">
        <v>1.5</v>
      </c>
      <c r="CJ14" s="26" t="inlineStr">
        <is>
          <t>kg</t>
        </is>
      </c>
      <c r="CK14" s="165">
        <f>CG14</f>
        <v/>
      </c>
      <c r="CL14" s="33">
        <f>CI14*CK14</f>
        <v/>
      </c>
      <c r="CM14" s="26" t="n">
        <v>1.5</v>
      </c>
      <c r="CN14" s="26" t="inlineStr">
        <is>
          <t>Kg</t>
        </is>
      </c>
      <c r="CO14" s="165">
        <f>CG14</f>
        <v/>
      </c>
      <c r="CP14" s="166">
        <f>CM14*CO14</f>
        <v/>
      </c>
      <c r="CQ14" s="26" t="n">
        <v>135</v>
      </c>
      <c r="CS14" s="167" t="n">
        <v>10</v>
      </c>
      <c r="CT14" s="26" t="inlineStr">
        <is>
          <t>M.S Pipe 15 NB (.5 mtr.)</t>
        </is>
      </c>
      <c r="CU14" s="26" t="n">
        <v>1.5</v>
      </c>
      <c r="CV14" s="26" t="inlineStr">
        <is>
          <t>Kg</t>
        </is>
      </c>
      <c r="CW14" s="165">
        <f>Rates!C22</f>
        <v/>
      </c>
      <c r="CX14" s="166">
        <f>CU14*CW14</f>
        <v/>
      </c>
      <c r="CY14" s="26" t="n">
        <v>1.5</v>
      </c>
      <c r="CZ14" s="26" t="inlineStr">
        <is>
          <t>kg</t>
        </is>
      </c>
      <c r="DA14" s="165">
        <f>CW14</f>
        <v/>
      </c>
      <c r="DB14" s="33">
        <f>CY14*DA14</f>
        <v/>
      </c>
      <c r="DC14" s="26" t="n">
        <v>1.5</v>
      </c>
      <c r="DD14" s="26" t="inlineStr">
        <is>
          <t>Kg</t>
        </is>
      </c>
      <c r="DE14" s="165">
        <f>CW14</f>
        <v/>
      </c>
      <c r="DF14" s="166">
        <f>DC14*DE14</f>
        <v/>
      </c>
      <c r="DG14" s="26">
        <f>DF14-CP14</f>
        <v/>
      </c>
      <c r="DH14" s="167" t="n">
        <v>10</v>
      </c>
      <c r="DI14" s="26" t="inlineStr">
        <is>
          <t>M.S Pipe 20 NB (.5 mtr.)</t>
        </is>
      </c>
      <c r="DJ14" s="26" t="n">
        <v>1.5</v>
      </c>
      <c r="DK14" s="26" t="inlineStr">
        <is>
          <t>Kg</t>
        </is>
      </c>
      <c r="DL14" s="165">
        <f>Rates!C22</f>
        <v/>
      </c>
      <c r="DM14" s="166">
        <f>DJ14*DL14</f>
        <v/>
      </c>
      <c r="DN14" s="26" t="n">
        <v>1.5</v>
      </c>
      <c r="DO14" s="26" t="inlineStr">
        <is>
          <t>kg</t>
        </is>
      </c>
      <c r="DP14" s="165">
        <f>DL14</f>
        <v/>
      </c>
      <c r="DQ14" s="33">
        <f>DN14*DP14</f>
        <v/>
      </c>
      <c r="DR14" s="26" t="n">
        <v>1.5</v>
      </c>
      <c r="DS14" s="26" t="inlineStr">
        <is>
          <t>Kg</t>
        </is>
      </c>
      <c r="DT14" s="165">
        <f>DL14</f>
        <v/>
      </c>
      <c r="DU14" s="166">
        <f>DR14*DT14</f>
        <v/>
      </c>
      <c r="DV14" s="26" t="n">
        <v>135</v>
      </c>
      <c r="DX14" s="167" t="n">
        <v>10</v>
      </c>
      <c r="DY14" s="26" t="inlineStr">
        <is>
          <t>M.S Pipe 20 NB (.5 mtr.)</t>
        </is>
      </c>
      <c r="DZ14" s="26" t="n">
        <v>1.5</v>
      </c>
      <c r="EA14" s="26" t="inlineStr">
        <is>
          <t>Kg</t>
        </is>
      </c>
      <c r="EB14" s="165">
        <f>Rates!C22</f>
        <v/>
      </c>
      <c r="EC14" s="166">
        <f>DZ14*EB14</f>
        <v/>
      </c>
      <c r="ED14" s="26" t="n">
        <v>1.5</v>
      </c>
      <c r="EE14" s="26" t="inlineStr">
        <is>
          <t>kg</t>
        </is>
      </c>
      <c r="EF14" s="165">
        <f>EB14</f>
        <v/>
      </c>
      <c r="EG14" s="33">
        <f>ED14*EF14</f>
        <v/>
      </c>
      <c r="EH14" s="26" t="n">
        <v>1.5</v>
      </c>
      <c r="EI14" s="26" t="inlineStr">
        <is>
          <t>Kg</t>
        </is>
      </c>
      <c r="EJ14" s="165">
        <f>EB14</f>
        <v/>
      </c>
      <c r="EK14" s="166">
        <f>EH14*EJ14</f>
        <v/>
      </c>
      <c r="EL14" s="26" t="n">
        <v>135</v>
      </c>
      <c r="EN14" s="167" t="n">
        <v>10</v>
      </c>
      <c r="EO14" s="26" t="inlineStr">
        <is>
          <t>M.S Pipe 25NB (0.5 mtr.)</t>
        </is>
      </c>
      <c r="EP14" s="26" t="n">
        <v>2</v>
      </c>
      <c r="EQ14" s="26" t="inlineStr">
        <is>
          <t>Kg</t>
        </is>
      </c>
      <c r="ER14" s="165">
        <f>Rates!C22</f>
        <v/>
      </c>
      <c r="ES14" s="166">
        <f>EP14*ER14</f>
        <v/>
      </c>
      <c r="ET14" s="26" t="n">
        <v>2</v>
      </c>
      <c r="EU14" s="26" t="inlineStr">
        <is>
          <t>kg</t>
        </is>
      </c>
      <c r="EV14" s="165">
        <f>ER14</f>
        <v/>
      </c>
      <c r="EW14" s="33">
        <f>ET14*EV14</f>
        <v/>
      </c>
      <c r="EX14" s="26" t="n">
        <v>2</v>
      </c>
      <c r="EY14" s="26" t="inlineStr">
        <is>
          <t>Kg</t>
        </is>
      </c>
      <c r="EZ14" s="165">
        <f>ER14</f>
        <v/>
      </c>
      <c r="FA14" s="166">
        <f>EX14*EZ14</f>
        <v/>
      </c>
      <c r="FB14" s="26" t="n">
        <v>135</v>
      </c>
    </row>
    <row r="15" ht="14.4" customHeight="1" s="307">
      <c r="A15" s="26" t="n">
        <v>11</v>
      </c>
      <c r="B15" s="26" t="inlineStr">
        <is>
          <t>M.S Channel 100X50(400 mm long)</t>
        </is>
      </c>
      <c r="C15" s="30" t="n">
        <v>3.8</v>
      </c>
      <c r="D15" s="30" t="inlineStr">
        <is>
          <t>Kg</t>
        </is>
      </c>
      <c r="E15" s="164">
        <f>Rates!C10</f>
        <v/>
      </c>
      <c r="F15" s="159">
        <f>C15*E15</f>
        <v/>
      </c>
      <c r="G15" s="30" t="n">
        <v>7.6</v>
      </c>
      <c r="H15" s="30" t="inlineStr">
        <is>
          <t>kg</t>
        </is>
      </c>
      <c r="I15" s="164">
        <f>E15</f>
        <v/>
      </c>
      <c r="J15" s="34">
        <f>G15*I15</f>
        <v/>
      </c>
      <c r="K15" s="30" t="n">
        <v>3.8</v>
      </c>
      <c r="L15" s="30" t="inlineStr">
        <is>
          <t>Kg</t>
        </is>
      </c>
      <c r="M15" s="164">
        <f>I15</f>
        <v/>
      </c>
      <c r="N15" s="159">
        <f>K15*M15</f>
        <v/>
      </c>
      <c r="O15" s="30" t="n">
        <v>71</v>
      </c>
      <c r="Q15" s="26" t="n">
        <v>11</v>
      </c>
      <c r="R15" s="26" t="inlineStr">
        <is>
          <t>M.S Flange 15 NB</t>
        </is>
      </c>
      <c r="S15" s="26" t="n">
        <v>4</v>
      </c>
      <c r="T15" s="26" t="inlineStr">
        <is>
          <t>nos</t>
        </is>
      </c>
      <c r="U15" s="26" t="n">
        <v>140</v>
      </c>
      <c r="V15" s="166">
        <f>S15*U15</f>
        <v/>
      </c>
      <c r="W15" s="26" t="n">
        <v>4</v>
      </c>
      <c r="X15" s="26" t="inlineStr">
        <is>
          <t>nos</t>
        </is>
      </c>
      <c r="Y15" s="26" t="n">
        <v>140</v>
      </c>
      <c r="Z15" s="33">
        <f>W15*Y15</f>
        <v/>
      </c>
      <c r="AA15" s="26" t="n">
        <v>2</v>
      </c>
      <c r="AB15" s="26" t="inlineStr">
        <is>
          <t>nos</t>
        </is>
      </c>
      <c r="AC15" s="26" t="n">
        <v>140</v>
      </c>
      <c r="AD15" s="166">
        <f>AA15*AC15</f>
        <v/>
      </c>
      <c r="AE15" s="26" t="n">
        <v>140</v>
      </c>
      <c r="AG15" s="167" t="n">
        <v>11</v>
      </c>
      <c r="AH15" s="26" t="inlineStr">
        <is>
          <t>M.S Channel 100X50(700 mm long)</t>
        </is>
      </c>
      <c r="AI15" s="26" t="n">
        <v>6.6</v>
      </c>
      <c r="AJ15" s="26" t="inlineStr">
        <is>
          <t>Kg</t>
        </is>
      </c>
      <c r="AK15" s="165">
        <f>Rates!C10</f>
        <v/>
      </c>
      <c r="AL15" s="166">
        <f>AI15*AK15</f>
        <v/>
      </c>
      <c r="AM15" s="26" t="n">
        <v>13.2</v>
      </c>
      <c r="AN15" s="26" t="inlineStr">
        <is>
          <t>kg</t>
        </is>
      </c>
      <c r="AO15" s="165">
        <f>AK15</f>
        <v/>
      </c>
      <c r="AP15" s="33">
        <f>AM15*AO15</f>
        <v/>
      </c>
      <c r="AQ15" s="26" t="n">
        <v>6.6</v>
      </c>
      <c r="AR15" s="26" t="inlineStr">
        <is>
          <t>Kg</t>
        </is>
      </c>
      <c r="AS15" s="165">
        <f>AK15</f>
        <v/>
      </c>
      <c r="AT15" s="166">
        <f>AQ15*AS15</f>
        <v/>
      </c>
      <c r="AU15" s="26" t="n">
        <v>71</v>
      </c>
      <c r="AW15" s="167" t="n">
        <v>11</v>
      </c>
      <c r="AX15" s="26" t="inlineStr">
        <is>
          <t>M.S Channel 100X50(700 mm long)</t>
        </is>
      </c>
      <c r="AY15" s="26" t="n">
        <v>6.6</v>
      </c>
      <c r="AZ15" s="26" t="inlineStr">
        <is>
          <t>Kg</t>
        </is>
      </c>
      <c r="BA15" s="165">
        <f>Rates!C10</f>
        <v/>
      </c>
      <c r="BB15" s="166">
        <f>AY15*BA15</f>
        <v/>
      </c>
      <c r="BC15" s="26" t="n">
        <v>13.2</v>
      </c>
      <c r="BD15" s="26" t="inlineStr">
        <is>
          <t>kg</t>
        </is>
      </c>
      <c r="BE15" s="165">
        <f>BA15</f>
        <v/>
      </c>
      <c r="BF15" s="33">
        <f>BC15*BE15</f>
        <v/>
      </c>
      <c r="BG15" s="26" t="n">
        <v>6.6</v>
      </c>
      <c r="BH15" s="26" t="inlineStr">
        <is>
          <t>Kg</t>
        </is>
      </c>
      <c r="BI15" s="165">
        <f>BA15</f>
        <v/>
      </c>
      <c r="BJ15" s="166">
        <f>BG15*BI15</f>
        <v/>
      </c>
      <c r="BK15" s="26" t="n">
        <v>71</v>
      </c>
      <c r="BM15" s="167" t="n">
        <v>11</v>
      </c>
      <c r="BN15" s="26" t="inlineStr">
        <is>
          <t>M.S Channel 100X50(760 mm long)</t>
        </is>
      </c>
      <c r="BO15" s="26" t="n">
        <v>7.26</v>
      </c>
      <c r="BP15" s="26" t="inlineStr">
        <is>
          <t>Kg</t>
        </is>
      </c>
      <c r="BQ15" s="165">
        <f>Rates!C10</f>
        <v/>
      </c>
      <c r="BR15" s="166">
        <f>BO15*BQ15</f>
        <v/>
      </c>
      <c r="BS15" s="26" t="n">
        <v>15.2</v>
      </c>
      <c r="BT15" s="26" t="inlineStr">
        <is>
          <t>kg</t>
        </is>
      </c>
      <c r="BU15" s="165">
        <f>BQ15</f>
        <v/>
      </c>
      <c r="BV15" s="33">
        <f>BS15*BU15</f>
        <v/>
      </c>
      <c r="BW15" s="26" t="n">
        <v>7.26</v>
      </c>
      <c r="BX15" s="26" t="inlineStr">
        <is>
          <t>Kg</t>
        </is>
      </c>
      <c r="BY15" s="165">
        <f>BQ15</f>
        <v/>
      </c>
      <c r="BZ15" s="166">
        <f>BW15*BY15</f>
        <v/>
      </c>
      <c r="CA15" s="26" t="n">
        <v>71</v>
      </c>
      <c r="CC15" s="167" t="n">
        <v>11</v>
      </c>
      <c r="CD15" s="26" t="inlineStr">
        <is>
          <t>M.S Channel 100X50(960 mm long)</t>
        </is>
      </c>
      <c r="CE15" s="26" t="n">
        <v>9</v>
      </c>
      <c r="CF15" s="26" t="inlineStr">
        <is>
          <t>Kg</t>
        </is>
      </c>
      <c r="CG15" s="165">
        <f>Rates!C10</f>
        <v/>
      </c>
      <c r="CH15" s="166">
        <f>CE15*CG15</f>
        <v/>
      </c>
      <c r="CI15" s="26" t="n">
        <v>18</v>
      </c>
      <c r="CJ15" s="26" t="inlineStr">
        <is>
          <t>kg</t>
        </is>
      </c>
      <c r="CK15" s="165">
        <f>CG15</f>
        <v/>
      </c>
      <c r="CL15" s="33">
        <f>CI15*CK15</f>
        <v/>
      </c>
      <c r="CM15" s="26" t="n">
        <v>9</v>
      </c>
      <c r="CN15" s="26" t="inlineStr">
        <is>
          <t>Kg</t>
        </is>
      </c>
      <c r="CO15" s="165">
        <f>CG15</f>
        <v/>
      </c>
      <c r="CP15" s="166">
        <f>CM15*CO15</f>
        <v/>
      </c>
      <c r="CQ15" s="26" t="n">
        <v>71</v>
      </c>
      <c r="CS15" s="167" t="n">
        <v>11</v>
      </c>
      <c r="CT15" s="26" t="inlineStr">
        <is>
          <t>M.S Channel 100X50(960 mm long)</t>
        </is>
      </c>
      <c r="CU15" s="26" t="n">
        <v>9</v>
      </c>
      <c r="CV15" s="26" t="inlineStr">
        <is>
          <t>Kg</t>
        </is>
      </c>
      <c r="CW15" s="165">
        <f>Rates!C10</f>
        <v/>
      </c>
      <c r="CX15" s="166">
        <f>CU15*CW15</f>
        <v/>
      </c>
      <c r="CY15" s="26" t="n">
        <v>18</v>
      </c>
      <c r="CZ15" s="26" t="inlineStr">
        <is>
          <t>kg</t>
        </is>
      </c>
      <c r="DA15" s="165">
        <f>CW15</f>
        <v/>
      </c>
      <c r="DB15" s="33">
        <f>CY15*DA15</f>
        <v/>
      </c>
      <c r="DC15" s="26" t="n">
        <v>9</v>
      </c>
      <c r="DD15" s="26" t="inlineStr">
        <is>
          <t>Kg</t>
        </is>
      </c>
      <c r="DE15" s="165">
        <f>CW15</f>
        <v/>
      </c>
      <c r="DF15" s="166">
        <f>DC15*DE15</f>
        <v/>
      </c>
      <c r="DG15" s="26">
        <f>DF15-CP15</f>
        <v/>
      </c>
      <c r="DH15" s="167" t="n">
        <v>11</v>
      </c>
      <c r="DI15" s="26" t="inlineStr">
        <is>
          <t>M.S Channel 100X50(1540 mm long)</t>
        </is>
      </c>
      <c r="DJ15" s="26" t="n">
        <v>14.7</v>
      </c>
      <c r="DK15" s="26" t="inlineStr">
        <is>
          <t>Kg</t>
        </is>
      </c>
      <c r="DL15" s="165">
        <f>Rates!C10</f>
        <v/>
      </c>
      <c r="DM15" s="166">
        <f>DJ15*DL15</f>
        <v/>
      </c>
      <c r="DN15" s="26" t="n">
        <v>29.4</v>
      </c>
      <c r="DO15" s="26" t="inlineStr">
        <is>
          <t>kg</t>
        </is>
      </c>
      <c r="DP15" s="165">
        <f>DL15</f>
        <v/>
      </c>
      <c r="DQ15" s="33">
        <f>DN15*DP15</f>
        <v/>
      </c>
      <c r="DR15" s="26" t="n">
        <v>14.7</v>
      </c>
      <c r="DS15" s="26" t="inlineStr">
        <is>
          <t>Kg</t>
        </is>
      </c>
      <c r="DT15" s="165">
        <f>DL15</f>
        <v/>
      </c>
      <c r="DU15" s="166">
        <f>DR15*DT15</f>
        <v/>
      </c>
      <c r="DV15" s="26" t="n">
        <v>71</v>
      </c>
      <c r="DX15" s="167" t="n">
        <v>11</v>
      </c>
      <c r="DY15" s="26" t="inlineStr">
        <is>
          <t>M.S Channel 100X50(1540 mm long)</t>
        </is>
      </c>
      <c r="DZ15" s="26" t="n">
        <v>14.7</v>
      </c>
      <c r="EA15" s="26" t="inlineStr">
        <is>
          <t>Kg</t>
        </is>
      </c>
      <c r="EB15" s="165">
        <f>Rates!C10</f>
        <v/>
      </c>
      <c r="EC15" s="166">
        <f>DZ15*EB15</f>
        <v/>
      </c>
      <c r="ED15" s="26" t="n">
        <v>29.4</v>
      </c>
      <c r="EE15" s="26" t="inlineStr">
        <is>
          <t>kg</t>
        </is>
      </c>
      <c r="EF15" s="165">
        <f>EB15</f>
        <v/>
      </c>
      <c r="EG15" s="33">
        <f>ED15*EF15</f>
        <v/>
      </c>
      <c r="EH15" s="26" t="n">
        <v>14.7</v>
      </c>
      <c r="EI15" s="26" t="inlineStr">
        <is>
          <t>Kg</t>
        </is>
      </c>
      <c r="EJ15" s="165">
        <f>EB15</f>
        <v/>
      </c>
      <c r="EK15" s="166">
        <f>EH15*EJ15</f>
        <v/>
      </c>
      <c r="EL15" s="26" t="n">
        <v>71</v>
      </c>
      <c r="EN15" s="167" t="n">
        <v>11</v>
      </c>
      <c r="EO15" s="26" t="inlineStr">
        <is>
          <t>M.S Channel 100X50(1900 mm long)</t>
        </is>
      </c>
      <c r="EP15" s="26" t="n">
        <v>18</v>
      </c>
      <c r="EQ15" s="26" t="inlineStr">
        <is>
          <t>Kg</t>
        </is>
      </c>
      <c r="ER15" s="165">
        <f>Rates!C10</f>
        <v/>
      </c>
      <c r="ES15" s="166">
        <f>EP15*ER15</f>
        <v/>
      </c>
      <c r="ET15" s="26" t="n">
        <v>36</v>
      </c>
      <c r="EU15" s="26" t="inlineStr">
        <is>
          <t>kg</t>
        </is>
      </c>
      <c r="EV15" s="165">
        <f>ER15</f>
        <v/>
      </c>
      <c r="EW15" s="33">
        <f>ET15*EV15</f>
        <v/>
      </c>
      <c r="EX15" s="26" t="n">
        <v>18</v>
      </c>
      <c r="EY15" s="26" t="inlineStr">
        <is>
          <t>Kg</t>
        </is>
      </c>
      <c r="EZ15" s="165">
        <f>ER15</f>
        <v/>
      </c>
      <c r="FA15" s="166">
        <f>EX15*EZ15</f>
        <v/>
      </c>
      <c r="FB15" s="26" t="n">
        <v>71</v>
      </c>
    </row>
    <row r="16" ht="14.4" customHeight="1" s="307">
      <c r="A16" s="26" t="n">
        <v>12</v>
      </c>
      <c r="B16" s="26" t="inlineStr">
        <is>
          <t>M.S Flange 15 NB</t>
        </is>
      </c>
      <c r="C16" s="30" t="n">
        <v>4</v>
      </c>
      <c r="D16" s="30" t="inlineStr">
        <is>
          <t>nos</t>
        </is>
      </c>
      <c r="E16" s="30" t="n">
        <v>140</v>
      </c>
      <c r="F16" s="159">
        <f>C16*E16</f>
        <v/>
      </c>
      <c r="G16" s="30" t="n">
        <v>4</v>
      </c>
      <c r="H16" s="30" t="inlineStr">
        <is>
          <t>nos</t>
        </is>
      </c>
      <c r="I16" s="30" t="n">
        <v>140</v>
      </c>
      <c r="J16" s="34">
        <f>G16*I16</f>
        <v/>
      </c>
      <c r="K16" s="30" t="n">
        <v>4</v>
      </c>
      <c r="L16" s="30" t="inlineStr">
        <is>
          <t>nos</t>
        </is>
      </c>
      <c r="M16" s="30" t="n">
        <v>140</v>
      </c>
      <c r="N16" s="159">
        <f>K16*M16</f>
        <v/>
      </c>
      <c r="O16" s="30" t="n">
        <v>140</v>
      </c>
      <c r="Q16" s="26" t="n">
        <v>12</v>
      </c>
      <c r="R16" s="26" t="inlineStr">
        <is>
          <t>M.S flat 40x5x800 (4 NOS.)</t>
        </is>
      </c>
      <c r="S16" s="26" t="n">
        <v>4.8</v>
      </c>
      <c r="T16" s="26" t="inlineStr">
        <is>
          <t>Kg</t>
        </is>
      </c>
      <c r="U16" s="165">
        <f>Rates!C11</f>
        <v/>
      </c>
      <c r="V16" s="166">
        <f>S16*U16</f>
        <v/>
      </c>
      <c r="W16" s="26" t="n">
        <v>6</v>
      </c>
      <c r="X16" s="26" t="inlineStr">
        <is>
          <t>kg</t>
        </is>
      </c>
      <c r="Y16" s="165">
        <f>U16</f>
        <v/>
      </c>
      <c r="Z16" s="33">
        <f>W16*Y16</f>
        <v/>
      </c>
      <c r="AA16" s="26" t="n">
        <v>4.8</v>
      </c>
      <c r="AB16" s="26" t="inlineStr">
        <is>
          <t>Kg</t>
        </is>
      </c>
      <c r="AC16" s="165">
        <f>U16</f>
        <v/>
      </c>
      <c r="AD16" s="166">
        <f>AA16*AC16</f>
        <v/>
      </c>
      <c r="AE16" s="165" t="n">
        <v>71</v>
      </c>
      <c r="AG16" s="167" t="n">
        <v>12</v>
      </c>
      <c r="AH16" s="26" t="inlineStr">
        <is>
          <t>M.S Flange 15 NB</t>
        </is>
      </c>
      <c r="AI16" s="26" t="n">
        <v>4</v>
      </c>
      <c r="AJ16" s="26" t="inlineStr">
        <is>
          <t>nos</t>
        </is>
      </c>
      <c r="AK16" s="26" t="n">
        <v>140</v>
      </c>
      <c r="AL16" s="166">
        <f>AI16*AK16</f>
        <v/>
      </c>
      <c r="AM16" s="26" t="n">
        <v>4</v>
      </c>
      <c r="AN16" s="26" t="inlineStr">
        <is>
          <t>nos</t>
        </is>
      </c>
      <c r="AO16" s="26" t="n">
        <v>140</v>
      </c>
      <c r="AP16" s="33">
        <f>AM16*AO16</f>
        <v/>
      </c>
      <c r="AQ16" s="26" t="n">
        <v>4</v>
      </c>
      <c r="AR16" s="26" t="inlineStr">
        <is>
          <t>nos</t>
        </is>
      </c>
      <c r="AS16" s="26" t="n">
        <v>140</v>
      </c>
      <c r="AT16" s="166">
        <f>AQ16*AS16</f>
        <v/>
      </c>
      <c r="AU16" s="26" t="n">
        <v>140</v>
      </c>
      <c r="AW16" s="167" t="n">
        <v>12</v>
      </c>
      <c r="AX16" s="26" t="inlineStr">
        <is>
          <t>M.S Flange 15 NB</t>
        </is>
      </c>
      <c r="AY16" s="26" t="n">
        <v>4</v>
      </c>
      <c r="AZ16" s="26" t="inlineStr">
        <is>
          <t>nos</t>
        </is>
      </c>
      <c r="BA16" s="26" t="n">
        <v>140</v>
      </c>
      <c r="BB16" s="166">
        <f>AY16*BA16</f>
        <v/>
      </c>
      <c r="BC16" s="26" t="n">
        <v>4</v>
      </c>
      <c r="BD16" s="26" t="inlineStr">
        <is>
          <t>nos</t>
        </is>
      </c>
      <c r="BE16" s="26" t="n">
        <v>140</v>
      </c>
      <c r="BF16" s="33">
        <f>BC16*BE16</f>
        <v/>
      </c>
      <c r="BG16" s="26" t="n">
        <v>4</v>
      </c>
      <c r="BH16" s="26" t="inlineStr">
        <is>
          <t>nos</t>
        </is>
      </c>
      <c r="BI16" s="26" t="n">
        <v>140</v>
      </c>
      <c r="BJ16" s="166">
        <f>BG16*BI16</f>
        <v/>
      </c>
      <c r="BK16" s="26" t="n">
        <v>140</v>
      </c>
      <c r="BM16" s="167" t="n">
        <v>12</v>
      </c>
      <c r="BN16" s="26" t="inlineStr">
        <is>
          <t>M.S Flange 15 NB</t>
        </is>
      </c>
      <c r="BO16" s="26" t="n">
        <v>4</v>
      </c>
      <c r="BP16" s="26" t="inlineStr">
        <is>
          <t>nos</t>
        </is>
      </c>
      <c r="BQ16" s="26" t="n">
        <v>140</v>
      </c>
      <c r="BR16" s="166">
        <f>BO16*BQ16</f>
        <v/>
      </c>
      <c r="BS16" s="26" t="n">
        <v>4</v>
      </c>
      <c r="BT16" s="26" t="inlineStr">
        <is>
          <t>nos</t>
        </is>
      </c>
      <c r="BU16" s="26" t="n">
        <v>140</v>
      </c>
      <c r="BV16" s="33">
        <f>BS16*BU16</f>
        <v/>
      </c>
      <c r="BW16" s="26" t="n">
        <v>4</v>
      </c>
      <c r="BX16" s="26" t="inlineStr">
        <is>
          <t>nos</t>
        </is>
      </c>
      <c r="BY16" s="26" t="n">
        <v>140</v>
      </c>
      <c r="BZ16" s="166">
        <f>BW16*BY16</f>
        <v/>
      </c>
      <c r="CA16" s="26" t="n">
        <v>140</v>
      </c>
      <c r="CC16" s="167" t="n">
        <v>12</v>
      </c>
      <c r="CD16" s="26" t="inlineStr">
        <is>
          <t>M.S Flange 15 NB</t>
        </is>
      </c>
      <c r="CE16" s="26" t="n">
        <v>4</v>
      </c>
      <c r="CF16" s="26" t="inlineStr">
        <is>
          <t>nos</t>
        </is>
      </c>
      <c r="CG16" s="26" t="n">
        <v>140</v>
      </c>
      <c r="CH16" s="166">
        <f>CE16*CG16</f>
        <v/>
      </c>
      <c r="CI16" s="26" t="n">
        <v>4</v>
      </c>
      <c r="CJ16" s="26" t="inlineStr">
        <is>
          <t>nos</t>
        </is>
      </c>
      <c r="CK16" s="26" t="n">
        <v>140</v>
      </c>
      <c r="CL16" s="33">
        <f>CI16*CK16</f>
        <v/>
      </c>
      <c r="CM16" s="26" t="n">
        <v>4</v>
      </c>
      <c r="CN16" s="26" t="inlineStr">
        <is>
          <t>nos</t>
        </is>
      </c>
      <c r="CO16" s="26" t="n">
        <v>140</v>
      </c>
      <c r="CP16" s="166">
        <f>CM16*CO16</f>
        <v/>
      </c>
      <c r="CQ16" s="26" t="n">
        <v>140</v>
      </c>
      <c r="CS16" s="167" t="n">
        <v>12</v>
      </c>
      <c r="CT16" s="26" t="inlineStr">
        <is>
          <t>M.S Flange 15 NB</t>
        </is>
      </c>
      <c r="CU16" s="26" t="n">
        <v>4</v>
      </c>
      <c r="CV16" s="26" t="inlineStr">
        <is>
          <t>nos</t>
        </is>
      </c>
      <c r="CW16" s="26" t="n">
        <v>140</v>
      </c>
      <c r="CX16" s="166">
        <f>CU16*CW16</f>
        <v/>
      </c>
      <c r="CY16" s="26" t="n">
        <v>4</v>
      </c>
      <c r="CZ16" s="26" t="inlineStr">
        <is>
          <t>nos</t>
        </is>
      </c>
      <c r="DA16" s="26" t="n">
        <v>140</v>
      </c>
      <c r="DB16" s="33">
        <f>CY16*DA16</f>
        <v/>
      </c>
      <c r="DC16" s="26" t="n">
        <v>4</v>
      </c>
      <c r="DD16" s="26" t="inlineStr">
        <is>
          <t>nos</t>
        </is>
      </c>
      <c r="DE16" s="26" t="n">
        <v>140</v>
      </c>
      <c r="DF16" s="166">
        <f>DC16*DE16</f>
        <v/>
      </c>
      <c r="DG16" s="26">
        <f>DF16-CP16</f>
        <v/>
      </c>
      <c r="DH16" s="167" t="n">
        <v>12</v>
      </c>
      <c r="DI16" s="26" t="inlineStr">
        <is>
          <t>M.S Flange 20 NB</t>
        </is>
      </c>
      <c r="DJ16" s="26" t="n">
        <v>4</v>
      </c>
      <c r="DK16" s="26" t="inlineStr">
        <is>
          <t>nos</t>
        </is>
      </c>
      <c r="DL16" s="26" t="n">
        <v>150</v>
      </c>
      <c r="DM16" s="166">
        <f>DJ16*DL16</f>
        <v/>
      </c>
      <c r="DN16" s="26" t="n">
        <v>4</v>
      </c>
      <c r="DO16" s="26" t="inlineStr">
        <is>
          <t>nos</t>
        </is>
      </c>
      <c r="DP16" s="26" t="n">
        <v>65</v>
      </c>
      <c r="DQ16" s="33">
        <f>DN16*DP16</f>
        <v/>
      </c>
      <c r="DR16" s="26" t="n">
        <v>4</v>
      </c>
      <c r="DS16" s="26" t="inlineStr">
        <is>
          <t>nos</t>
        </is>
      </c>
      <c r="DT16" s="26" t="n">
        <v>65</v>
      </c>
      <c r="DU16" s="166">
        <f>DR16*DT16</f>
        <v/>
      </c>
      <c r="DV16" s="26" t="n">
        <v>150</v>
      </c>
      <c r="DX16" s="167" t="n">
        <v>12</v>
      </c>
      <c r="DY16" s="26" t="inlineStr">
        <is>
          <t>M.S Flange 20 NB</t>
        </is>
      </c>
      <c r="DZ16" s="26" t="n">
        <v>4</v>
      </c>
      <c r="EA16" s="26" t="inlineStr">
        <is>
          <t>nos</t>
        </is>
      </c>
      <c r="EB16" s="26" t="n">
        <v>150</v>
      </c>
      <c r="EC16" s="166">
        <f>DZ16*EB16</f>
        <v/>
      </c>
      <c r="ED16" s="26" t="n">
        <v>4</v>
      </c>
      <c r="EE16" s="26" t="inlineStr">
        <is>
          <t>nos</t>
        </is>
      </c>
      <c r="EF16" s="26" t="n">
        <v>150</v>
      </c>
      <c r="EG16" s="33">
        <f>ED16*EF16</f>
        <v/>
      </c>
      <c r="EH16" s="26" t="n">
        <v>4</v>
      </c>
      <c r="EI16" s="26" t="inlineStr">
        <is>
          <t>nos</t>
        </is>
      </c>
      <c r="EJ16" s="26" t="n">
        <v>150</v>
      </c>
      <c r="EK16" s="166">
        <f>EH16*EJ16</f>
        <v/>
      </c>
      <c r="EL16" s="26" t="n">
        <v>150</v>
      </c>
      <c r="EN16" s="167" t="n">
        <v>12</v>
      </c>
      <c r="EO16" s="26" t="inlineStr">
        <is>
          <t>M.S Flange 25 NB</t>
        </is>
      </c>
      <c r="EP16" s="26" t="n">
        <v>4</v>
      </c>
      <c r="EQ16" s="26" t="inlineStr">
        <is>
          <t>nos</t>
        </is>
      </c>
      <c r="ER16" s="26" t="n">
        <v>175</v>
      </c>
      <c r="ES16" s="166">
        <f>EP16*ER16</f>
        <v/>
      </c>
      <c r="ET16" s="26" t="n">
        <v>4</v>
      </c>
      <c r="EU16" s="26" t="inlineStr">
        <is>
          <t>nos</t>
        </is>
      </c>
      <c r="EV16" s="26" t="n">
        <v>175</v>
      </c>
      <c r="EW16" s="33">
        <f>ET16*EV16</f>
        <v/>
      </c>
      <c r="EX16" s="26" t="n">
        <v>4</v>
      </c>
      <c r="EY16" s="26" t="inlineStr">
        <is>
          <t>nos</t>
        </is>
      </c>
      <c r="EZ16" s="26" t="n">
        <v>175</v>
      </c>
      <c r="FA16" s="166">
        <f>EX16*EZ16</f>
        <v/>
      </c>
      <c r="FB16" s="26" t="n">
        <v>175</v>
      </c>
    </row>
    <row r="17" ht="14.4" customHeight="1" s="307">
      <c r="A17" s="26" t="n">
        <v>13</v>
      </c>
      <c r="B17" s="26" t="inlineStr">
        <is>
          <t>M.S flat 40x5x800 (4 NOS.)</t>
        </is>
      </c>
      <c r="C17" s="30" t="n">
        <v>4.8</v>
      </c>
      <c r="D17" s="30" t="inlineStr">
        <is>
          <t>Kg</t>
        </is>
      </c>
      <c r="E17" s="164">
        <f>Rates!C11</f>
        <v/>
      </c>
      <c r="F17" s="159">
        <f>C17*E17</f>
        <v/>
      </c>
      <c r="G17" s="30" t="n">
        <v>6</v>
      </c>
      <c r="H17" s="30" t="inlineStr">
        <is>
          <t>kg</t>
        </is>
      </c>
      <c r="I17" s="164">
        <f>E17</f>
        <v/>
      </c>
      <c r="J17" s="34">
        <f>G17*I17</f>
        <v/>
      </c>
      <c r="K17" s="30" t="n">
        <v>4.8</v>
      </c>
      <c r="L17" s="30" t="inlineStr">
        <is>
          <t>Kg</t>
        </is>
      </c>
      <c r="M17" s="164">
        <f>E17</f>
        <v/>
      </c>
      <c r="N17" s="159">
        <f>K17*M17</f>
        <v/>
      </c>
      <c r="O17" s="30" t="n">
        <v>71</v>
      </c>
      <c r="Q17" s="26" t="n">
        <v>13</v>
      </c>
      <c r="R17" s="26" t="inlineStr">
        <is>
          <t>M.S Flange 20 NB</t>
        </is>
      </c>
      <c r="S17" s="26" t="n">
        <v>20</v>
      </c>
      <c r="T17" s="26" t="inlineStr">
        <is>
          <t>Nos</t>
        </is>
      </c>
      <c r="U17" s="26" t="n">
        <v>150</v>
      </c>
      <c r="V17" s="166">
        <f>S17*U17</f>
        <v/>
      </c>
      <c r="W17" s="26" t="n">
        <v>24</v>
      </c>
      <c r="X17" s="26" t="inlineStr">
        <is>
          <t>Nos</t>
        </is>
      </c>
      <c r="Y17" s="26" t="n">
        <v>150</v>
      </c>
      <c r="Z17" s="33">
        <f>W17*Y17</f>
        <v/>
      </c>
      <c r="AA17" s="26" t="n">
        <v>20</v>
      </c>
      <c r="AB17" s="26" t="inlineStr">
        <is>
          <t>Nos</t>
        </is>
      </c>
      <c r="AC17" s="26" t="n">
        <v>150</v>
      </c>
      <c r="AD17" s="166">
        <f>AA17*AC17</f>
        <v/>
      </c>
      <c r="AE17" s="26" t="n">
        <v>150</v>
      </c>
      <c r="AG17" s="167" t="n">
        <v>13</v>
      </c>
      <c r="AH17" s="26" t="inlineStr">
        <is>
          <t>M.S flat 40x5x800 (4 NOS.)</t>
        </is>
      </c>
      <c r="AI17" s="26" t="n">
        <v>4.8</v>
      </c>
      <c r="AJ17" s="26" t="inlineStr">
        <is>
          <t>Kg</t>
        </is>
      </c>
      <c r="AK17" s="165">
        <f>Rates!C11</f>
        <v/>
      </c>
      <c r="AL17" s="166">
        <f>AI17*AK17</f>
        <v/>
      </c>
      <c r="AM17" s="26" t="n">
        <v>6</v>
      </c>
      <c r="AN17" s="26" t="inlineStr">
        <is>
          <t>kg</t>
        </is>
      </c>
      <c r="AO17" s="165">
        <f>AK17</f>
        <v/>
      </c>
      <c r="AP17" s="33">
        <f>AM17*AO17</f>
        <v/>
      </c>
      <c r="AQ17" s="26" t="n">
        <v>4.8</v>
      </c>
      <c r="AR17" s="26" t="inlineStr">
        <is>
          <t>Kg</t>
        </is>
      </c>
      <c r="AS17" s="165">
        <f>AK17</f>
        <v/>
      </c>
      <c r="AT17" s="166">
        <f>AQ17*AS17</f>
        <v/>
      </c>
      <c r="AU17" s="26" t="n">
        <v>71</v>
      </c>
      <c r="AW17" s="167" t="n">
        <v>13</v>
      </c>
      <c r="AX17" s="26" t="inlineStr">
        <is>
          <t>M.S flat 40x5x800 (4 NOS.)</t>
        </is>
      </c>
      <c r="AY17" s="26" t="n">
        <v>4.8</v>
      </c>
      <c r="AZ17" s="26" t="inlineStr">
        <is>
          <t>Kg</t>
        </is>
      </c>
      <c r="BA17" s="165">
        <f>Rates!C11</f>
        <v/>
      </c>
      <c r="BB17" s="166">
        <f>AY17*BA17</f>
        <v/>
      </c>
      <c r="BC17" s="26" t="n">
        <v>6</v>
      </c>
      <c r="BD17" s="26" t="inlineStr">
        <is>
          <t>kg</t>
        </is>
      </c>
      <c r="BE17" s="165">
        <f>BA17</f>
        <v/>
      </c>
      <c r="BF17" s="33">
        <f>BC17*BE17</f>
        <v/>
      </c>
      <c r="BG17" s="26" t="n">
        <v>4.8</v>
      </c>
      <c r="BH17" s="26" t="inlineStr">
        <is>
          <t>Kg</t>
        </is>
      </c>
      <c r="BI17" s="165">
        <f>BA17</f>
        <v/>
      </c>
      <c r="BJ17" s="166">
        <f>BG17*BI17</f>
        <v/>
      </c>
      <c r="BK17" s="26" t="n">
        <v>71</v>
      </c>
      <c r="BM17" s="167" t="n">
        <v>13</v>
      </c>
      <c r="BN17" s="26" t="inlineStr">
        <is>
          <t>M.S flat 40x5x800 (4 NOS.)</t>
        </is>
      </c>
      <c r="BO17" s="26" t="n">
        <v>4.8</v>
      </c>
      <c r="BP17" s="26" t="inlineStr">
        <is>
          <t>Kg</t>
        </is>
      </c>
      <c r="BQ17" s="165">
        <f>Rates!C11</f>
        <v/>
      </c>
      <c r="BR17" s="166">
        <f>BO17*BQ17</f>
        <v/>
      </c>
      <c r="BS17" s="26" t="n">
        <v>6</v>
      </c>
      <c r="BT17" s="26" t="inlineStr">
        <is>
          <t>kg</t>
        </is>
      </c>
      <c r="BU17" s="165">
        <f>BQ17</f>
        <v/>
      </c>
      <c r="BV17" s="33">
        <f>BS17*BU17</f>
        <v/>
      </c>
      <c r="BW17" s="26" t="n">
        <v>4.8</v>
      </c>
      <c r="BX17" s="26" t="inlineStr">
        <is>
          <t>Kg</t>
        </is>
      </c>
      <c r="BY17" s="165">
        <f>BQ17</f>
        <v/>
      </c>
      <c r="BZ17" s="166">
        <f>BW17*BY17</f>
        <v/>
      </c>
      <c r="CA17" s="1" t="n">
        <v>71</v>
      </c>
      <c r="CC17" s="167" t="n">
        <v>13</v>
      </c>
      <c r="CD17" s="26" t="inlineStr">
        <is>
          <t>M.S flat 40x5x800 (4 NOS.)</t>
        </is>
      </c>
      <c r="CE17" s="26" t="n">
        <v>4.8</v>
      </c>
      <c r="CF17" s="26" t="inlineStr">
        <is>
          <t>Kg</t>
        </is>
      </c>
      <c r="CG17" s="165">
        <f>Rates!C11</f>
        <v/>
      </c>
      <c r="CH17" s="166">
        <f>CE17*CG17</f>
        <v/>
      </c>
      <c r="CI17" s="26" t="n">
        <v>6</v>
      </c>
      <c r="CJ17" s="26" t="inlineStr">
        <is>
          <t>kg</t>
        </is>
      </c>
      <c r="CK17" s="165">
        <f>CG17</f>
        <v/>
      </c>
      <c r="CL17" s="33">
        <f>CI17*CK17</f>
        <v/>
      </c>
      <c r="CM17" s="26" t="n">
        <v>4.8</v>
      </c>
      <c r="CN17" s="26" t="inlineStr">
        <is>
          <t>Kg</t>
        </is>
      </c>
      <c r="CO17" s="165">
        <f>CG17</f>
        <v/>
      </c>
      <c r="CP17" s="166">
        <f>CM17*CO17</f>
        <v/>
      </c>
      <c r="CQ17" s="26" t="n">
        <v>71</v>
      </c>
      <c r="CS17" s="167" t="n">
        <v>13</v>
      </c>
      <c r="CT17" s="26" t="inlineStr">
        <is>
          <t>M.S flat 40x5x800 (4 NOS.)</t>
        </is>
      </c>
      <c r="CU17" s="26" t="n">
        <v>4.8</v>
      </c>
      <c r="CV17" s="26" t="inlineStr">
        <is>
          <t>Kg</t>
        </is>
      </c>
      <c r="CW17" s="165">
        <f>Rates!C11</f>
        <v/>
      </c>
      <c r="CX17" s="166">
        <f>CU17*CW17</f>
        <v/>
      </c>
      <c r="CY17" s="26" t="n">
        <v>6</v>
      </c>
      <c r="CZ17" s="26" t="inlineStr">
        <is>
          <t>kg</t>
        </is>
      </c>
      <c r="DA17" s="165">
        <f>CW17</f>
        <v/>
      </c>
      <c r="DB17" s="33">
        <f>CY17*DA17</f>
        <v/>
      </c>
      <c r="DC17" s="26" t="n">
        <v>4.8</v>
      </c>
      <c r="DD17" s="26" t="inlineStr">
        <is>
          <t>Kg</t>
        </is>
      </c>
      <c r="DE17" s="165">
        <f>CW17</f>
        <v/>
      </c>
      <c r="DF17" s="166">
        <f>DC17*DE17</f>
        <v/>
      </c>
      <c r="DG17" s="26">
        <f>DF17-CP17</f>
        <v/>
      </c>
      <c r="DH17" s="167" t="n">
        <v>13</v>
      </c>
      <c r="DI17" s="26" t="inlineStr">
        <is>
          <t>M.S flat 40x5x800 (4 NOS.)</t>
        </is>
      </c>
      <c r="DJ17" s="26" t="n">
        <v>4.8</v>
      </c>
      <c r="DK17" s="26" t="inlineStr">
        <is>
          <t>Kg</t>
        </is>
      </c>
      <c r="DL17" s="165">
        <f>Rates!C11</f>
        <v/>
      </c>
      <c r="DM17" s="166">
        <f>DJ17*DL17</f>
        <v/>
      </c>
      <c r="DN17" s="26" t="n">
        <v>6</v>
      </c>
      <c r="DO17" s="26" t="inlineStr">
        <is>
          <t>kg</t>
        </is>
      </c>
      <c r="DP17" s="165">
        <f>DL17</f>
        <v/>
      </c>
      <c r="DQ17" s="33">
        <f>DN17*DP17</f>
        <v/>
      </c>
      <c r="DR17" s="26" t="n">
        <v>4.8</v>
      </c>
      <c r="DS17" s="26" t="inlineStr">
        <is>
          <t>Kg</t>
        </is>
      </c>
      <c r="DT17" s="165">
        <f>DL17</f>
        <v/>
      </c>
      <c r="DU17" s="166">
        <f>DR17*DT17</f>
        <v/>
      </c>
      <c r="DV17" s="26" t="n">
        <v>71</v>
      </c>
      <c r="DX17" s="167" t="n">
        <v>13</v>
      </c>
      <c r="DY17" s="26" t="inlineStr">
        <is>
          <t>M.S flat 40x5x800 (4 NOS.)</t>
        </is>
      </c>
      <c r="DZ17" s="26" t="n">
        <v>4.8</v>
      </c>
      <c r="EA17" s="26" t="inlineStr">
        <is>
          <t>Kg</t>
        </is>
      </c>
      <c r="EB17" s="165">
        <f>Rates!C11</f>
        <v/>
      </c>
      <c r="EC17" s="166">
        <f>DZ17*EB17</f>
        <v/>
      </c>
      <c r="ED17" s="26" t="n">
        <v>6</v>
      </c>
      <c r="EE17" s="26" t="inlineStr">
        <is>
          <t>kg</t>
        </is>
      </c>
      <c r="EF17" s="165">
        <f>EB17</f>
        <v/>
      </c>
      <c r="EG17" s="33">
        <f>ED17*EF17</f>
        <v/>
      </c>
      <c r="EH17" s="26" t="n">
        <v>4.8</v>
      </c>
      <c r="EI17" s="26" t="inlineStr">
        <is>
          <t>Kg</t>
        </is>
      </c>
      <c r="EJ17" s="165">
        <f>EB17</f>
        <v/>
      </c>
      <c r="EK17" s="166">
        <f>EH17*EJ17</f>
        <v/>
      </c>
      <c r="EL17" s="26" t="n">
        <v>71</v>
      </c>
      <c r="EN17" s="167" t="n">
        <v>13</v>
      </c>
      <c r="EO17" s="26" t="inlineStr">
        <is>
          <t>M.S flat 40x5x800 (4 NOS.)</t>
        </is>
      </c>
      <c r="EP17" s="26" t="n">
        <v>4.8</v>
      </c>
      <c r="EQ17" s="26" t="inlineStr">
        <is>
          <t>Kg</t>
        </is>
      </c>
      <c r="ER17" s="165">
        <f>Rates!C11</f>
        <v/>
      </c>
      <c r="ES17" s="166">
        <f>EP17*ER17</f>
        <v/>
      </c>
      <c r="ET17" s="26" t="n">
        <v>6</v>
      </c>
      <c r="EU17" s="26" t="inlineStr">
        <is>
          <t>kg</t>
        </is>
      </c>
      <c r="EV17" s="165">
        <f>ER17</f>
        <v/>
      </c>
      <c r="EW17" s="33">
        <f>ET17*EV17</f>
        <v/>
      </c>
      <c r="EX17" s="26" t="n">
        <v>4.8</v>
      </c>
      <c r="EY17" s="26" t="inlineStr">
        <is>
          <t>Kg</t>
        </is>
      </c>
      <c r="EZ17" s="165">
        <f>ER17</f>
        <v/>
      </c>
      <c r="FA17" s="166">
        <f>EX17*EZ17</f>
        <v/>
      </c>
      <c r="FB17" s="26" t="n">
        <v>71</v>
      </c>
    </row>
    <row r="18" ht="14.4" customHeight="1" s="307">
      <c r="A18" s="26" t="n">
        <v>14</v>
      </c>
      <c r="B18" s="26" t="inlineStr">
        <is>
          <t>M.S Flange 20 NB</t>
        </is>
      </c>
      <c r="C18" s="30" t="n">
        <v>20</v>
      </c>
      <c r="D18" s="30" t="inlineStr">
        <is>
          <t>Nos</t>
        </is>
      </c>
      <c r="E18" s="30" t="n">
        <v>150</v>
      </c>
      <c r="F18" s="159">
        <f>C18*E18</f>
        <v/>
      </c>
      <c r="G18" s="30" t="n">
        <v>24</v>
      </c>
      <c r="H18" s="30" t="inlineStr">
        <is>
          <t>Nos</t>
        </is>
      </c>
      <c r="I18" s="30" t="n">
        <v>150</v>
      </c>
      <c r="J18" s="34">
        <f>G18*I18</f>
        <v/>
      </c>
      <c r="K18" s="30" t="n">
        <v>20</v>
      </c>
      <c r="L18" s="30" t="inlineStr">
        <is>
          <t>Nos</t>
        </is>
      </c>
      <c r="M18" s="30" t="n">
        <v>150</v>
      </c>
      <c r="N18" s="159">
        <f>K18*M18</f>
        <v/>
      </c>
      <c r="O18" s="30" t="n">
        <v>150</v>
      </c>
      <c r="Q18" s="26" t="n">
        <v>14</v>
      </c>
      <c r="R18" s="26" t="inlineStr">
        <is>
          <t>M.S Elbow 20 NB</t>
        </is>
      </c>
      <c r="S18" s="26" t="n">
        <v>4</v>
      </c>
      <c r="T18" s="26" t="inlineStr">
        <is>
          <t>Nos</t>
        </is>
      </c>
      <c r="U18" s="26" t="n">
        <v>90</v>
      </c>
      <c r="V18" s="166">
        <f>S18*U18</f>
        <v/>
      </c>
      <c r="W18" s="26" t="n">
        <v>4</v>
      </c>
      <c r="X18" s="26" t="inlineStr">
        <is>
          <t>Nos</t>
        </is>
      </c>
      <c r="Y18" s="26" t="n">
        <v>90</v>
      </c>
      <c r="Z18" s="33">
        <f>W18*Y18</f>
        <v/>
      </c>
      <c r="AA18" s="26" t="n">
        <v>4</v>
      </c>
      <c r="AB18" s="26" t="inlineStr">
        <is>
          <t>Nos</t>
        </is>
      </c>
      <c r="AC18" s="26" t="n">
        <v>90</v>
      </c>
      <c r="AD18" s="166">
        <f>AA18*AC18</f>
        <v/>
      </c>
      <c r="AE18" s="26" t="n">
        <v>90</v>
      </c>
      <c r="AG18" s="167" t="n">
        <v>14</v>
      </c>
      <c r="AH18" s="26" t="inlineStr">
        <is>
          <t>M.S Flange 20 NB</t>
        </is>
      </c>
      <c r="AI18" s="26" t="n">
        <v>20</v>
      </c>
      <c r="AJ18" s="26" t="inlineStr">
        <is>
          <t>Nos</t>
        </is>
      </c>
      <c r="AK18" s="26" t="n">
        <v>150</v>
      </c>
      <c r="AL18" s="166">
        <f>AI18*AK18</f>
        <v/>
      </c>
      <c r="AM18" s="26" t="n">
        <v>24</v>
      </c>
      <c r="AN18" s="26" t="inlineStr">
        <is>
          <t>Nos</t>
        </is>
      </c>
      <c r="AO18" s="26" t="n">
        <v>150</v>
      </c>
      <c r="AP18" s="33">
        <f>AM18*AO18</f>
        <v/>
      </c>
      <c r="AQ18" s="26" t="n">
        <v>20</v>
      </c>
      <c r="AR18" s="26" t="inlineStr">
        <is>
          <t>Nos</t>
        </is>
      </c>
      <c r="AS18" s="26" t="n">
        <v>150</v>
      </c>
      <c r="AT18" s="166">
        <f>AQ18*AS18</f>
        <v/>
      </c>
      <c r="AU18" s="26" t="n">
        <v>150</v>
      </c>
      <c r="AW18" s="167" t="n">
        <v>14</v>
      </c>
      <c r="AX18" s="26" t="inlineStr">
        <is>
          <t>M.S Flange 20 NB</t>
        </is>
      </c>
      <c r="AY18" s="26" t="n">
        <v>20</v>
      </c>
      <c r="AZ18" s="26" t="inlineStr">
        <is>
          <t>Nos</t>
        </is>
      </c>
      <c r="BA18" s="26" t="n">
        <v>150</v>
      </c>
      <c r="BB18" s="166">
        <f>AY18*BA18</f>
        <v/>
      </c>
      <c r="BC18" s="26" t="n">
        <v>24</v>
      </c>
      <c r="BD18" s="26" t="inlineStr">
        <is>
          <t>Nos</t>
        </is>
      </c>
      <c r="BE18" s="26" t="n">
        <v>150</v>
      </c>
      <c r="BF18" s="33">
        <f>BC18*BE18</f>
        <v/>
      </c>
      <c r="BG18" s="26" t="n">
        <v>20</v>
      </c>
      <c r="BH18" s="26" t="inlineStr">
        <is>
          <t>Nos</t>
        </is>
      </c>
      <c r="BI18" s="26" t="n">
        <v>150</v>
      </c>
      <c r="BJ18" s="166">
        <f>BG18*BI18</f>
        <v/>
      </c>
      <c r="BK18" s="26" t="n">
        <v>150</v>
      </c>
      <c r="BM18" s="167" t="n">
        <v>14</v>
      </c>
      <c r="BN18" s="26" t="inlineStr">
        <is>
          <t>M.S Flange 20 NB</t>
        </is>
      </c>
      <c r="BO18" s="26" t="n">
        <v>20</v>
      </c>
      <c r="BP18" s="26" t="inlineStr">
        <is>
          <t>Nos</t>
        </is>
      </c>
      <c r="BQ18" s="26" t="n">
        <v>150</v>
      </c>
      <c r="BR18" s="166">
        <f>BO18*BQ18</f>
        <v/>
      </c>
      <c r="BS18" s="26" t="n">
        <v>24</v>
      </c>
      <c r="BT18" s="26" t="inlineStr">
        <is>
          <t>Nos</t>
        </is>
      </c>
      <c r="BU18" s="26" t="n">
        <v>150</v>
      </c>
      <c r="BV18" s="33">
        <f>BS18*BU18</f>
        <v/>
      </c>
      <c r="BW18" s="26" t="n">
        <v>20</v>
      </c>
      <c r="BX18" s="26" t="inlineStr">
        <is>
          <t>Nos</t>
        </is>
      </c>
      <c r="BY18" s="26" t="n">
        <v>150</v>
      </c>
      <c r="BZ18" s="166">
        <f>BW18*BY18</f>
        <v/>
      </c>
      <c r="CA18" s="26" t="n">
        <v>150</v>
      </c>
      <c r="CC18" s="167" t="n">
        <v>14</v>
      </c>
      <c r="CD18" s="26" t="inlineStr">
        <is>
          <t>M.S Flange 20 NB</t>
        </is>
      </c>
      <c r="CE18" s="26" t="n">
        <v>20</v>
      </c>
      <c r="CF18" s="26" t="inlineStr">
        <is>
          <t>Nos</t>
        </is>
      </c>
      <c r="CG18" s="26" t="n">
        <v>150</v>
      </c>
      <c r="CH18" s="166">
        <f>CE18*CG18</f>
        <v/>
      </c>
      <c r="CI18" s="26" t="n">
        <v>24</v>
      </c>
      <c r="CJ18" s="26" t="inlineStr">
        <is>
          <t>Nos</t>
        </is>
      </c>
      <c r="CK18" s="26" t="n">
        <v>150</v>
      </c>
      <c r="CL18" s="33">
        <f>CI18*CK18</f>
        <v/>
      </c>
      <c r="CM18" s="26" t="n">
        <v>20</v>
      </c>
      <c r="CN18" s="26" t="inlineStr">
        <is>
          <t>Nos</t>
        </is>
      </c>
      <c r="CO18" s="26" t="n">
        <v>150</v>
      </c>
      <c r="CP18" s="166">
        <f>CM18*CO18</f>
        <v/>
      </c>
      <c r="CQ18" s="26" t="n">
        <v>150</v>
      </c>
      <c r="CS18" s="167" t="n">
        <v>14</v>
      </c>
      <c r="CT18" s="26" t="inlineStr">
        <is>
          <t>M.S Flange 20 NB</t>
        </is>
      </c>
      <c r="CU18" s="26" t="n">
        <v>20</v>
      </c>
      <c r="CV18" s="26" t="inlineStr">
        <is>
          <t>Nos</t>
        </is>
      </c>
      <c r="CW18" s="26" t="n">
        <v>150</v>
      </c>
      <c r="CX18" s="166">
        <f>CU18*CW18</f>
        <v/>
      </c>
      <c r="CY18" s="26" t="n">
        <v>24</v>
      </c>
      <c r="CZ18" s="26" t="inlineStr">
        <is>
          <t>Nos</t>
        </is>
      </c>
      <c r="DA18" s="26" t="n">
        <v>150</v>
      </c>
      <c r="DB18" s="33">
        <f>CY18*DA18</f>
        <v/>
      </c>
      <c r="DC18" s="26" t="n">
        <v>20</v>
      </c>
      <c r="DD18" s="26" t="inlineStr">
        <is>
          <t>Nos</t>
        </is>
      </c>
      <c r="DE18" s="26" t="n">
        <v>150</v>
      </c>
      <c r="DF18" s="166">
        <f>DC18*DE18</f>
        <v/>
      </c>
      <c r="DG18" s="26">
        <f>DF18-CP18</f>
        <v/>
      </c>
      <c r="DH18" s="167" t="n">
        <v>14</v>
      </c>
      <c r="DI18" s="26" t="inlineStr">
        <is>
          <t>M.S Flange 25 NB</t>
        </is>
      </c>
      <c r="DJ18" s="26" t="n">
        <v>20</v>
      </c>
      <c r="DK18" s="26" t="inlineStr">
        <is>
          <t>Nos</t>
        </is>
      </c>
      <c r="DL18" s="26" t="n">
        <v>175</v>
      </c>
      <c r="DM18" s="166">
        <f>DJ18*DL18</f>
        <v/>
      </c>
      <c r="DN18" s="26" t="n">
        <v>24</v>
      </c>
      <c r="DO18" s="26" t="inlineStr">
        <is>
          <t>Nos</t>
        </is>
      </c>
      <c r="DP18" s="26" t="n">
        <v>175</v>
      </c>
      <c r="DQ18" s="33">
        <f>DN18*DP18</f>
        <v/>
      </c>
      <c r="DR18" s="26" t="n">
        <v>20</v>
      </c>
      <c r="DS18" s="26" t="inlineStr">
        <is>
          <t>Nos</t>
        </is>
      </c>
      <c r="DT18" s="26" t="n">
        <v>175</v>
      </c>
      <c r="DU18" s="166">
        <f>DR18*DT18</f>
        <v/>
      </c>
      <c r="DV18" s="26" t="n">
        <v>175</v>
      </c>
      <c r="DX18" s="167" t="n">
        <v>14</v>
      </c>
      <c r="DY18" s="26" t="inlineStr">
        <is>
          <t>M.S Flange 25 NB</t>
        </is>
      </c>
      <c r="DZ18" s="26" t="n">
        <v>20</v>
      </c>
      <c r="EA18" s="26" t="inlineStr">
        <is>
          <t>Nos</t>
        </is>
      </c>
      <c r="EB18" s="26" t="n">
        <v>175</v>
      </c>
      <c r="EC18" s="166">
        <f>DZ18*EB18</f>
        <v/>
      </c>
      <c r="ED18" s="26" t="n">
        <v>24</v>
      </c>
      <c r="EE18" s="26" t="inlineStr">
        <is>
          <t>Nos</t>
        </is>
      </c>
      <c r="EF18" s="26" t="n">
        <v>175</v>
      </c>
      <c r="EG18" s="33">
        <f>ED18*EF18</f>
        <v/>
      </c>
      <c r="EH18" s="26" t="n">
        <v>20</v>
      </c>
      <c r="EI18" s="26" t="inlineStr">
        <is>
          <t>Nos</t>
        </is>
      </c>
      <c r="EJ18" s="26" t="n">
        <v>175</v>
      </c>
      <c r="EK18" s="166">
        <f>EH18*EJ18</f>
        <v/>
      </c>
      <c r="EL18" s="26" t="n">
        <v>175</v>
      </c>
      <c r="EN18" s="167" t="n">
        <v>14</v>
      </c>
      <c r="EO18" s="26" t="inlineStr">
        <is>
          <t>M.S Flange 32 NB</t>
        </is>
      </c>
      <c r="EP18" s="26" t="n">
        <v>20</v>
      </c>
      <c r="EQ18" s="26" t="inlineStr">
        <is>
          <t>Nos</t>
        </is>
      </c>
      <c r="ER18" s="26" t="n">
        <v>200</v>
      </c>
      <c r="ES18" s="166">
        <f>EP18*ER18</f>
        <v/>
      </c>
      <c r="ET18" s="26" t="n">
        <v>24</v>
      </c>
      <c r="EU18" s="26" t="inlineStr">
        <is>
          <t>Nos</t>
        </is>
      </c>
      <c r="EV18" s="26" t="n">
        <v>200</v>
      </c>
      <c r="EW18" s="33">
        <f>ET18*EV18</f>
        <v/>
      </c>
      <c r="EX18" s="26" t="n">
        <v>20</v>
      </c>
      <c r="EY18" s="26" t="inlineStr">
        <is>
          <t>Nos</t>
        </is>
      </c>
      <c r="EZ18" s="26" t="n">
        <v>200</v>
      </c>
      <c r="FA18" s="166">
        <f>EX18*EZ18</f>
        <v/>
      </c>
      <c r="FB18" s="26" t="n">
        <v>200</v>
      </c>
    </row>
    <row r="19" ht="14.4" customHeight="1" s="307">
      <c r="A19" s="26" t="n">
        <v>15</v>
      </c>
      <c r="B19" s="26" t="inlineStr">
        <is>
          <t>M.S Elbow 20 NB</t>
        </is>
      </c>
      <c r="C19" s="30" t="n">
        <v>4</v>
      </c>
      <c r="D19" s="30" t="inlineStr">
        <is>
          <t>Nos</t>
        </is>
      </c>
      <c r="E19" s="30" t="n">
        <v>90</v>
      </c>
      <c r="F19" s="159">
        <f>C19*E19</f>
        <v/>
      </c>
      <c r="G19" s="30" t="n">
        <v>4</v>
      </c>
      <c r="H19" s="30" t="inlineStr">
        <is>
          <t>Nos</t>
        </is>
      </c>
      <c r="I19" s="30" t="n">
        <v>90</v>
      </c>
      <c r="J19" s="34">
        <f>G19*I19</f>
        <v/>
      </c>
      <c r="K19" s="30" t="n">
        <v>4</v>
      </c>
      <c r="L19" s="30" t="inlineStr">
        <is>
          <t>Nos</t>
        </is>
      </c>
      <c r="M19" s="30" t="n">
        <v>90</v>
      </c>
      <c r="N19" s="159">
        <f>K19*M19</f>
        <v/>
      </c>
      <c r="O19" s="30" t="n">
        <v>90</v>
      </c>
      <c r="Q19" s="26" t="n">
        <v>15</v>
      </c>
      <c r="R19" s="26" t="inlineStr">
        <is>
          <t>M.S TEE 20 NB</t>
        </is>
      </c>
      <c r="S19" s="26" t="n">
        <v>6</v>
      </c>
      <c r="T19" s="26" t="inlineStr">
        <is>
          <t>Nos</t>
        </is>
      </c>
      <c r="U19" s="26" t="n">
        <v>105</v>
      </c>
      <c r="V19" s="166">
        <f>S19*U19</f>
        <v/>
      </c>
      <c r="W19" s="26" t="n">
        <v>6</v>
      </c>
      <c r="X19" s="26" t="inlineStr">
        <is>
          <t>Nos</t>
        </is>
      </c>
      <c r="Y19" s="26" t="n">
        <v>105</v>
      </c>
      <c r="Z19" s="33">
        <f>W19*Y19</f>
        <v/>
      </c>
      <c r="AA19" s="26" t="n">
        <v>6</v>
      </c>
      <c r="AB19" s="26" t="inlineStr">
        <is>
          <t>Nos</t>
        </is>
      </c>
      <c r="AC19" s="26" t="n">
        <v>105</v>
      </c>
      <c r="AD19" s="166">
        <f>AA19*AC19</f>
        <v/>
      </c>
      <c r="AE19" s="26" t="n">
        <v>105</v>
      </c>
      <c r="AG19" s="167" t="n">
        <v>15</v>
      </c>
      <c r="AH19" s="26" t="inlineStr">
        <is>
          <t>M.S Elbow 20 NB</t>
        </is>
      </c>
      <c r="AI19" s="26" t="n">
        <v>4</v>
      </c>
      <c r="AJ19" s="26" t="inlineStr">
        <is>
          <t>Nos</t>
        </is>
      </c>
      <c r="AK19" s="26" t="n">
        <v>90</v>
      </c>
      <c r="AL19" s="166">
        <f>AI19*AK19</f>
        <v/>
      </c>
      <c r="AM19" s="26" t="n">
        <v>4</v>
      </c>
      <c r="AN19" s="26" t="inlineStr">
        <is>
          <t>Nos</t>
        </is>
      </c>
      <c r="AO19" s="26" t="n">
        <v>90</v>
      </c>
      <c r="AP19" s="33">
        <f>AM19*AO19</f>
        <v/>
      </c>
      <c r="AQ19" s="26" t="n">
        <v>4</v>
      </c>
      <c r="AR19" s="26" t="inlineStr">
        <is>
          <t>Nos</t>
        </is>
      </c>
      <c r="AS19" s="26" t="n">
        <v>90</v>
      </c>
      <c r="AT19" s="166">
        <f>AQ19*AS19</f>
        <v/>
      </c>
      <c r="AU19" s="26" t="n">
        <v>90</v>
      </c>
      <c r="AW19" s="167" t="n">
        <v>15</v>
      </c>
      <c r="AX19" s="26" t="inlineStr">
        <is>
          <t>M.S Elbow 20 NB</t>
        </is>
      </c>
      <c r="AY19" s="26" t="n">
        <v>4</v>
      </c>
      <c r="AZ19" s="26" t="inlineStr">
        <is>
          <t>Nos</t>
        </is>
      </c>
      <c r="BA19" s="26" t="n">
        <v>90</v>
      </c>
      <c r="BB19" s="166">
        <f>AY19*BA19</f>
        <v/>
      </c>
      <c r="BC19" s="26" t="n">
        <v>4</v>
      </c>
      <c r="BD19" s="26" t="inlineStr">
        <is>
          <t>Nos</t>
        </is>
      </c>
      <c r="BE19" s="26" t="n">
        <v>90</v>
      </c>
      <c r="BF19" s="33">
        <f>BC19*BE19</f>
        <v/>
      </c>
      <c r="BG19" s="26" t="n">
        <v>4</v>
      </c>
      <c r="BH19" s="26" t="inlineStr">
        <is>
          <t>Nos</t>
        </is>
      </c>
      <c r="BI19" s="26" t="n">
        <v>90</v>
      </c>
      <c r="BJ19" s="166">
        <f>BG19*BI19</f>
        <v/>
      </c>
      <c r="BK19" s="26" t="n">
        <v>90</v>
      </c>
      <c r="BM19" s="167" t="n">
        <v>15</v>
      </c>
      <c r="BN19" s="26" t="inlineStr">
        <is>
          <t>M.S Elbow 20 NB</t>
        </is>
      </c>
      <c r="BO19" s="26" t="n">
        <v>4</v>
      </c>
      <c r="BP19" s="26" t="inlineStr">
        <is>
          <t>Nos</t>
        </is>
      </c>
      <c r="BQ19" s="26" t="n">
        <v>90</v>
      </c>
      <c r="BR19" s="166">
        <f>BO19*BQ19</f>
        <v/>
      </c>
      <c r="BS19" s="26" t="n">
        <v>4</v>
      </c>
      <c r="BT19" s="26" t="inlineStr">
        <is>
          <t>Nos</t>
        </is>
      </c>
      <c r="BU19" s="26" t="n">
        <v>90</v>
      </c>
      <c r="BV19" s="33">
        <f>BS19*BU19</f>
        <v/>
      </c>
      <c r="BW19" s="26" t="n">
        <v>4</v>
      </c>
      <c r="BX19" s="26" t="inlineStr">
        <is>
          <t>Nos</t>
        </is>
      </c>
      <c r="BY19" s="26" t="n">
        <v>90</v>
      </c>
      <c r="BZ19" s="166">
        <f>BW19*BY19</f>
        <v/>
      </c>
      <c r="CA19" s="26" t="n">
        <v>90</v>
      </c>
      <c r="CC19" s="167" t="n">
        <v>15</v>
      </c>
      <c r="CD19" s="26" t="inlineStr">
        <is>
          <t>M.S Elbow 20 NB</t>
        </is>
      </c>
      <c r="CE19" s="26" t="n">
        <v>4</v>
      </c>
      <c r="CF19" s="26" t="inlineStr">
        <is>
          <t>Nos</t>
        </is>
      </c>
      <c r="CG19" s="26" t="n">
        <v>90</v>
      </c>
      <c r="CH19" s="166">
        <f>CE19*CG19</f>
        <v/>
      </c>
      <c r="CI19" s="26" t="n">
        <v>4</v>
      </c>
      <c r="CJ19" s="26" t="inlineStr">
        <is>
          <t>Nos</t>
        </is>
      </c>
      <c r="CK19" s="26" t="n">
        <v>90</v>
      </c>
      <c r="CL19" s="33">
        <f>CI19*CK19</f>
        <v/>
      </c>
      <c r="CM19" s="26" t="n">
        <v>4</v>
      </c>
      <c r="CN19" s="26" t="inlineStr">
        <is>
          <t>Nos</t>
        </is>
      </c>
      <c r="CO19" s="26" t="n">
        <v>90</v>
      </c>
      <c r="CP19" s="166">
        <f>CM19*CO19</f>
        <v/>
      </c>
      <c r="CQ19" s="26" t="n">
        <v>90</v>
      </c>
      <c r="CS19" s="167" t="n">
        <v>15</v>
      </c>
      <c r="CT19" s="26" t="inlineStr">
        <is>
          <t>M.S Elbow 20 NB</t>
        </is>
      </c>
      <c r="CU19" s="26" t="n">
        <v>4</v>
      </c>
      <c r="CV19" s="26" t="inlineStr">
        <is>
          <t>Nos</t>
        </is>
      </c>
      <c r="CW19" s="26" t="n">
        <v>90</v>
      </c>
      <c r="CX19" s="166">
        <f>CU19*CW19</f>
        <v/>
      </c>
      <c r="CY19" s="26" t="n">
        <v>4</v>
      </c>
      <c r="CZ19" s="26" t="inlineStr">
        <is>
          <t>Nos</t>
        </is>
      </c>
      <c r="DA19" s="26" t="n">
        <v>90</v>
      </c>
      <c r="DB19" s="33">
        <f>CY19*DA19</f>
        <v/>
      </c>
      <c r="DC19" s="26" t="n">
        <v>4</v>
      </c>
      <c r="DD19" s="26" t="inlineStr">
        <is>
          <t>Nos</t>
        </is>
      </c>
      <c r="DE19" s="26" t="n">
        <v>90</v>
      </c>
      <c r="DF19" s="166">
        <f>DC19*DE19</f>
        <v/>
      </c>
      <c r="DG19" s="26">
        <f>DF19-CP19</f>
        <v/>
      </c>
      <c r="DH19" s="167" t="n">
        <v>15</v>
      </c>
      <c r="DI19" s="26" t="inlineStr">
        <is>
          <t>M.S Elbow 25NB</t>
        </is>
      </c>
      <c r="DJ19" s="26" t="n">
        <v>4</v>
      </c>
      <c r="DK19" s="26" t="inlineStr">
        <is>
          <t>Nos</t>
        </is>
      </c>
      <c r="DL19" s="26" t="n">
        <v>150</v>
      </c>
      <c r="DM19" s="166">
        <f>DJ19*DL19</f>
        <v/>
      </c>
      <c r="DN19" s="26" t="n">
        <v>4</v>
      </c>
      <c r="DO19" s="26" t="inlineStr">
        <is>
          <t>Nos</t>
        </is>
      </c>
      <c r="DP19" s="26" t="n">
        <v>150</v>
      </c>
      <c r="DQ19" s="33">
        <f>DN19*DP19</f>
        <v/>
      </c>
      <c r="DR19" s="26" t="n">
        <v>4</v>
      </c>
      <c r="DS19" s="26" t="inlineStr">
        <is>
          <t>Nos</t>
        </is>
      </c>
      <c r="DT19" s="26" t="n">
        <v>150</v>
      </c>
      <c r="DU19" s="166">
        <f>DR19*DT19</f>
        <v/>
      </c>
      <c r="DV19" s="26" t="n">
        <v>150</v>
      </c>
      <c r="DX19" s="167" t="n">
        <v>15</v>
      </c>
      <c r="DY19" s="26" t="inlineStr">
        <is>
          <t>M.S Elbow 25NB</t>
        </is>
      </c>
      <c r="DZ19" s="26" t="n">
        <v>4</v>
      </c>
      <c r="EA19" s="26" t="inlineStr">
        <is>
          <t>Nos</t>
        </is>
      </c>
      <c r="EB19" s="26" t="n">
        <v>150</v>
      </c>
      <c r="EC19" s="166">
        <f>DZ19*EB19</f>
        <v/>
      </c>
      <c r="ED19" s="26" t="n">
        <v>4</v>
      </c>
      <c r="EE19" s="26" t="inlineStr">
        <is>
          <t>Nos</t>
        </is>
      </c>
      <c r="EF19" s="26" t="n">
        <v>150</v>
      </c>
      <c r="EG19" s="33">
        <f>ED19*EF19</f>
        <v/>
      </c>
      <c r="EH19" s="26" t="n">
        <v>4</v>
      </c>
      <c r="EI19" s="26" t="inlineStr">
        <is>
          <t>Nos</t>
        </is>
      </c>
      <c r="EJ19" s="26" t="n">
        <v>150</v>
      </c>
      <c r="EK19" s="166">
        <f>EH19*EJ19</f>
        <v/>
      </c>
      <c r="EL19" s="26" t="n">
        <v>150</v>
      </c>
      <c r="EN19" s="167" t="n">
        <v>15</v>
      </c>
      <c r="EO19" s="26" t="inlineStr">
        <is>
          <t>M.S Elbow 32NB</t>
        </is>
      </c>
      <c r="EP19" s="26" t="n">
        <v>4</v>
      </c>
      <c r="EQ19" s="26" t="inlineStr">
        <is>
          <t>Nos</t>
        </is>
      </c>
      <c r="ER19" s="26" t="n">
        <v>200</v>
      </c>
      <c r="ES19" s="166">
        <f>EP19*ER19</f>
        <v/>
      </c>
      <c r="ET19" s="26" t="n">
        <v>4</v>
      </c>
      <c r="EU19" s="26" t="inlineStr">
        <is>
          <t>Nos</t>
        </is>
      </c>
      <c r="EV19" s="26" t="n">
        <v>200</v>
      </c>
      <c r="EW19" s="33">
        <f>ET19*EV19</f>
        <v/>
      </c>
      <c r="EX19" s="26" t="n">
        <v>4</v>
      </c>
      <c r="EY19" s="26" t="inlineStr">
        <is>
          <t>Nos</t>
        </is>
      </c>
      <c r="EZ19" s="26" t="n">
        <v>200</v>
      </c>
      <c r="FA19" s="166">
        <f>EX19*EZ19</f>
        <v/>
      </c>
      <c r="FB19" s="26" t="n">
        <v>200</v>
      </c>
    </row>
    <row r="20" ht="14.4" customHeight="1" s="307">
      <c r="A20" s="26" t="n">
        <v>16</v>
      </c>
      <c r="B20" s="26" t="inlineStr">
        <is>
          <t>M.S TEE 20 NB</t>
        </is>
      </c>
      <c r="C20" s="30" t="n">
        <v>6</v>
      </c>
      <c r="D20" s="30" t="inlineStr">
        <is>
          <t>Nos</t>
        </is>
      </c>
      <c r="E20" s="30" t="n">
        <v>105</v>
      </c>
      <c r="F20" s="159">
        <f>C20*E20</f>
        <v/>
      </c>
      <c r="G20" s="30" t="n">
        <v>6</v>
      </c>
      <c r="H20" s="30" t="inlineStr">
        <is>
          <t>Nos</t>
        </is>
      </c>
      <c r="I20" s="30" t="n">
        <v>105</v>
      </c>
      <c r="J20" s="34">
        <f>G20*I20</f>
        <v/>
      </c>
      <c r="K20" s="30" t="n">
        <v>6</v>
      </c>
      <c r="L20" s="30" t="inlineStr">
        <is>
          <t>Nos</t>
        </is>
      </c>
      <c r="M20" s="30" t="n">
        <v>105</v>
      </c>
      <c r="N20" s="159">
        <f>K20*M20</f>
        <v/>
      </c>
      <c r="O20" s="30" t="n">
        <v>105</v>
      </c>
      <c r="Q20" s="26" t="n">
        <v>16</v>
      </c>
      <c r="R20" s="26" t="inlineStr">
        <is>
          <t>M.S Bend 20 NB</t>
        </is>
      </c>
      <c r="S20" s="26" t="n">
        <v>4</v>
      </c>
      <c r="T20" s="26" t="inlineStr">
        <is>
          <t>Nos</t>
        </is>
      </c>
      <c r="U20" s="26" t="n">
        <v>50</v>
      </c>
      <c r="V20" s="166">
        <f>S20*U20</f>
        <v/>
      </c>
      <c r="W20" s="26" t="n">
        <v>4</v>
      </c>
      <c r="X20" s="26" t="inlineStr">
        <is>
          <t>Nos</t>
        </is>
      </c>
      <c r="Y20" s="26" t="n">
        <v>50</v>
      </c>
      <c r="Z20" s="33">
        <f>W20*Y20</f>
        <v/>
      </c>
      <c r="AA20" s="26" t="n">
        <v>4</v>
      </c>
      <c r="AB20" s="26" t="inlineStr">
        <is>
          <t>Nos</t>
        </is>
      </c>
      <c r="AC20" s="26" t="n">
        <v>50</v>
      </c>
      <c r="AD20" s="166">
        <f>AA20*AC20</f>
        <v/>
      </c>
      <c r="AE20" s="26" t="n">
        <v>50</v>
      </c>
      <c r="AG20" s="167" t="n">
        <v>16</v>
      </c>
      <c r="AH20" s="26" t="inlineStr">
        <is>
          <t>M.S TEE 20 NB</t>
        </is>
      </c>
      <c r="AI20" s="26" t="n">
        <v>6</v>
      </c>
      <c r="AJ20" s="26" t="inlineStr">
        <is>
          <t>Nos</t>
        </is>
      </c>
      <c r="AK20" s="26" t="n">
        <v>105</v>
      </c>
      <c r="AL20" s="166">
        <f>AI20*AK20</f>
        <v/>
      </c>
      <c r="AM20" s="26" t="n">
        <v>6</v>
      </c>
      <c r="AN20" s="26" t="inlineStr">
        <is>
          <t>Nos</t>
        </is>
      </c>
      <c r="AO20" s="26" t="n">
        <v>105</v>
      </c>
      <c r="AP20" s="33">
        <f>AM20*AO20</f>
        <v/>
      </c>
      <c r="AQ20" s="26" t="n">
        <v>6</v>
      </c>
      <c r="AR20" s="26" t="inlineStr">
        <is>
          <t>Nos</t>
        </is>
      </c>
      <c r="AS20" s="26" t="n">
        <v>105</v>
      </c>
      <c r="AT20" s="166">
        <f>AQ20*AS20</f>
        <v/>
      </c>
      <c r="AU20" s="26" t="n">
        <v>105</v>
      </c>
      <c r="AW20" s="167" t="n">
        <v>16</v>
      </c>
      <c r="AX20" s="26" t="inlineStr">
        <is>
          <t>M.S TEE 20 NB</t>
        </is>
      </c>
      <c r="AY20" s="26" t="n">
        <v>6</v>
      </c>
      <c r="AZ20" s="26" t="inlineStr">
        <is>
          <t>Nos</t>
        </is>
      </c>
      <c r="BA20" s="26" t="n">
        <v>105</v>
      </c>
      <c r="BB20" s="166">
        <f>AY20*BA20</f>
        <v/>
      </c>
      <c r="BC20" s="26" t="n">
        <v>6</v>
      </c>
      <c r="BD20" s="26" t="inlineStr">
        <is>
          <t>Nos</t>
        </is>
      </c>
      <c r="BE20" s="26" t="n">
        <v>105</v>
      </c>
      <c r="BF20" s="33">
        <f>BC20*BE20</f>
        <v/>
      </c>
      <c r="BG20" s="26" t="n">
        <v>6</v>
      </c>
      <c r="BH20" s="26" t="inlineStr">
        <is>
          <t>Nos</t>
        </is>
      </c>
      <c r="BI20" s="26" t="n">
        <v>105</v>
      </c>
      <c r="BJ20" s="166">
        <f>BG20*BI20</f>
        <v/>
      </c>
      <c r="BK20" s="26" t="n">
        <v>105</v>
      </c>
      <c r="BM20" s="167" t="n">
        <v>16</v>
      </c>
      <c r="BN20" s="26" t="inlineStr">
        <is>
          <t>M.S TEE 20 NB</t>
        </is>
      </c>
      <c r="BO20" s="26" t="n">
        <v>6</v>
      </c>
      <c r="BP20" s="26" t="inlineStr">
        <is>
          <t>Nos</t>
        </is>
      </c>
      <c r="BQ20" s="26" t="n">
        <v>105</v>
      </c>
      <c r="BR20" s="166">
        <f>BO20*BQ20</f>
        <v/>
      </c>
      <c r="BS20" s="26" t="n">
        <v>6</v>
      </c>
      <c r="BT20" s="26" t="inlineStr">
        <is>
          <t>Nos</t>
        </is>
      </c>
      <c r="BU20" s="26" t="n">
        <v>105</v>
      </c>
      <c r="BV20" s="33">
        <f>BS20*BU20</f>
        <v/>
      </c>
      <c r="BW20" s="26" t="n">
        <v>6</v>
      </c>
      <c r="BX20" s="26" t="inlineStr">
        <is>
          <t>Nos</t>
        </is>
      </c>
      <c r="BY20" s="26" t="n">
        <v>105</v>
      </c>
      <c r="BZ20" s="166">
        <f>BW20*BY20</f>
        <v/>
      </c>
      <c r="CA20" s="26" t="n">
        <v>105</v>
      </c>
      <c r="CC20" s="167" t="n">
        <v>16</v>
      </c>
      <c r="CD20" s="26" t="inlineStr">
        <is>
          <t>M.S TEE 20 NB</t>
        </is>
      </c>
      <c r="CE20" s="26" t="n">
        <v>6</v>
      </c>
      <c r="CF20" s="26" t="inlineStr">
        <is>
          <t>Nos</t>
        </is>
      </c>
      <c r="CG20" s="26" t="n">
        <v>105</v>
      </c>
      <c r="CH20" s="166">
        <f>CE20*CG20</f>
        <v/>
      </c>
      <c r="CI20" s="26" t="n">
        <v>6</v>
      </c>
      <c r="CJ20" s="26" t="inlineStr">
        <is>
          <t>Nos</t>
        </is>
      </c>
      <c r="CK20" s="26" t="n">
        <v>105</v>
      </c>
      <c r="CL20" s="33">
        <f>CI20*CK20</f>
        <v/>
      </c>
      <c r="CM20" s="26" t="n">
        <v>6</v>
      </c>
      <c r="CN20" s="26" t="inlineStr">
        <is>
          <t>Nos</t>
        </is>
      </c>
      <c r="CO20" s="26">
        <f>CK20</f>
        <v/>
      </c>
      <c r="CP20" s="166">
        <f>CM20*CO20</f>
        <v/>
      </c>
      <c r="CQ20" s="26" t="n">
        <v>105</v>
      </c>
      <c r="CS20" s="167" t="n">
        <v>16</v>
      </c>
      <c r="CT20" s="26" t="inlineStr">
        <is>
          <t>M.S TEE 20 NB</t>
        </is>
      </c>
      <c r="CU20" s="26" t="n">
        <v>6</v>
      </c>
      <c r="CV20" s="26" t="inlineStr">
        <is>
          <t>Nos</t>
        </is>
      </c>
      <c r="CW20" s="26" t="n">
        <v>105</v>
      </c>
      <c r="CX20" s="166">
        <f>CU20*CW20</f>
        <v/>
      </c>
      <c r="CY20" s="26" t="n">
        <v>6</v>
      </c>
      <c r="CZ20" s="26" t="inlineStr">
        <is>
          <t>Nos</t>
        </is>
      </c>
      <c r="DA20" s="26" t="n">
        <v>105</v>
      </c>
      <c r="DB20" s="33">
        <f>CY20*DA20</f>
        <v/>
      </c>
      <c r="DC20" s="26" t="n">
        <v>6</v>
      </c>
      <c r="DD20" s="26" t="inlineStr">
        <is>
          <t>Nos</t>
        </is>
      </c>
      <c r="DE20" s="26" t="n">
        <v>105</v>
      </c>
      <c r="DF20" s="166">
        <f>DC20*DE20</f>
        <v/>
      </c>
      <c r="DG20" s="26">
        <f>DF20-CP20</f>
        <v/>
      </c>
      <c r="DH20" s="167" t="n">
        <v>16</v>
      </c>
      <c r="DI20" s="26" t="inlineStr">
        <is>
          <t>M.S TEE 25 NB</t>
        </is>
      </c>
      <c r="DJ20" s="26" t="n">
        <v>6</v>
      </c>
      <c r="DK20" s="26" t="inlineStr">
        <is>
          <t>Nos</t>
        </is>
      </c>
      <c r="DL20" s="26" t="n">
        <v>200</v>
      </c>
      <c r="DM20" s="166">
        <f>DJ20*DL20</f>
        <v/>
      </c>
      <c r="DN20" s="26" t="n">
        <v>6</v>
      </c>
      <c r="DO20" s="26" t="inlineStr">
        <is>
          <t>Nos</t>
        </is>
      </c>
      <c r="DP20" s="26" t="n">
        <v>200</v>
      </c>
      <c r="DQ20" s="33">
        <f>DN20*DP20</f>
        <v/>
      </c>
      <c r="DR20" s="26" t="n">
        <v>6</v>
      </c>
      <c r="DS20" s="26" t="inlineStr">
        <is>
          <t>Nos</t>
        </is>
      </c>
      <c r="DT20" s="26" t="n">
        <v>200</v>
      </c>
      <c r="DU20" s="166">
        <f>DR20*DT20</f>
        <v/>
      </c>
      <c r="DV20" s="26" t="n">
        <v>200</v>
      </c>
      <c r="DX20" s="167" t="n">
        <v>16</v>
      </c>
      <c r="DY20" s="26" t="inlineStr">
        <is>
          <t>M.S TEE 25 NB</t>
        </is>
      </c>
      <c r="DZ20" s="26" t="n">
        <v>6</v>
      </c>
      <c r="EA20" s="26" t="inlineStr">
        <is>
          <t>Nos</t>
        </is>
      </c>
      <c r="EB20" s="26" t="n">
        <v>200</v>
      </c>
      <c r="EC20" s="166">
        <f>DZ20*EB20</f>
        <v/>
      </c>
      <c r="ED20" s="26" t="n">
        <v>6</v>
      </c>
      <c r="EE20" s="26" t="inlineStr">
        <is>
          <t>Nos</t>
        </is>
      </c>
      <c r="EF20" s="26" t="n">
        <v>200</v>
      </c>
      <c r="EG20" s="33">
        <f>ED20*EF20</f>
        <v/>
      </c>
      <c r="EH20" s="26" t="n">
        <v>6</v>
      </c>
      <c r="EI20" s="26" t="inlineStr">
        <is>
          <t>Nos</t>
        </is>
      </c>
      <c r="EJ20" s="26" t="n">
        <v>200</v>
      </c>
      <c r="EK20" s="166">
        <f>EH20*EJ20</f>
        <v/>
      </c>
      <c r="EL20" s="26" t="n">
        <v>200</v>
      </c>
      <c r="EN20" s="167" t="n">
        <v>16</v>
      </c>
      <c r="EO20" s="26" t="inlineStr">
        <is>
          <t>M.S TEE 32 NB</t>
        </is>
      </c>
      <c r="EP20" s="26" t="n">
        <v>6</v>
      </c>
      <c r="EQ20" s="26" t="inlineStr">
        <is>
          <t>Nos</t>
        </is>
      </c>
      <c r="ER20" s="26" t="n">
        <v>250</v>
      </c>
      <c r="ES20" s="166">
        <f>EP20*ER20</f>
        <v/>
      </c>
      <c r="ET20" s="26" t="n">
        <v>6</v>
      </c>
      <c r="EU20" s="26" t="inlineStr">
        <is>
          <t>Nos</t>
        </is>
      </c>
      <c r="EV20" s="26" t="n">
        <v>250</v>
      </c>
      <c r="EW20" s="33">
        <f>ET20*EV20</f>
        <v/>
      </c>
      <c r="EX20" s="26" t="n">
        <v>6</v>
      </c>
      <c r="EY20" s="26" t="inlineStr">
        <is>
          <t>Nos</t>
        </is>
      </c>
      <c r="EZ20" s="26" t="n">
        <v>250</v>
      </c>
      <c r="FA20" s="166">
        <f>EX20*EZ20</f>
        <v/>
      </c>
      <c r="FB20" s="26" t="n">
        <v>250</v>
      </c>
    </row>
    <row r="21" ht="15.75" customHeight="1" s="307">
      <c r="A21" s="26" t="n">
        <v>17</v>
      </c>
      <c r="B21" s="26" t="inlineStr">
        <is>
          <t>M.S Bend 20 NB</t>
        </is>
      </c>
      <c r="C21" s="30" t="n">
        <v>4</v>
      </c>
      <c r="D21" s="30" t="inlineStr">
        <is>
          <t>Nos</t>
        </is>
      </c>
      <c r="E21" s="30" t="n">
        <v>50</v>
      </c>
      <c r="F21" s="159">
        <f>C21*E21</f>
        <v/>
      </c>
      <c r="G21" s="30" t="n">
        <v>4</v>
      </c>
      <c r="H21" s="30" t="inlineStr">
        <is>
          <t>Nos</t>
        </is>
      </c>
      <c r="I21" s="30" t="n">
        <v>50</v>
      </c>
      <c r="J21" s="34">
        <f>G21*I21</f>
        <v/>
      </c>
      <c r="K21" s="30" t="n">
        <v>4</v>
      </c>
      <c r="L21" s="30" t="inlineStr">
        <is>
          <t>Nos</t>
        </is>
      </c>
      <c r="M21" s="30" t="n">
        <v>50</v>
      </c>
      <c r="N21" s="159">
        <f>K21*M21</f>
        <v/>
      </c>
      <c r="O21" s="30" t="n">
        <v>50</v>
      </c>
      <c r="Q21" s="26" t="n">
        <v>17</v>
      </c>
      <c r="R21" s="26" t="inlineStr">
        <is>
          <t>M.S Plug 20 NB</t>
        </is>
      </c>
      <c r="S21" s="26" t="n">
        <v>3</v>
      </c>
      <c r="T21" s="26" t="inlineStr">
        <is>
          <t>Nos</t>
        </is>
      </c>
      <c r="U21" s="26" t="n">
        <v>20</v>
      </c>
      <c r="V21" s="166">
        <f>S21*U21</f>
        <v/>
      </c>
      <c r="W21" s="26" t="n">
        <v>4</v>
      </c>
      <c r="X21" s="26" t="inlineStr">
        <is>
          <t>Nos</t>
        </is>
      </c>
      <c r="Y21" s="26" t="n">
        <v>20</v>
      </c>
      <c r="Z21" s="33">
        <f>W21*Y21</f>
        <v/>
      </c>
      <c r="AA21" s="26" t="n">
        <v>3</v>
      </c>
      <c r="AB21" s="26" t="inlineStr">
        <is>
          <t>Nos</t>
        </is>
      </c>
      <c r="AC21" s="26" t="n">
        <v>20</v>
      </c>
      <c r="AD21" s="166">
        <f>AA21*AC21</f>
        <v/>
      </c>
      <c r="AE21" s="26" t="n">
        <v>20</v>
      </c>
      <c r="AG21" s="167" t="n">
        <v>17</v>
      </c>
      <c r="AH21" s="26" t="inlineStr">
        <is>
          <t>M.S Bend 20 NB</t>
        </is>
      </c>
      <c r="AI21" s="26" t="n">
        <v>4</v>
      </c>
      <c r="AJ21" s="26" t="inlineStr">
        <is>
          <t>Nos</t>
        </is>
      </c>
      <c r="AK21" s="26" t="n">
        <v>50</v>
      </c>
      <c r="AL21" s="166">
        <f>AI21*AK21</f>
        <v/>
      </c>
      <c r="AM21" s="26" t="n">
        <v>4</v>
      </c>
      <c r="AN21" s="26" t="inlineStr">
        <is>
          <t>Nos</t>
        </is>
      </c>
      <c r="AO21" s="26" t="n">
        <v>50</v>
      </c>
      <c r="AP21" s="33">
        <f>AM21*AO21</f>
        <v/>
      </c>
      <c r="AQ21" s="26" t="n">
        <v>4</v>
      </c>
      <c r="AR21" s="26" t="inlineStr">
        <is>
          <t>Nos</t>
        </is>
      </c>
      <c r="AS21" s="26" t="n">
        <v>50</v>
      </c>
      <c r="AT21" s="166">
        <f>AQ21*AS21</f>
        <v/>
      </c>
      <c r="AU21" s="26" t="n">
        <v>50</v>
      </c>
      <c r="AW21" s="167" t="n">
        <v>17</v>
      </c>
      <c r="AX21" s="26" t="inlineStr">
        <is>
          <t>M.S Bend 20 NB</t>
        </is>
      </c>
      <c r="AY21" s="26" t="n">
        <v>4</v>
      </c>
      <c r="AZ21" s="26" t="inlineStr">
        <is>
          <t>Nos</t>
        </is>
      </c>
      <c r="BA21" s="26" t="n">
        <v>50</v>
      </c>
      <c r="BB21" s="166">
        <f>AY21*BA21</f>
        <v/>
      </c>
      <c r="BC21" s="26" t="n">
        <v>4</v>
      </c>
      <c r="BD21" s="26" t="inlineStr">
        <is>
          <t>Nos</t>
        </is>
      </c>
      <c r="BE21" s="26" t="n">
        <v>50</v>
      </c>
      <c r="BF21" s="33">
        <f>BC21*BE21</f>
        <v/>
      </c>
      <c r="BG21" s="26" t="n">
        <v>4</v>
      </c>
      <c r="BH21" s="26" t="inlineStr">
        <is>
          <t>Nos</t>
        </is>
      </c>
      <c r="BI21" s="26" t="n">
        <v>50</v>
      </c>
      <c r="BJ21" s="166">
        <f>BG21*BI21</f>
        <v/>
      </c>
      <c r="BK21" s="26" t="n">
        <v>50</v>
      </c>
      <c r="BM21" s="167" t="n">
        <v>17</v>
      </c>
      <c r="BN21" s="26" t="inlineStr">
        <is>
          <t>M.S Bend 20 NB</t>
        </is>
      </c>
      <c r="BO21" s="26" t="n">
        <v>4</v>
      </c>
      <c r="BP21" s="26" t="inlineStr">
        <is>
          <t>Nos</t>
        </is>
      </c>
      <c r="BQ21" s="26" t="n">
        <v>50</v>
      </c>
      <c r="BR21" s="166">
        <f>BO21*BQ21</f>
        <v/>
      </c>
      <c r="BS21" s="26" t="n">
        <v>4</v>
      </c>
      <c r="BT21" s="26" t="inlineStr">
        <is>
          <t>Nos</t>
        </is>
      </c>
      <c r="BU21" s="26" t="n">
        <v>50</v>
      </c>
      <c r="BV21" s="33">
        <f>BS21*BU21</f>
        <v/>
      </c>
      <c r="BW21" s="26" t="n">
        <v>4</v>
      </c>
      <c r="BX21" s="26" t="inlineStr">
        <is>
          <t>Nos</t>
        </is>
      </c>
      <c r="BY21" s="26" t="n">
        <v>50</v>
      </c>
      <c r="BZ21" s="166">
        <f>BW21*BY21</f>
        <v/>
      </c>
      <c r="CA21" s="26" t="n">
        <v>50</v>
      </c>
      <c r="CC21" s="167" t="n">
        <v>17</v>
      </c>
      <c r="CD21" s="26" t="inlineStr">
        <is>
          <t>M.S Bend 20 NB</t>
        </is>
      </c>
      <c r="CE21" s="26" t="n">
        <v>4</v>
      </c>
      <c r="CF21" s="26" t="inlineStr">
        <is>
          <t>Nos</t>
        </is>
      </c>
      <c r="CG21" s="26" t="n">
        <v>50</v>
      </c>
      <c r="CH21" s="166">
        <f>CE21*CG21</f>
        <v/>
      </c>
      <c r="CI21" s="26" t="n">
        <v>4</v>
      </c>
      <c r="CJ21" s="26" t="inlineStr">
        <is>
          <t>Nos</t>
        </is>
      </c>
      <c r="CK21" s="26" t="n">
        <v>50</v>
      </c>
      <c r="CL21" s="33">
        <f>CI21*CK21</f>
        <v/>
      </c>
      <c r="CM21" s="26" t="n">
        <v>4</v>
      </c>
      <c r="CN21" s="26" t="inlineStr">
        <is>
          <t>Nos</t>
        </is>
      </c>
      <c r="CO21" s="26" t="n">
        <v>50</v>
      </c>
      <c r="CP21" s="166">
        <f>CM21*CO21</f>
        <v/>
      </c>
      <c r="CQ21" s="26" t="n">
        <v>50</v>
      </c>
      <c r="CS21" s="167" t="n">
        <v>17</v>
      </c>
      <c r="CT21" s="26" t="inlineStr">
        <is>
          <t>M.S Bend 20 NB</t>
        </is>
      </c>
      <c r="CU21" s="26" t="n">
        <v>4</v>
      </c>
      <c r="CV21" s="26" t="inlineStr">
        <is>
          <t>Nos</t>
        </is>
      </c>
      <c r="CW21" s="26" t="n">
        <v>50</v>
      </c>
      <c r="CX21" s="166">
        <f>CU21*CW21</f>
        <v/>
      </c>
      <c r="CY21" s="26" t="n">
        <v>4</v>
      </c>
      <c r="CZ21" s="26" t="inlineStr">
        <is>
          <t>Nos</t>
        </is>
      </c>
      <c r="DA21" s="26" t="n">
        <v>50</v>
      </c>
      <c r="DB21" s="33">
        <f>CY21*DA21</f>
        <v/>
      </c>
      <c r="DC21" s="26" t="n">
        <v>4</v>
      </c>
      <c r="DD21" s="26" t="inlineStr">
        <is>
          <t>Nos</t>
        </is>
      </c>
      <c r="DE21" s="26" t="n">
        <v>50</v>
      </c>
      <c r="DF21" s="166">
        <f>DC21*DE21</f>
        <v/>
      </c>
      <c r="DG21" s="26">
        <f>DF21-CP21</f>
        <v/>
      </c>
      <c r="DH21" s="167" t="n">
        <v>17</v>
      </c>
      <c r="DI21" s="26" t="inlineStr">
        <is>
          <t>M.S Bend 25 NB</t>
        </is>
      </c>
      <c r="DJ21" s="26" t="n">
        <v>4</v>
      </c>
      <c r="DK21" s="26" t="inlineStr">
        <is>
          <t>Nos</t>
        </is>
      </c>
      <c r="DL21" s="26" t="n">
        <v>60</v>
      </c>
      <c r="DM21" s="166">
        <f>DJ21*DL21</f>
        <v/>
      </c>
      <c r="DN21" s="26" t="n">
        <v>4</v>
      </c>
      <c r="DO21" s="26" t="inlineStr">
        <is>
          <t>Nos</t>
        </is>
      </c>
      <c r="DP21" s="26" t="n">
        <v>60</v>
      </c>
      <c r="DQ21" s="33">
        <f>DN21*DP21</f>
        <v/>
      </c>
      <c r="DR21" s="26" t="n">
        <v>4</v>
      </c>
      <c r="DS21" s="26" t="inlineStr">
        <is>
          <t>Nos</t>
        </is>
      </c>
      <c r="DT21" s="26" t="n">
        <v>60</v>
      </c>
      <c r="DU21" s="166">
        <f>DR21*DT21</f>
        <v/>
      </c>
      <c r="DV21" s="26" t="n">
        <v>60</v>
      </c>
      <c r="DX21" s="167" t="n">
        <v>17</v>
      </c>
      <c r="DY21" s="26" t="inlineStr">
        <is>
          <t>M.S Bend 25 NB</t>
        </is>
      </c>
      <c r="DZ21" s="26" t="n">
        <v>4</v>
      </c>
      <c r="EA21" s="26" t="inlineStr">
        <is>
          <t>Nos</t>
        </is>
      </c>
      <c r="EB21" s="26" t="n">
        <v>60</v>
      </c>
      <c r="EC21" s="166">
        <f>DZ21*EB21</f>
        <v/>
      </c>
      <c r="ED21" s="26" t="n">
        <v>4</v>
      </c>
      <c r="EE21" s="26" t="inlineStr">
        <is>
          <t>Nos</t>
        </is>
      </c>
      <c r="EF21" s="26" t="n">
        <v>60</v>
      </c>
      <c r="EG21" s="33">
        <f>ED21*EF21</f>
        <v/>
      </c>
      <c r="EH21" s="26" t="n">
        <v>4</v>
      </c>
      <c r="EI21" s="26" t="inlineStr">
        <is>
          <t>Nos</t>
        </is>
      </c>
      <c r="EJ21" s="26" t="n">
        <v>60</v>
      </c>
      <c r="EK21" s="166">
        <f>EH21*EJ21</f>
        <v/>
      </c>
      <c r="EL21" s="26" t="n">
        <v>60</v>
      </c>
      <c r="EN21" s="167" t="n">
        <v>17</v>
      </c>
      <c r="EO21" s="26" t="inlineStr">
        <is>
          <t>M.S Bend 32 NB</t>
        </is>
      </c>
      <c r="EP21" s="26" t="n">
        <v>4</v>
      </c>
      <c r="EQ21" s="26" t="inlineStr">
        <is>
          <t>Nos</t>
        </is>
      </c>
      <c r="ER21" s="26" t="n">
        <v>75</v>
      </c>
      <c r="ES21" s="166">
        <f>EP21*ER21</f>
        <v/>
      </c>
      <c r="ET21" s="26" t="n">
        <v>4</v>
      </c>
      <c r="EU21" s="26" t="inlineStr">
        <is>
          <t>Nos</t>
        </is>
      </c>
      <c r="EV21" s="26" t="n">
        <v>75</v>
      </c>
      <c r="EW21" s="33">
        <f>ET21*EV21</f>
        <v/>
      </c>
      <c r="EX21" s="26" t="n">
        <v>4</v>
      </c>
      <c r="EY21" s="26" t="inlineStr">
        <is>
          <t>Nos</t>
        </is>
      </c>
      <c r="EZ21" s="26" t="n">
        <v>75</v>
      </c>
      <c r="FA21" s="166">
        <f>EX21*EZ21</f>
        <v/>
      </c>
      <c r="FB21" s="26" t="n">
        <v>75</v>
      </c>
    </row>
    <row r="22" ht="15.75" customHeight="1" s="307">
      <c r="A22" s="26" t="n">
        <v>18</v>
      </c>
      <c r="B22" s="26" t="inlineStr">
        <is>
          <t>M.S Plug 20 NB</t>
        </is>
      </c>
      <c r="C22" s="30" t="n">
        <v>3</v>
      </c>
      <c r="D22" s="30" t="inlineStr">
        <is>
          <t>Nos</t>
        </is>
      </c>
      <c r="E22" s="30" t="n">
        <v>20</v>
      </c>
      <c r="F22" s="159">
        <f>C22*E22</f>
        <v/>
      </c>
      <c r="G22" s="30" t="n">
        <v>4</v>
      </c>
      <c r="H22" s="30" t="inlineStr">
        <is>
          <t>Nos</t>
        </is>
      </c>
      <c r="I22" s="30" t="n">
        <v>20</v>
      </c>
      <c r="J22" s="34">
        <f>G22*I22</f>
        <v/>
      </c>
      <c r="K22" s="30" t="n">
        <v>3</v>
      </c>
      <c r="L22" s="30" t="inlineStr">
        <is>
          <t>Nos</t>
        </is>
      </c>
      <c r="M22" s="30" t="n">
        <v>20</v>
      </c>
      <c r="N22" s="159">
        <f>K22*M22</f>
        <v/>
      </c>
      <c r="O22" s="30" t="n">
        <v>20</v>
      </c>
      <c r="Q22" s="26" t="n">
        <v>18</v>
      </c>
      <c r="R22" s="26" t="inlineStr">
        <is>
          <t>M.S Socket 3/8"</t>
        </is>
      </c>
      <c r="S22" s="26" t="n">
        <v>1</v>
      </c>
      <c r="T22" s="26" t="inlineStr">
        <is>
          <t>Nos</t>
        </is>
      </c>
      <c r="U22" s="26" t="n">
        <v>20</v>
      </c>
      <c r="V22" s="166">
        <f>S22*U22</f>
        <v/>
      </c>
      <c r="W22" s="26" t="n">
        <v>1</v>
      </c>
      <c r="X22" s="26" t="inlineStr">
        <is>
          <t>Nos</t>
        </is>
      </c>
      <c r="Y22" s="26" t="n">
        <v>20</v>
      </c>
      <c r="Z22" s="33">
        <f>W22*Y22</f>
        <v/>
      </c>
      <c r="AA22" s="26" t="n">
        <v>1</v>
      </c>
      <c r="AB22" s="26" t="inlineStr">
        <is>
          <t>Nos</t>
        </is>
      </c>
      <c r="AC22" s="26" t="n">
        <v>20</v>
      </c>
      <c r="AD22" s="166">
        <f>AA22*AC22</f>
        <v/>
      </c>
      <c r="AE22" s="26" t="n">
        <v>20</v>
      </c>
      <c r="AG22" s="167" t="n">
        <v>18</v>
      </c>
      <c r="AH22" s="26" t="inlineStr">
        <is>
          <t>M.S Plug 20 NB</t>
        </is>
      </c>
      <c r="AI22" s="26" t="n">
        <v>3</v>
      </c>
      <c r="AJ22" s="26" t="inlineStr">
        <is>
          <t>Nos</t>
        </is>
      </c>
      <c r="AK22" s="26" t="n">
        <v>20</v>
      </c>
      <c r="AL22" s="166">
        <f>AI22*AK22</f>
        <v/>
      </c>
      <c r="AM22" s="26" t="n">
        <v>4</v>
      </c>
      <c r="AN22" s="26" t="inlineStr">
        <is>
          <t>Nos</t>
        </is>
      </c>
      <c r="AO22" s="26" t="n">
        <v>20</v>
      </c>
      <c r="AP22" s="33">
        <f>AM22*AO22</f>
        <v/>
      </c>
      <c r="AQ22" s="26" t="n">
        <v>3</v>
      </c>
      <c r="AR22" s="26" t="inlineStr">
        <is>
          <t>Nos</t>
        </is>
      </c>
      <c r="AS22" s="26" t="n">
        <v>20</v>
      </c>
      <c r="AT22" s="166">
        <f>AQ22*AS22</f>
        <v/>
      </c>
      <c r="AU22" s="26" t="n">
        <v>20</v>
      </c>
      <c r="AW22" s="167" t="n">
        <v>18</v>
      </c>
      <c r="AX22" s="26" t="inlineStr">
        <is>
          <t>M.S Plug 20 NB</t>
        </is>
      </c>
      <c r="AY22" s="26" t="n">
        <v>3</v>
      </c>
      <c r="AZ22" s="26" t="inlineStr">
        <is>
          <t>Nos</t>
        </is>
      </c>
      <c r="BA22" s="26" t="n">
        <v>20</v>
      </c>
      <c r="BB22" s="166">
        <f>AY22*BA22</f>
        <v/>
      </c>
      <c r="BC22" s="26" t="n">
        <v>4</v>
      </c>
      <c r="BD22" s="26" t="inlineStr">
        <is>
          <t>Nos</t>
        </is>
      </c>
      <c r="BE22" s="26" t="n">
        <v>20</v>
      </c>
      <c r="BF22" s="33">
        <f>BC22*BE22</f>
        <v/>
      </c>
      <c r="BG22" s="26" t="n">
        <v>3</v>
      </c>
      <c r="BH22" s="26" t="inlineStr">
        <is>
          <t>Nos</t>
        </is>
      </c>
      <c r="BI22" s="26" t="n">
        <v>20</v>
      </c>
      <c r="BJ22" s="166">
        <f>BG22*BI22</f>
        <v/>
      </c>
      <c r="BK22" s="26" t="n">
        <v>20</v>
      </c>
      <c r="BM22" s="167" t="n">
        <v>18</v>
      </c>
      <c r="BN22" s="26" t="inlineStr">
        <is>
          <t>M.S Plug 20 NB</t>
        </is>
      </c>
      <c r="BO22" s="26" t="n">
        <v>3</v>
      </c>
      <c r="BP22" s="26" t="inlineStr">
        <is>
          <t>Nos</t>
        </is>
      </c>
      <c r="BQ22" s="26" t="n">
        <v>20</v>
      </c>
      <c r="BR22" s="166">
        <f>BO22*BQ22</f>
        <v/>
      </c>
      <c r="BS22" s="26" t="n">
        <v>4</v>
      </c>
      <c r="BT22" s="26" t="inlineStr">
        <is>
          <t>Nos</t>
        </is>
      </c>
      <c r="BU22" s="26" t="n">
        <v>20</v>
      </c>
      <c r="BV22" s="33">
        <f>BS22*BU22</f>
        <v/>
      </c>
      <c r="BW22" s="26" t="n">
        <v>3</v>
      </c>
      <c r="BX22" s="26" t="inlineStr">
        <is>
          <t>Nos</t>
        </is>
      </c>
      <c r="BY22" s="26" t="n">
        <v>20</v>
      </c>
      <c r="BZ22" s="166">
        <f>BW22*BY22</f>
        <v/>
      </c>
      <c r="CA22" s="26" t="n">
        <v>20</v>
      </c>
      <c r="CC22" s="167" t="n">
        <v>18</v>
      </c>
      <c r="CD22" s="26" t="inlineStr">
        <is>
          <t>M.S Plug 20 NB</t>
        </is>
      </c>
      <c r="CE22" s="26" t="n">
        <v>3</v>
      </c>
      <c r="CF22" s="26" t="inlineStr">
        <is>
          <t>Nos</t>
        </is>
      </c>
      <c r="CG22" s="26" t="n">
        <v>20</v>
      </c>
      <c r="CH22" s="166">
        <f>CE22*CG22</f>
        <v/>
      </c>
      <c r="CI22" s="26" t="n">
        <v>4</v>
      </c>
      <c r="CJ22" s="26" t="inlineStr">
        <is>
          <t>Nos</t>
        </is>
      </c>
      <c r="CK22" s="26" t="n">
        <v>20</v>
      </c>
      <c r="CL22" s="33">
        <f>CI22*CK22</f>
        <v/>
      </c>
      <c r="CM22" s="26" t="n">
        <v>3</v>
      </c>
      <c r="CN22" s="26" t="inlineStr">
        <is>
          <t>Nos</t>
        </is>
      </c>
      <c r="CO22" s="26" t="n">
        <v>20</v>
      </c>
      <c r="CP22" s="166">
        <f>CM22*CO22</f>
        <v/>
      </c>
      <c r="CQ22" s="26" t="n">
        <v>20</v>
      </c>
      <c r="CS22" s="167" t="n">
        <v>18</v>
      </c>
      <c r="CT22" s="26" t="inlineStr">
        <is>
          <t>M.S Plug 20 NB</t>
        </is>
      </c>
      <c r="CU22" s="26" t="n">
        <v>3</v>
      </c>
      <c r="CV22" s="26" t="inlineStr">
        <is>
          <t>Nos</t>
        </is>
      </c>
      <c r="CW22" s="26" t="n">
        <v>20</v>
      </c>
      <c r="CX22" s="166">
        <f>CU22*CW22</f>
        <v/>
      </c>
      <c r="CY22" s="26" t="n">
        <v>4</v>
      </c>
      <c r="CZ22" s="26" t="inlineStr">
        <is>
          <t>Nos</t>
        </is>
      </c>
      <c r="DA22" s="26" t="n">
        <v>20</v>
      </c>
      <c r="DB22" s="33">
        <f>CY22*DA22</f>
        <v/>
      </c>
      <c r="DC22" s="26" t="n">
        <v>3</v>
      </c>
      <c r="DD22" s="26" t="inlineStr">
        <is>
          <t>Nos</t>
        </is>
      </c>
      <c r="DE22" s="26" t="n">
        <v>20</v>
      </c>
      <c r="DF22" s="166">
        <f>DC22*DE22</f>
        <v/>
      </c>
      <c r="DG22" s="26">
        <f>DF22-CP22</f>
        <v/>
      </c>
      <c r="DH22" s="167" t="n">
        <v>18</v>
      </c>
      <c r="DI22" s="26" t="inlineStr">
        <is>
          <t>M.S Plug 25 NB</t>
        </is>
      </c>
      <c r="DJ22" s="26" t="n">
        <v>3</v>
      </c>
      <c r="DK22" s="26" t="inlineStr">
        <is>
          <t>Nos</t>
        </is>
      </c>
      <c r="DL22" s="26" t="n">
        <v>35</v>
      </c>
      <c r="DM22" s="166">
        <f>DJ22*DL22</f>
        <v/>
      </c>
      <c r="DN22" s="26" t="n">
        <v>4</v>
      </c>
      <c r="DO22" s="26" t="inlineStr">
        <is>
          <t>Nos</t>
        </is>
      </c>
      <c r="DP22" s="26" t="n">
        <v>35</v>
      </c>
      <c r="DQ22" s="33">
        <f>DN22*DP22</f>
        <v/>
      </c>
      <c r="DR22" s="26" t="n">
        <v>3</v>
      </c>
      <c r="DS22" s="26" t="inlineStr">
        <is>
          <t>Nos</t>
        </is>
      </c>
      <c r="DT22" s="26" t="n">
        <v>35</v>
      </c>
      <c r="DU22" s="166">
        <f>DR22*DT22</f>
        <v/>
      </c>
      <c r="DV22" s="26" t="n">
        <v>35</v>
      </c>
      <c r="DX22" s="167" t="n">
        <v>18</v>
      </c>
      <c r="DY22" s="26" t="inlineStr">
        <is>
          <t>M.S Plug 25 NB</t>
        </is>
      </c>
      <c r="DZ22" s="26" t="n">
        <v>3</v>
      </c>
      <c r="EA22" s="26" t="inlineStr">
        <is>
          <t>Nos</t>
        </is>
      </c>
      <c r="EB22" s="26" t="n">
        <v>35</v>
      </c>
      <c r="EC22" s="166">
        <f>DZ22*EB22</f>
        <v/>
      </c>
      <c r="ED22" s="26" t="n">
        <v>4</v>
      </c>
      <c r="EE22" s="26" t="inlineStr">
        <is>
          <t>Nos</t>
        </is>
      </c>
      <c r="EF22" s="26" t="n">
        <v>35</v>
      </c>
      <c r="EG22" s="33">
        <f>ED22*EF22</f>
        <v/>
      </c>
      <c r="EH22" s="26" t="n">
        <v>3</v>
      </c>
      <c r="EI22" s="26" t="inlineStr">
        <is>
          <t>Nos</t>
        </is>
      </c>
      <c r="EJ22" s="26" t="n">
        <v>35</v>
      </c>
      <c r="EK22" s="166">
        <f>EH22*EJ22</f>
        <v/>
      </c>
      <c r="EL22" s="26" t="n">
        <v>35</v>
      </c>
      <c r="EN22" s="167" t="n">
        <v>18</v>
      </c>
      <c r="EO22" s="26" t="inlineStr">
        <is>
          <t>M.S Plug 32 NB</t>
        </is>
      </c>
      <c r="EP22" s="26" t="n">
        <v>3</v>
      </c>
      <c r="EQ22" s="26" t="inlineStr">
        <is>
          <t>Nos</t>
        </is>
      </c>
      <c r="ER22" s="26" t="n">
        <v>60</v>
      </c>
      <c r="ES22" s="166">
        <f>EP22*ER22</f>
        <v/>
      </c>
      <c r="ET22" s="26" t="n">
        <v>4</v>
      </c>
      <c r="EU22" s="26" t="inlineStr">
        <is>
          <t>Nos</t>
        </is>
      </c>
      <c r="EV22" s="26" t="n">
        <v>60</v>
      </c>
      <c r="EW22" s="33">
        <f>ET22*EV22</f>
        <v/>
      </c>
      <c r="EX22" s="26" t="n">
        <v>3</v>
      </c>
      <c r="EY22" s="26" t="inlineStr">
        <is>
          <t>Nos</t>
        </is>
      </c>
      <c r="EZ22" s="26" t="n">
        <v>60</v>
      </c>
      <c r="FA22" s="166">
        <f>EX22*EZ22</f>
        <v/>
      </c>
      <c r="FB22" s="26" t="n">
        <v>60</v>
      </c>
    </row>
    <row r="23" ht="15.75" customHeight="1" s="307">
      <c r="A23" s="26" t="n">
        <v>19</v>
      </c>
      <c r="B23" s="26" t="inlineStr">
        <is>
          <t>M.S Socket 3/8"</t>
        </is>
      </c>
      <c r="C23" s="30" t="n">
        <v>1</v>
      </c>
      <c r="D23" s="30" t="inlineStr">
        <is>
          <t>Nos</t>
        </is>
      </c>
      <c r="E23" s="30" t="n">
        <v>20</v>
      </c>
      <c r="F23" s="159">
        <f>C23*E23</f>
        <v/>
      </c>
      <c r="G23" s="30" t="n">
        <v>1</v>
      </c>
      <c r="H23" s="30" t="inlineStr">
        <is>
          <t>Nos</t>
        </is>
      </c>
      <c r="I23" s="30" t="n">
        <v>20</v>
      </c>
      <c r="J23" s="34">
        <f>G23*I23</f>
        <v/>
      </c>
      <c r="K23" s="30" t="n">
        <v>1</v>
      </c>
      <c r="L23" s="30" t="inlineStr">
        <is>
          <t>Nos</t>
        </is>
      </c>
      <c r="M23" s="30" t="n">
        <v>20</v>
      </c>
      <c r="N23" s="159">
        <f>K23*M23</f>
        <v/>
      </c>
      <c r="O23" s="30" t="n">
        <v>20</v>
      </c>
      <c r="Q23" s="26" t="n">
        <v>19</v>
      </c>
      <c r="R23" s="26" t="inlineStr">
        <is>
          <t>M.S Bush Nippal 1/2"x3/4"</t>
        </is>
      </c>
      <c r="S23" s="26" t="n">
        <v>1</v>
      </c>
      <c r="T23" s="26" t="inlineStr">
        <is>
          <t>Nos</t>
        </is>
      </c>
      <c r="U23" s="26" t="n">
        <v>20</v>
      </c>
      <c r="V23" s="166">
        <f>S23*U23</f>
        <v/>
      </c>
      <c r="W23" s="26" t="n">
        <v>2</v>
      </c>
      <c r="X23" s="26" t="inlineStr">
        <is>
          <t>Nos</t>
        </is>
      </c>
      <c r="Y23" s="26" t="n">
        <v>20</v>
      </c>
      <c r="Z23" s="33">
        <f>W23*Y23</f>
        <v/>
      </c>
      <c r="AA23" s="26" t="n">
        <v>1</v>
      </c>
      <c r="AB23" s="26" t="inlineStr">
        <is>
          <t>Nos</t>
        </is>
      </c>
      <c r="AC23" s="26" t="n">
        <v>20</v>
      </c>
      <c r="AD23" s="166">
        <f>AA23*AC23</f>
        <v/>
      </c>
      <c r="AE23" s="26" t="n">
        <v>20</v>
      </c>
      <c r="AG23" s="167" t="n">
        <v>19</v>
      </c>
      <c r="AH23" s="26" t="inlineStr">
        <is>
          <t>M.S Socket 3/8"</t>
        </is>
      </c>
      <c r="AI23" s="26" t="n">
        <v>1</v>
      </c>
      <c r="AJ23" s="26" t="inlineStr">
        <is>
          <t>Nos</t>
        </is>
      </c>
      <c r="AK23" s="26" t="n">
        <v>20</v>
      </c>
      <c r="AL23" s="166">
        <f>AI23*AK23</f>
        <v/>
      </c>
      <c r="AM23" s="26" t="n">
        <v>1</v>
      </c>
      <c r="AN23" s="26" t="inlineStr">
        <is>
          <t>Nos</t>
        </is>
      </c>
      <c r="AO23" s="26" t="n">
        <v>20</v>
      </c>
      <c r="AP23" s="33">
        <f>AM23*AO23</f>
        <v/>
      </c>
      <c r="AQ23" s="26" t="n">
        <v>1</v>
      </c>
      <c r="AR23" s="26" t="inlineStr">
        <is>
          <t>Nos</t>
        </is>
      </c>
      <c r="AS23" s="26" t="n">
        <v>20</v>
      </c>
      <c r="AT23" s="166">
        <f>AQ23*AS23</f>
        <v/>
      </c>
      <c r="AU23" s="26" t="n">
        <v>20</v>
      </c>
      <c r="AW23" s="167" t="n">
        <v>19</v>
      </c>
      <c r="AX23" s="26" t="inlineStr">
        <is>
          <t>M.S Socket 3/8"</t>
        </is>
      </c>
      <c r="AY23" s="26" t="n">
        <v>1</v>
      </c>
      <c r="AZ23" s="26" t="inlineStr">
        <is>
          <t>Nos</t>
        </is>
      </c>
      <c r="BA23" s="26" t="n">
        <v>20</v>
      </c>
      <c r="BB23" s="166">
        <f>AY23*BA23</f>
        <v/>
      </c>
      <c r="BC23" s="26" t="n">
        <v>1</v>
      </c>
      <c r="BD23" s="26" t="inlineStr">
        <is>
          <t>Nos</t>
        </is>
      </c>
      <c r="BE23" s="26" t="n">
        <v>20</v>
      </c>
      <c r="BF23" s="33">
        <f>BC23*BE23</f>
        <v/>
      </c>
      <c r="BG23" s="26" t="n">
        <v>1</v>
      </c>
      <c r="BH23" s="26" t="inlineStr">
        <is>
          <t>Nos</t>
        </is>
      </c>
      <c r="BI23" s="26" t="n">
        <v>20</v>
      </c>
      <c r="BJ23" s="166">
        <f>BG23*BI23</f>
        <v/>
      </c>
      <c r="BK23" s="26" t="n">
        <v>20</v>
      </c>
      <c r="BM23" s="167" t="n">
        <v>19</v>
      </c>
      <c r="BN23" s="26" t="inlineStr">
        <is>
          <t>M.S Socket 3/8"</t>
        </is>
      </c>
      <c r="BO23" s="26" t="n">
        <v>1</v>
      </c>
      <c r="BP23" s="26" t="inlineStr">
        <is>
          <t>Nos</t>
        </is>
      </c>
      <c r="BQ23" s="26" t="n">
        <v>20</v>
      </c>
      <c r="BR23" s="166">
        <f>BO23*BQ23</f>
        <v/>
      </c>
      <c r="BS23" s="26" t="n">
        <v>1</v>
      </c>
      <c r="BT23" s="26" t="inlineStr">
        <is>
          <t>Nos</t>
        </is>
      </c>
      <c r="BU23" s="26" t="n">
        <v>20</v>
      </c>
      <c r="BV23" s="33">
        <f>BS23*BU23</f>
        <v/>
      </c>
      <c r="BW23" s="26" t="n">
        <v>1</v>
      </c>
      <c r="BX23" s="26" t="inlineStr">
        <is>
          <t>Nos</t>
        </is>
      </c>
      <c r="BY23" s="26" t="n">
        <v>20</v>
      </c>
      <c r="BZ23" s="166">
        <f>BW23*BY23</f>
        <v/>
      </c>
      <c r="CA23" s="26" t="n">
        <v>20</v>
      </c>
      <c r="CC23" s="167" t="n">
        <v>19</v>
      </c>
      <c r="CD23" s="26" t="inlineStr">
        <is>
          <t>M.S Socket 3/8"</t>
        </is>
      </c>
      <c r="CE23" s="26" t="n">
        <v>1</v>
      </c>
      <c r="CF23" s="26" t="inlineStr">
        <is>
          <t>Nos</t>
        </is>
      </c>
      <c r="CG23" s="26" t="n">
        <v>20</v>
      </c>
      <c r="CH23" s="166">
        <f>CE23*CG23</f>
        <v/>
      </c>
      <c r="CI23" s="26" t="n">
        <v>1</v>
      </c>
      <c r="CJ23" s="26" t="inlineStr">
        <is>
          <t>Nos</t>
        </is>
      </c>
      <c r="CK23" s="26" t="n">
        <v>20</v>
      </c>
      <c r="CL23" s="33">
        <f>CI23*CK23</f>
        <v/>
      </c>
      <c r="CM23" s="26" t="n">
        <v>1</v>
      </c>
      <c r="CN23" s="26" t="inlineStr">
        <is>
          <t>Nos</t>
        </is>
      </c>
      <c r="CO23" s="26" t="n">
        <v>20</v>
      </c>
      <c r="CP23" s="166">
        <f>CM23*CO23</f>
        <v/>
      </c>
      <c r="CQ23" s="26" t="n">
        <v>20</v>
      </c>
      <c r="CS23" s="167" t="n">
        <v>19</v>
      </c>
      <c r="CT23" s="26" t="inlineStr">
        <is>
          <t>M.S Socket 3/8"</t>
        </is>
      </c>
      <c r="CU23" s="26" t="n">
        <v>1</v>
      </c>
      <c r="CV23" s="26" t="inlineStr">
        <is>
          <t>Nos</t>
        </is>
      </c>
      <c r="CW23" s="26" t="n">
        <v>20</v>
      </c>
      <c r="CX23" s="166">
        <f>CU23*CW23</f>
        <v/>
      </c>
      <c r="CY23" s="26" t="n">
        <v>1</v>
      </c>
      <c r="CZ23" s="26" t="inlineStr">
        <is>
          <t>Nos</t>
        </is>
      </c>
      <c r="DA23" s="26" t="n">
        <v>20</v>
      </c>
      <c r="DB23" s="33">
        <f>CY23*DA23</f>
        <v/>
      </c>
      <c r="DC23" s="26" t="n">
        <v>1</v>
      </c>
      <c r="DD23" s="26" t="inlineStr">
        <is>
          <t>Nos</t>
        </is>
      </c>
      <c r="DE23" s="26" t="n">
        <v>20</v>
      </c>
      <c r="DF23" s="166">
        <f>DC23*DE23</f>
        <v/>
      </c>
      <c r="DG23" s="26">
        <f>DF23-CP23</f>
        <v/>
      </c>
      <c r="DH23" s="167" t="n">
        <v>19</v>
      </c>
      <c r="DI23" s="26" t="inlineStr">
        <is>
          <t>M.S Socket 3/8"</t>
        </is>
      </c>
      <c r="DJ23" s="26" t="n">
        <v>1</v>
      </c>
      <c r="DK23" s="26" t="inlineStr">
        <is>
          <t>Nos</t>
        </is>
      </c>
      <c r="DL23" s="26" t="n">
        <v>20</v>
      </c>
      <c r="DM23" s="166">
        <f>DJ23*DL23</f>
        <v/>
      </c>
      <c r="DN23" s="26" t="n">
        <v>1</v>
      </c>
      <c r="DO23" s="26" t="inlineStr">
        <is>
          <t>Nos</t>
        </is>
      </c>
      <c r="DP23" s="26" t="n">
        <v>20</v>
      </c>
      <c r="DQ23" s="33">
        <f>DN23*DP23</f>
        <v/>
      </c>
      <c r="DR23" s="26" t="n">
        <v>1</v>
      </c>
      <c r="DS23" s="26" t="inlineStr">
        <is>
          <t>Nos</t>
        </is>
      </c>
      <c r="DT23" s="26" t="n">
        <v>20</v>
      </c>
      <c r="DU23" s="166">
        <f>DR23*DT23</f>
        <v/>
      </c>
      <c r="DV23" s="26" t="n">
        <v>20</v>
      </c>
      <c r="DX23" s="167" t="n">
        <v>19</v>
      </c>
      <c r="DY23" s="26" t="inlineStr">
        <is>
          <t>M.S Socket 3/8"</t>
        </is>
      </c>
      <c r="DZ23" s="26" t="n">
        <v>1</v>
      </c>
      <c r="EA23" s="26" t="inlineStr">
        <is>
          <t>Nos</t>
        </is>
      </c>
      <c r="EB23" s="26" t="n">
        <v>20</v>
      </c>
      <c r="EC23" s="166">
        <f>DZ23*EB23</f>
        <v/>
      </c>
      <c r="ED23" s="26" t="n">
        <v>1</v>
      </c>
      <c r="EE23" s="26" t="inlineStr">
        <is>
          <t>Nos</t>
        </is>
      </c>
      <c r="EF23" s="26" t="n">
        <v>20</v>
      </c>
      <c r="EG23" s="33">
        <f>ED23*EF23</f>
        <v/>
      </c>
      <c r="EH23" s="26" t="n">
        <v>1</v>
      </c>
      <c r="EI23" s="26" t="inlineStr">
        <is>
          <t>Nos</t>
        </is>
      </c>
      <c r="EJ23" s="26" t="n">
        <v>20</v>
      </c>
      <c r="EK23" s="166">
        <f>EH23*EJ23</f>
        <v/>
      </c>
      <c r="EL23" s="26" t="n">
        <v>20</v>
      </c>
      <c r="EN23" s="167" t="n">
        <v>19</v>
      </c>
      <c r="EO23" s="26" t="inlineStr">
        <is>
          <t>M.S Socket 3/8"</t>
        </is>
      </c>
      <c r="EP23" s="26" t="n">
        <v>1</v>
      </c>
      <c r="EQ23" s="26" t="inlineStr">
        <is>
          <t>Nos</t>
        </is>
      </c>
      <c r="ER23" s="26" t="n">
        <v>20</v>
      </c>
      <c r="ES23" s="166">
        <f>EP23*ER23</f>
        <v/>
      </c>
      <c r="ET23" s="26" t="n">
        <v>1</v>
      </c>
      <c r="EU23" s="26" t="inlineStr">
        <is>
          <t>Nos</t>
        </is>
      </c>
      <c r="EV23" s="26" t="n">
        <v>20</v>
      </c>
      <c r="EW23" s="33">
        <f>ET23*EV23</f>
        <v/>
      </c>
      <c r="EX23" s="26" t="n">
        <v>1</v>
      </c>
      <c r="EY23" s="26" t="inlineStr">
        <is>
          <t>Nos</t>
        </is>
      </c>
      <c r="EZ23" s="26" t="n">
        <v>20</v>
      </c>
      <c r="FA23" s="166">
        <f>EX23*EZ23</f>
        <v/>
      </c>
      <c r="FB23" s="26" t="n">
        <v>20</v>
      </c>
    </row>
    <row r="24" ht="15.75" customHeight="1" s="307">
      <c r="A24" s="26" t="n">
        <v>20</v>
      </c>
      <c r="B24" s="26" t="inlineStr">
        <is>
          <t>M.S Bush Nippal 1/2"x3/4"</t>
        </is>
      </c>
      <c r="C24" s="30" t="n">
        <v>1</v>
      </c>
      <c r="D24" s="30" t="inlineStr">
        <is>
          <t>Nos</t>
        </is>
      </c>
      <c r="E24" s="30" t="n">
        <v>20</v>
      </c>
      <c r="F24" s="159">
        <f>C24*E24</f>
        <v/>
      </c>
      <c r="G24" s="30" t="n">
        <v>2</v>
      </c>
      <c r="H24" s="30" t="inlineStr">
        <is>
          <t>Nos</t>
        </is>
      </c>
      <c r="I24" s="30" t="n">
        <v>20</v>
      </c>
      <c r="J24" s="34">
        <f>G24*I24</f>
        <v/>
      </c>
      <c r="K24" s="30" t="n">
        <v>1</v>
      </c>
      <c r="L24" s="30" t="inlineStr">
        <is>
          <t>Nos</t>
        </is>
      </c>
      <c r="M24" s="30" t="n">
        <v>20</v>
      </c>
      <c r="N24" s="159">
        <f>K24*M24</f>
        <v/>
      </c>
      <c r="O24" s="30" t="n">
        <v>20</v>
      </c>
      <c r="Q24" s="26" t="n">
        <v>20</v>
      </c>
      <c r="R24" s="26" t="inlineStr">
        <is>
          <t>Pressure Regulator 3/4"</t>
        </is>
      </c>
      <c r="S24" s="26" t="n">
        <v>1</v>
      </c>
      <c r="T24" s="26" t="inlineStr">
        <is>
          <t>Nos</t>
        </is>
      </c>
      <c r="U24" s="168" t="n">
        <v>1350</v>
      </c>
      <c r="V24" s="166">
        <f>S24*U24</f>
        <v/>
      </c>
      <c r="W24" s="26" t="n">
        <v>1</v>
      </c>
      <c r="X24" s="26" t="inlineStr">
        <is>
          <t>Nos</t>
        </is>
      </c>
      <c r="Y24" s="26" t="n">
        <v>1350</v>
      </c>
      <c r="Z24" s="33">
        <f>W24*Y24</f>
        <v/>
      </c>
      <c r="AA24" s="26" t="n">
        <v>1</v>
      </c>
      <c r="AB24" s="26" t="inlineStr">
        <is>
          <t>Nos</t>
        </is>
      </c>
      <c r="AC24" s="26" t="n">
        <v>1350</v>
      </c>
      <c r="AD24" s="166">
        <f>AA24*AC24</f>
        <v/>
      </c>
      <c r="AE24" s="26" t="n">
        <v>1350</v>
      </c>
      <c r="AG24" s="167" t="n">
        <v>20</v>
      </c>
      <c r="AH24" s="26" t="inlineStr">
        <is>
          <t>M.S Bush Nippal 1/2"x3/4"</t>
        </is>
      </c>
      <c r="AI24" s="26" t="n">
        <v>1</v>
      </c>
      <c r="AJ24" s="26" t="inlineStr">
        <is>
          <t>Nos</t>
        </is>
      </c>
      <c r="AK24" s="26" t="n">
        <v>20</v>
      </c>
      <c r="AL24" s="166">
        <f>AI24*AK24</f>
        <v/>
      </c>
      <c r="AM24" s="26" t="n">
        <v>2</v>
      </c>
      <c r="AN24" s="26" t="inlineStr">
        <is>
          <t>Nos</t>
        </is>
      </c>
      <c r="AO24" s="26" t="n">
        <v>20</v>
      </c>
      <c r="AP24" s="33">
        <f>AM24*AO24</f>
        <v/>
      </c>
      <c r="AQ24" s="26" t="n">
        <v>1</v>
      </c>
      <c r="AR24" s="26" t="inlineStr">
        <is>
          <t>Nos</t>
        </is>
      </c>
      <c r="AS24" s="26" t="n">
        <v>20</v>
      </c>
      <c r="AT24" s="166">
        <f>AQ24*AS24</f>
        <v/>
      </c>
      <c r="AU24" s="26" t="n">
        <v>20</v>
      </c>
      <c r="AW24" s="167" t="n">
        <v>20</v>
      </c>
      <c r="AX24" s="26" t="inlineStr">
        <is>
          <t>M.S Bush Nippal 1/2"x3/4"</t>
        </is>
      </c>
      <c r="AY24" s="26" t="n">
        <v>1</v>
      </c>
      <c r="AZ24" s="26" t="inlineStr">
        <is>
          <t>Nos</t>
        </is>
      </c>
      <c r="BA24" s="26" t="n">
        <v>20</v>
      </c>
      <c r="BB24" s="166">
        <f>AY24*BA24</f>
        <v/>
      </c>
      <c r="BC24" s="26" t="n">
        <v>2</v>
      </c>
      <c r="BD24" s="26" t="inlineStr">
        <is>
          <t>Nos</t>
        </is>
      </c>
      <c r="BE24" s="26" t="n">
        <v>20</v>
      </c>
      <c r="BF24" s="33">
        <f>BC24*BE24</f>
        <v/>
      </c>
      <c r="BG24" s="26" t="n">
        <v>1</v>
      </c>
      <c r="BH24" s="26" t="inlineStr">
        <is>
          <t>Nos</t>
        </is>
      </c>
      <c r="BI24" s="26" t="n">
        <v>20</v>
      </c>
      <c r="BJ24" s="166">
        <f>BG24*BI24</f>
        <v/>
      </c>
      <c r="BK24" s="26" t="n">
        <v>20</v>
      </c>
      <c r="BM24" s="167" t="n">
        <v>20</v>
      </c>
      <c r="BN24" s="26" t="inlineStr">
        <is>
          <t>M.S Bush Nippal 1/2"x3/4"</t>
        </is>
      </c>
      <c r="BO24" s="26" t="n">
        <v>1</v>
      </c>
      <c r="BP24" s="26" t="inlineStr">
        <is>
          <t>Nos</t>
        </is>
      </c>
      <c r="BQ24" s="26" t="n">
        <v>20</v>
      </c>
      <c r="BR24" s="166">
        <f>BO24*BQ24</f>
        <v/>
      </c>
      <c r="BS24" s="26" t="n">
        <v>2</v>
      </c>
      <c r="BT24" s="26" t="inlineStr">
        <is>
          <t>Nos</t>
        </is>
      </c>
      <c r="BU24" s="26" t="n">
        <v>20</v>
      </c>
      <c r="BV24" s="33">
        <f>BS24*BU24</f>
        <v/>
      </c>
      <c r="BW24" s="26" t="n">
        <v>1</v>
      </c>
      <c r="BX24" s="26" t="inlineStr">
        <is>
          <t>Nos</t>
        </is>
      </c>
      <c r="BY24" s="26" t="n">
        <v>20</v>
      </c>
      <c r="BZ24" s="166">
        <f>BW24*BY24</f>
        <v/>
      </c>
      <c r="CA24" s="26" t="n">
        <v>20</v>
      </c>
      <c r="CC24" s="167" t="n">
        <v>20</v>
      </c>
      <c r="CD24" s="26" t="inlineStr">
        <is>
          <t>M.S Bush Nippal 1/2"x3/4"</t>
        </is>
      </c>
      <c r="CE24" s="26" t="n">
        <v>1</v>
      </c>
      <c r="CF24" s="26" t="inlineStr">
        <is>
          <t>Nos</t>
        </is>
      </c>
      <c r="CG24" s="26" t="n">
        <v>20</v>
      </c>
      <c r="CH24" s="166">
        <f>CE24*CG24</f>
        <v/>
      </c>
      <c r="CI24" s="26" t="n">
        <v>2</v>
      </c>
      <c r="CJ24" s="26" t="inlineStr">
        <is>
          <t>Nos</t>
        </is>
      </c>
      <c r="CK24" s="26" t="n">
        <v>20</v>
      </c>
      <c r="CL24" s="33">
        <f>CI24*CK24</f>
        <v/>
      </c>
      <c r="CM24" s="26" t="n">
        <v>1</v>
      </c>
      <c r="CN24" s="26" t="inlineStr">
        <is>
          <t>Nos</t>
        </is>
      </c>
      <c r="CO24" s="26" t="n">
        <v>20</v>
      </c>
      <c r="CP24" s="166">
        <f>CM24*CO24</f>
        <v/>
      </c>
      <c r="CQ24" s="26" t="n">
        <v>20</v>
      </c>
      <c r="CS24" s="167" t="n">
        <v>20</v>
      </c>
      <c r="CT24" s="26" t="inlineStr">
        <is>
          <t>M.S Bush Nippal 1/2"x3/4"</t>
        </is>
      </c>
      <c r="CU24" s="26" t="n">
        <v>1</v>
      </c>
      <c r="CV24" s="26" t="inlineStr">
        <is>
          <t>Nos</t>
        </is>
      </c>
      <c r="CW24" s="26" t="n">
        <v>20</v>
      </c>
      <c r="CX24" s="166">
        <f>CU24*CW24</f>
        <v/>
      </c>
      <c r="CY24" s="26" t="n">
        <v>2</v>
      </c>
      <c r="CZ24" s="26" t="inlineStr">
        <is>
          <t>Nos</t>
        </is>
      </c>
      <c r="DA24" s="26" t="n">
        <v>20</v>
      </c>
      <c r="DB24" s="33">
        <f>CY24*DA24</f>
        <v/>
      </c>
      <c r="DC24" s="26" t="n">
        <v>1</v>
      </c>
      <c r="DD24" s="26" t="inlineStr">
        <is>
          <t>Nos</t>
        </is>
      </c>
      <c r="DE24" s="26" t="n">
        <v>20</v>
      </c>
      <c r="DF24" s="166">
        <f>DC24*DE24</f>
        <v/>
      </c>
      <c r="DG24" s="26">
        <f>DF24-CP24</f>
        <v/>
      </c>
      <c r="DH24" s="167" t="n">
        <v>20</v>
      </c>
      <c r="DI24" s="26" t="inlineStr">
        <is>
          <t>M.S Bush Nippal 1/2"x 25 NB</t>
        </is>
      </c>
      <c r="DJ24" s="26" t="n">
        <v>1</v>
      </c>
      <c r="DK24" s="26" t="inlineStr">
        <is>
          <t>Nos</t>
        </is>
      </c>
      <c r="DL24" s="26" t="n">
        <v>40</v>
      </c>
      <c r="DM24" s="166">
        <f>DJ24*DL24</f>
        <v/>
      </c>
      <c r="DN24" s="26" t="n">
        <v>2</v>
      </c>
      <c r="DO24" s="26" t="inlineStr">
        <is>
          <t>Nos</t>
        </is>
      </c>
      <c r="DP24" s="26" t="n">
        <v>40</v>
      </c>
      <c r="DQ24" s="33">
        <f>DN24*DP24</f>
        <v/>
      </c>
      <c r="DR24" s="26" t="n">
        <v>1</v>
      </c>
      <c r="DS24" s="26" t="inlineStr">
        <is>
          <t>Nos</t>
        </is>
      </c>
      <c r="DT24" s="26" t="n">
        <v>40</v>
      </c>
      <c r="DU24" s="166">
        <f>DR24*DT24</f>
        <v/>
      </c>
      <c r="DV24" s="26" t="n">
        <v>40</v>
      </c>
      <c r="DX24" s="167" t="n">
        <v>20</v>
      </c>
      <c r="DY24" s="26" t="inlineStr">
        <is>
          <t>M.S Bush Nippal 1/2"x 25 NB</t>
        </is>
      </c>
      <c r="DZ24" s="26" t="n">
        <v>1</v>
      </c>
      <c r="EA24" s="26" t="inlineStr">
        <is>
          <t>Nos</t>
        </is>
      </c>
      <c r="EB24" s="26" t="n">
        <v>40</v>
      </c>
      <c r="EC24" s="166">
        <f>DZ24*EB24</f>
        <v/>
      </c>
      <c r="ED24" s="26" t="n">
        <v>2</v>
      </c>
      <c r="EE24" s="26" t="inlineStr">
        <is>
          <t>Nos</t>
        </is>
      </c>
      <c r="EF24" s="26" t="n">
        <v>40</v>
      </c>
      <c r="EG24" s="33">
        <f>ED24*EF24</f>
        <v/>
      </c>
      <c r="EH24" s="26" t="n">
        <v>1</v>
      </c>
      <c r="EI24" s="26" t="inlineStr">
        <is>
          <t>Nos</t>
        </is>
      </c>
      <c r="EJ24" s="26" t="n">
        <v>40</v>
      </c>
      <c r="EK24" s="166">
        <f>EH24*EJ24</f>
        <v/>
      </c>
      <c r="EL24" s="26" t="n">
        <v>40</v>
      </c>
      <c r="EN24" s="167" t="n">
        <v>20</v>
      </c>
      <c r="EO24" s="26" t="inlineStr">
        <is>
          <t>M.S Bush Nippal 1/2"x 32 NB</t>
        </is>
      </c>
      <c r="EP24" s="26" t="n">
        <v>1</v>
      </c>
      <c r="EQ24" s="26" t="inlineStr">
        <is>
          <t>Nos</t>
        </is>
      </c>
      <c r="ER24" s="26" t="n">
        <v>60</v>
      </c>
      <c r="ES24" s="166">
        <f>EP24*ER24</f>
        <v/>
      </c>
      <c r="ET24" s="26" t="n">
        <v>2</v>
      </c>
      <c r="EU24" s="26" t="inlineStr">
        <is>
          <t>Nos</t>
        </is>
      </c>
      <c r="EV24" s="26" t="n">
        <v>60</v>
      </c>
      <c r="EW24" s="33">
        <f>ET24*EV24</f>
        <v/>
      </c>
      <c r="EX24" s="26" t="n">
        <v>1</v>
      </c>
      <c r="EY24" s="26" t="inlineStr">
        <is>
          <t>Nos</t>
        </is>
      </c>
      <c r="EZ24" s="26" t="n">
        <v>60</v>
      </c>
      <c r="FA24" s="166">
        <f>EX24*EZ24</f>
        <v/>
      </c>
      <c r="FB24" s="26" t="n">
        <v>60</v>
      </c>
    </row>
    <row r="25" ht="15.75" customHeight="1" s="307">
      <c r="A25" s="26" t="n">
        <v>21</v>
      </c>
      <c r="B25" s="26" t="inlineStr">
        <is>
          <t>Pressure Regulator 3/4"</t>
        </is>
      </c>
      <c r="C25" s="30" t="n">
        <v>1</v>
      </c>
      <c r="D25" s="30" t="inlineStr">
        <is>
          <t>Nos</t>
        </is>
      </c>
      <c r="E25" s="30" t="n">
        <v>1350</v>
      </c>
      <c r="F25" s="159">
        <f>C25*E25</f>
        <v/>
      </c>
      <c r="G25" s="30" t="n">
        <v>1</v>
      </c>
      <c r="H25" s="30" t="inlineStr">
        <is>
          <t>Nos</t>
        </is>
      </c>
      <c r="I25" s="30" t="n">
        <v>1350</v>
      </c>
      <c r="J25" s="34">
        <f>G25*I25</f>
        <v/>
      </c>
      <c r="K25" s="30" t="n">
        <v>1</v>
      </c>
      <c r="L25" s="30" t="inlineStr">
        <is>
          <t>Nos</t>
        </is>
      </c>
      <c r="M25" s="30" t="n">
        <v>1350</v>
      </c>
      <c r="N25" s="159">
        <f>K25*M25</f>
        <v/>
      </c>
      <c r="O25" s="30" t="n">
        <v>1350</v>
      </c>
      <c r="Q25" s="26" t="n">
        <v>21</v>
      </c>
      <c r="R25" s="26" t="inlineStr">
        <is>
          <t xml:space="preserve">Duplex Filter </t>
        </is>
      </c>
      <c r="S25" s="26" t="n">
        <v>1</v>
      </c>
      <c r="T25" s="26" t="inlineStr">
        <is>
          <t>Nos</t>
        </is>
      </c>
      <c r="U25" s="26" t="n">
        <v>3900</v>
      </c>
      <c r="V25" s="166">
        <f>S25*U25</f>
        <v/>
      </c>
      <c r="W25" s="26" t="n">
        <v>2</v>
      </c>
      <c r="X25" s="26" t="inlineStr">
        <is>
          <t>Nos</t>
        </is>
      </c>
      <c r="Y25" s="26" t="n">
        <v>3900</v>
      </c>
      <c r="Z25" s="33">
        <f>W25*Y25</f>
        <v/>
      </c>
      <c r="AA25" s="26" t="n">
        <v>1</v>
      </c>
      <c r="AB25" s="26" t="inlineStr">
        <is>
          <t>Nos</t>
        </is>
      </c>
      <c r="AC25" s="26" t="n">
        <v>3900</v>
      </c>
      <c r="AD25" s="166">
        <f>AA25*AC25</f>
        <v/>
      </c>
      <c r="AE25" s="26" t="n">
        <v>3900</v>
      </c>
      <c r="AG25" s="167" t="n">
        <v>21</v>
      </c>
      <c r="AH25" s="26" t="inlineStr">
        <is>
          <t>Pressure Regulator 3/4"</t>
        </is>
      </c>
      <c r="AI25" s="26" t="n">
        <v>1</v>
      </c>
      <c r="AJ25" s="26" t="inlineStr">
        <is>
          <t>Nos</t>
        </is>
      </c>
      <c r="AK25" s="26" t="n">
        <v>1350</v>
      </c>
      <c r="AL25" s="166">
        <f>AI25*AK25</f>
        <v/>
      </c>
      <c r="AM25" s="26" t="n">
        <v>1</v>
      </c>
      <c r="AN25" s="26" t="inlineStr">
        <is>
          <t>Nos</t>
        </is>
      </c>
      <c r="AO25" s="26" t="n">
        <v>1350</v>
      </c>
      <c r="AP25" s="33">
        <f>AM25*AO25</f>
        <v/>
      </c>
      <c r="AQ25" s="26" t="n">
        <v>1</v>
      </c>
      <c r="AR25" s="26" t="inlineStr">
        <is>
          <t>Nos</t>
        </is>
      </c>
      <c r="AS25" s="26" t="n">
        <v>1350</v>
      </c>
      <c r="AT25" s="166">
        <f>AQ25*AS25</f>
        <v/>
      </c>
      <c r="AU25" s="26" t="n">
        <v>1350</v>
      </c>
      <c r="AW25" s="167" t="n">
        <v>21</v>
      </c>
      <c r="AX25" s="26" t="inlineStr">
        <is>
          <t>Pressure Regulator 3/4"</t>
        </is>
      </c>
      <c r="AY25" s="26" t="n">
        <v>1</v>
      </c>
      <c r="AZ25" s="26" t="inlineStr">
        <is>
          <t>Nos</t>
        </is>
      </c>
      <c r="BA25" s="26" t="n">
        <v>1350</v>
      </c>
      <c r="BB25" s="166">
        <f>AY25*BA25</f>
        <v/>
      </c>
      <c r="BC25" s="26" t="n">
        <v>1</v>
      </c>
      <c r="BD25" s="26" t="inlineStr">
        <is>
          <t>Nos</t>
        </is>
      </c>
      <c r="BE25" s="26" t="n">
        <v>1350</v>
      </c>
      <c r="BF25" s="33">
        <f>BC25*BE25</f>
        <v/>
      </c>
      <c r="BG25" s="26" t="n">
        <v>1</v>
      </c>
      <c r="BH25" s="26" t="inlineStr">
        <is>
          <t>Nos</t>
        </is>
      </c>
      <c r="BI25" s="26" t="n">
        <v>1350</v>
      </c>
      <c r="BJ25" s="166">
        <f>BG25*BI25</f>
        <v/>
      </c>
      <c r="BK25" s="26" t="n">
        <v>1350</v>
      </c>
      <c r="BM25" s="167" t="n">
        <v>21</v>
      </c>
      <c r="BN25" s="26" t="inlineStr">
        <is>
          <t>Pressure Regulator 3/4"</t>
        </is>
      </c>
      <c r="BO25" s="26" t="n">
        <v>1</v>
      </c>
      <c r="BP25" s="26" t="inlineStr">
        <is>
          <t>Nos</t>
        </is>
      </c>
      <c r="BQ25" s="26" t="n">
        <v>1350</v>
      </c>
      <c r="BR25" s="166">
        <f>BO25*BQ25</f>
        <v/>
      </c>
      <c r="BS25" s="26" t="n">
        <v>1</v>
      </c>
      <c r="BT25" s="26" t="inlineStr">
        <is>
          <t>Nos</t>
        </is>
      </c>
      <c r="BU25" s="26" t="n">
        <v>1350</v>
      </c>
      <c r="BV25" s="33">
        <f>BS25*BU25</f>
        <v/>
      </c>
      <c r="BW25" s="26" t="n">
        <v>1</v>
      </c>
      <c r="BX25" s="26" t="inlineStr">
        <is>
          <t>Nos</t>
        </is>
      </c>
      <c r="BY25" s="26" t="n">
        <v>1350</v>
      </c>
      <c r="BZ25" s="166">
        <f>BW25*BY25</f>
        <v/>
      </c>
      <c r="CA25" s="26" t="n">
        <v>1350</v>
      </c>
      <c r="CC25" s="167" t="n">
        <v>21</v>
      </c>
      <c r="CD25" s="26" t="inlineStr">
        <is>
          <t>Pressure Regulator 3/4"</t>
        </is>
      </c>
      <c r="CE25" s="26" t="n">
        <v>1</v>
      </c>
      <c r="CF25" s="26" t="inlineStr">
        <is>
          <t>Nos</t>
        </is>
      </c>
      <c r="CG25" s="26" t="n">
        <v>1350</v>
      </c>
      <c r="CH25" s="166">
        <f>CE25*CG25</f>
        <v/>
      </c>
      <c r="CI25" s="26" t="n">
        <v>1</v>
      </c>
      <c r="CJ25" s="26" t="inlineStr">
        <is>
          <t>Nos</t>
        </is>
      </c>
      <c r="CK25" s="26" t="n">
        <v>1350</v>
      </c>
      <c r="CL25" s="33">
        <f>CI25*CK25</f>
        <v/>
      </c>
      <c r="CM25" s="26" t="n">
        <v>1</v>
      </c>
      <c r="CN25" s="26" t="inlineStr">
        <is>
          <t>Nos</t>
        </is>
      </c>
      <c r="CO25" s="26" t="n">
        <v>1350</v>
      </c>
      <c r="CP25" s="166">
        <f>CM25*CO25</f>
        <v/>
      </c>
      <c r="CQ25" s="26" t="n">
        <v>1350</v>
      </c>
      <c r="CS25" s="167" t="n">
        <v>21</v>
      </c>
      <c r="CT25" s="26" t="inlineStr">
        <is>
          <t>Pressure Regulator 3/4"</t>
        </is>
      </c>
      <c r="CU25" s="26" t="n">
        <v>1</v>
      </c>
      <c r="CV25" s="26" t="inlineStr">
        <is>
          <t>Nos</t>
        </is>
      </c>
      <c r="CW25" s="26" t="n">
        <v>1350</v>
      </c>
      <c r="CX25" s="166">
        <f>CU25*CW25</f>
        <v/>
      </c>
      <c r="CY25" s="26" t="n">
        <v>1</v>
      </c>
      <c r="CZ25" s="26" t="inlineStr">
        <is>
          <t>Nos</t>
        </is>
      </c>
      <c r="DA25" s="26" t="n">
        <v>1350</v>
      </c>
      <c r="DB25" s="33">
        <f>CY25*DA25</f>
        <v/>
      </c>
      <c r="DC25" s="26" t="n">
        <v>1</v>
      </c>
      <c r="DD25" s="26" t="inlineStr">
        <is>
          <t>Nos</t>
        </is>
      </c>
      <c r="DE25" s="26" t="n">
        <v>1350</v>
      </c>
      <c r="DF25" s="166">
        <f>DC25*DE25</f>
        <v/>
      </c>
      <c r="DG25" s="26">
        <f>DF25-CP25</f>
        <v/>
      </c>
      <c r="DH25" s="167" t="n">
        <v>21</v>
      </c>
      <c r="DI25" s="26" t="inlineStr">
        <is>
          <t>Pressure Regulator  25 NB</t>
        </is>
      </c>
      <c r="DJ25" s="26" t="n">
        <v>1</v>
      </c>
      <c r="DK25" s="26" t="inlineStr">
        <is>
          <t>Nos</t>
        </is>
      </c>
      <c r="DL25" s="26" t="n">
        <v>3500</v>
      </c>
      <c r="DM25" s="166">
        <f>DJ25*DL25</f>
        <v/>
      </c>
      <c r="DN25" s="26" t="n">
        <v>1</v>
      </c>
      <c r="DO25" s="26" t="inlineStr">
        <is>
          <t>Nos</t>
        </is>
      </c>
      <c r="DP25" s="26" t="n">
        <v>3500</v>
      </c>
      <c r="DQ25" s="33">
        <f>DN25*DP25</f>
        <v/>
      </c>
      <c r="DR25" s="26" t="n">
        <v>1</v>
      </c>
      <c r="DS25" s="26" t="inlineStr">
        <is>
          <t>Nos</t>
        </is>
      </c>
      <c r="DT25" s="26" t="n">
        <v>3500</v>
      </c>
      <c r="DU25" s="166">
        <f>DR25*DT25</f>
        <v/>
      </c>
      <c r="DV25" s="26" t="n">
        <v>3500</v>
      </c>
      <c r="DX25" s="167" t="n">
        <v>21</v>
      </c>
      <c r="DY25" s="26" t="inlineStr">
        <is>
          <t>Pressure Regulator  25 NB</t>
        </is>
      </c>
      <c r="DZ25" s="26" t="n">
        <v>1</v>
      </c>
      <c r="EA25" s="26" t="inlineStr">
        <is>
          <t>Nos</t>
        </is>
      </c>
      <c r="EB25" s="26" t="n">
        <v>3500</v>
      </c>
      <c r="EC25" s="166">
        <f>DZ25*EB25</f>
        <v/>
      </c>
      <c r="ED25" s="26" t="n">
        <v>1</v>
      </c>
      <c r="EE25" s="26" t="inlineStr">
        <is>
          <t>Nos</t>
        </is>
      </c>
      <c r="EF25" s="26" t="n">
        <v>3500</v>
      </c>
      <c r="EG25" s="33">
        <f>ED25*EF25</f>
        <v/>
      </c>
      <c r="EH25" s="26" t="n">
        <v>1</v>
      </c>
      <c r="EI25" s="26" t="inlineStr">
        <is>
          <t>Nos</t>
        </is>
      </c>
      <c r="EJ25" s="26" t="n">
        <v>3500</v>
      </c>
      <c r="EK25" s="166">
        <f>EH25*EJ25</f>
        <v/>
      </c>
      <c r="EL25" s="26" t="n">
        <v>3500</v>
      </c>
      <c r="EN25" s="167" t="n">
        <v>21</v>
      </c>
      <c r="EO25" s="26" t="inlineStr">
        <is>
          <t>Pressure Regulator  32 NB</t>
        </is>
      </c>
      <c r="EP25" s="26" t="n">
        <v>1</v>
      </c>
      <c r="EQ25" s="26" t="inlineStr">
        <is>
          <t>Nos</t>
        </is>
      </c>
      <c r="ER25" s="169" t="n">
        <v>5000</v>
      </c>
      <c r="ES25" s="166">
        <f>EP25*ER25</f>
        <v/>
      </c>
      <c r="ET25" s="26" t="n">
        <v>1</v>
      </c>
      <c r="EU25" s="26" t="inlineStr">
        <is>
          <t>Nos</t>
        </is>
      </c>
      <c r="EV25" s="26" t="n">
        <v>5000</v>
      </c>
      <c r="EW25" s="33">
        <f>ET25*EV25</f>
        <v/>
      </c>
      <c r="EX25" s="26" t="n">
        <v>1</v>
      </c>
      <c r="EY25" s="26" t="inlineStr">
        <is>
          <t>Nos</t>
        </is>
      </c>
      <c r="EZ25" s="26" t="n">
        <v>5000</v>
      </c>
      <c r="FA25" s="166">
        <f>EX25*EZ25</f>
        <v/>
      </c>
      <c r="FB25" s="26" t="n">
        <v>5000</v>
      </c>
    </row>
    <row r="26" ht="15.75" customHeight="1" s="307">
      <c r="A26" s="26" t="n">
        <v>22</v>
      </c>
      <c r="B26" s="26" t="inlineStr">
        <is>
          <t xml:space="preserve">Duplex Filter </t>
        </is>
      </c>
      <c r="C26" s="30" t="n">
        <v>1</v>
      </c>
      <c r="D26" s="30" t="inlineStr">
        <is>
          <t>Nos</t>
        </is>
      </c>
      <c r="E26" s="30" t="n">
        <v>3900</v>
      </c>
      <c r="F26" s="159">
        <f>C26*E26</f>
        <v/>
      </c>
      <c r="G26" s="30" t="n">
        <v>2</v>
      </c>
      <c r="H26" s="30" t="inlineStr">
        <is>
          <t>Nos</t>
        </is>
      </c>
      <c r="I26" s="30" t="n">
        <v>3900</v>
      </c>
      <c r="J26" s="34">
        <f>G26*I26</f>
        <v/>
      </c>
      <c r="K26" s="30" t="n">
        <v>1</v>
      </c>
      <c r="L26" s="30" t="inlineStr">
        <is>
          <t>Nos</t>
        </is>
      </c>
      <c r="M26" s="30" t="n">
        <v>3900</v>
      </c>
      <c r="N26" s="159">
        <f>K26*M26</f>
        <v/>
      </c>
      <c r="O26" s="30" t="n">
        <v>3900</v>
      </c>
      <c r="Q26" s="26" t="n">
        <v>22</v>
      </c>
      <c r="R26" s="26" t="inlineStr">
        <is>
          <t>Simplex Filter</t>
        </is>
      </c>
      <c r="S26" s="33" t="n">
        <v>1</v>
      </c>
      <c r="T26" s="26" t="inlineStr">
        <is>
          <t>Nos</t>
        </is>
      </c>
      <c r="U26" s="33" t="n">
        <v>1700</v>
      </c>
      <c r="V26" s="166">
        <f>S26*U26</f>
        <v/>
      </c>
      <c r="W26" s="33" t="n">
        <v>0</v>
      </c>
      <c r="X26" s="26" t="inlineStr">
        <is>
          <t>Nos</t>
        </is>
      </c>
      <c r="Y26" s="33" t="n">
        <v>0</v>
      </c>
      <c r="Z26" s="166">
        <f>W26*Y26</f>
        <v/>
      </c>
      <c r="AA26" s="33" t="n">
        <v>1</v>
      </c>
      <c r="AB26" s="26" t="inlineStr">
        <is>
          <t>Nos</t>
        </is>
      </c>
      <c r="AC26" s="33" t="n">
        <v>1500</v>
      </c>
      <c r="AD26" s="166">
        <f>AA26*AC26</f>
        <v/>
      </c>
      <c r="AE26" s="26" t="n">
        <v>1500</v>
      </c>
      <c r="AG26" s="167" t="n">
        <v>22</v>
      </c>
      <c r="AH26" s="26" t="inlineStr">
        <is>
          <t xml:space="preserve">Duplex Filter </t>
        </is>
      </c>
      <c r="AI26" s="26" t="n">
        <v>1</v>
      </c>
      <c r="AJ26" s="26" t="inlineStr">
        <is>
          <t>Nos</t>
        </is>
      </c>
      <c r="AK26" s="26" t="n">
        <v>3900</v>
      </c>
      <c r="AL26" s="166">
        <f>AI26*AK26</f>
        <v/>
      </c>
      <c r="AM26" s="26" t="n">
        <v>2</v>
      </c>
      <c r="AN26" s="26" t="inlineStr">
        <is>
          <t>Nos</t>
        </is>
      </c>
      <c r="AO26" s="26" t="n">
        <v>3900</v>
      </c>
      <c r="AP26" s="33">
        <f>AM26*AO26</f>
        <v/>
      </c>
      <c r="AQ26" s="26" t="n">
        <v>1</v>
      </c>
      <c r="AR26" s="26" t="inlineStr">
        <is>
          <t>Nos</t>
        </is>
      </c>
      <c r="AS26" s="26" t="n">
        <v>3900</v>
      </c>
      <c r="AT26" s="166">
        <f>AQ26*AS26</f>
        <v/>
      </c>
      <c r="AU26" s="26" t="n">
        <v>3900</v>
      </c>
      <c r="AW26" s="167" t="n">
        <v>22</v>
      </c>
      <c r="AX26" s="26" t="inlineStr">
        <is>
          <t xml:space="preserve">Duplex Filter </t>
        </is>
      </c>
      <c r="AY26" s="26" t="n">
        <v>1</v>
      </c>
      <c r="AZ26" s="26" t="inlineStr">
        <is>
          <t>Nos</t>
        </is>
      </c>
      <c r="BA26" s="26" t="n">
        <v>3900</v>
      </c>
      <c r="BB26" s="166">
        <f>AY26*BA26</f>
        <v/>
      </c>
      <c r="BC26" s="26" t="n">
        <v>2</v>
      </c>
      <c r="BD26" s="26" t="inlineStr">
        <is>
          <t>Nos</t>
        </is>
      </c>
      <c r="BE26" s="26" t="n">
        <v>3900</v>
      </c>
      <c r="BF26" s="33">
        <f>BC26*BE26</f>
        <v/>
      </c>
      <c r="BG26" s="26" t="n">
        <v>1</v>
      </c>
      <c r="BH26" s="26" t="inlineStr">
        <is>
          <t>Nos</t>
        </is>
      </c>
      <c r="BI26" s="26" t="n">
        <v>3900</v>
      </c>
      <c r="BJ26" s="166">
        <f>BG26*BI26</f>
        <v/>
      </c>
      <c r="BK26" s="26" t="n">
        <v>3900</v>
      </c>
      <c r="BM26" s="167" t="n">
        <v>22</v>
      </c>
      <c r="BN26" s="26" t="inlineStr">
        <is>
          <t xml:space="preserve">Duplex Filter </t>
        </is>
      </c>
      <c r="BO26" s="26" t="n">
        <v>1</v>
      </c>
      <c r="BP26" s="26" t="inlineStr">
        <is>
          <t>Nos</t>
        </is>
      </c>
      <c r="BQ26" s="26" t="n">
        <v>3900</v>
      </c>
      <c r="BR26" s="166">
        <f>BO26*BQ26</f>
        <v/>
      </c>
      <c r="BS26" s="26" t="n">
        <v>2</v>
      </c>
      <c r="BT26" s="26" t="inlineStr">
        <is>
          <t>Nos</t>
        </is>
      </c>
      <c r="BU26" s="26" t="n">
        <v>3900</v>
      </c>
      <c r="BV26" s="33">
        <f>BS26*BU26</f>
        <v/>
      </c>
      <c r="BW26" s="26" t="n">
        <v>1</v>
      </c>
      <c r="BX26" s="26" t="inlineStr">
        <is>
          <t>Nos</t>
        </is>
      </c>
      <c r="BY26" s="26" t="n">
        <v>3900</v>
      </c>
      <c r="BZ26" s="166">
        <f>BW26*BY26</f>
        <v/>
      </c>
      <c r="CA26" s="26" t="n">
        <v>3900</v>
      </c>
      <c r="CC26" s="167" t="n">
        <v>22</v>
      </c>
      <c r="CD26" s="26" t="inlineStr">
        <is>
          <t xml:space="preserve">Duplex Filter </t>
        </is>
      </c>
      <c r="CE26" s="26" t="n">
        <v>1</v>
      </c>
      <c r="CF26" s="26" t="inlineStr">
        <is>
          <t>Nos</t>
        </is>
      </c>
      <c r="CG26" s="26" t="n">
        <v>3900</v>
      </c>
      <c r="CH26" s="166">
        <f>CE26*CG26</f>
        <v/>
      </c>
      <c r="CI26" s="26" t="n">
        <v>2</v>
      </c>
      <c r="CJ26" s="26" t="inlineStr">
        <is>
          <t>Nos</t>
        </is>
      </c>
      <c r="CK26" s="26" t="n">
        <v>3900</v>
      </c>
      <c r="CL26" s="33">
        <f>CI26*CK26</f>
        <v/>
      </c>
      <c r="CM26" s="26" t="n">
        <v>1</v>
      </c>
      <c r="CN26" s="26" t="inlineStr">
        <is>
          <t>Nos</t>
        </is>
      </c>
      <c r="CO26" s="26" t="n">
        <v>3900</v>
      </c>
      <c r="CP26" s="166">
        <f>CM26*CO26</f>
        <v/>
      </c>
      <c r="CQ26" s="26" t="n">
        <v>3900</v>
      </c>
      <c r="CS26" s="167" t="n">
        <v>22</v>
      </c>
      <c r="CT26" s="26" t="inlineStr">
        <is>
          <t xml:space="preserve">Duplex Filter </t>
        </is>
      </c>
      <c r="CU26" s="26" t="n">
        <v>1</v>
      </c>
      <c r="CV26" s="26" t="inlineStr">
        <is>
          <t>Nos</t>
        </is>
      </c>
      <c r="CW26" s="26" t="n">
        <v>3900</v>
      </c>
      <c r="CX26" s="166">
        <f>CU26*CW26</f>
        <v/>
      </c>
      <c r="CY26" s="26" t="n">
        <v>2</v>
      </c>
      <c r="CZ26" s="26" t="inlineStr">
        <is>
          <t>Nos</t>
        </is>
      </c>
      <c r="DA26" s="26" t="n">
        <v>3900</v>
      </c>
      <c r="DB26" s="33">
        <f>CY26*DA26</f>
        <v/>
      </c>
      <c r="DC26" s="26" t="n">
        <v>1</v>
      </c>
      <c r="DD26" s="26" t="inlineStr">
        <is>
          <t>Nos</t>
        </is>
      </c>
      <c r="DE26" s="26" t="n">
        <v>3900</v>
      </c>
      <c r="DF26" s="166">
        <f>DC26*DE26</f>
        <v/>
      </c>
      <c r="DG26" s="26">
        <f>DF26-CP26</f>
        <v/>
      </c>
      <c r="DH26" s="167" t="n">
        <v>22</v>
      </c>
      <c r="DI26" s="26" t="inlineStr">
        <is>
          <t>Duplex Filter 25 NB</t>
        </is>
      </c>
      <c r="DJ26" s="26" t="n">
        <v>1</v>
      </c>
      <c r="DK26" s="26" t="inlineStr">
        <is>
          <t>Nos</t>
        </is>
      </c>
      <c r="DL26" s="26" t="n">
        <v>3900</v>
      </c>
      <c r="DM26" s="166">
        <f>DJ26*DL26</f>
        <v/>
      </c>
      <c r="DN26" s="26" t="n">
        <v>2</v>
      </c>
      <c r="DO26" s="26" t="inlineStr">
        <is>
          <t>Nos</t>
        </is>
      </c>
      <c r="DP26" s="26" t="n">
        <v>3900</v>
      </c>
      <c r="DQ26" s="33">
        <f>DN26*DP26</f>
        <v/>
      </c>
      <c r="DR26" s="26" t="n">
        <v>1</v>
      </c>
      <c r="DS26" s="26" t="inlineStr">
        <is>
          <t>Nos</t>
        </is>
      </c>
      <c r="DT26" s="26" t="n">
        <v>3900</v>
      </c>
      <c r="DU26" s="166">
        <f>DR26*DT26</f>
        <v/>
      </c>
      <c r="DV26" s="26" t="n">
        <v>3900</v>
      </c>
      <c r="DX26" s="167" t="n">
        <v>22</v>
      </c>
      <c r="DY26" s="26" t="inlineStr">
        <is>
          <t>Duplex Filter 25 NB</t>
        </is>
      </c>
      <c r="DZ26" s="26" t="n">
        <v>1</v>
      </c>
      <c r="EA26" s="26" t="inlineStr">
        <is>
          <t>Nos</t>
        </is>
      </c>
      <c r="EB26" s="26" t="n">
        <v>3900</v>
      </c>
      <c r="EC26" s="166">
        <f>DZ26*EB26</f>
        <v/>
      </c>
      <c r="ED26" s="26" t="n">
        <v>2</v>
      </c>
      <c r="EE26" s="26" t="inlineStr">
        <is>
          <t>Nos</t>
        </is>
      </c>
      <c r="EF26" s="26" t="n">
        <v>3900</v>
      </c>
      <c r="EG26" s="33">
        <f>ED26*EF26</f>
        <v/>
      </c>
      <c r="EH26" s="26" t="n">
        <v>1</v>
      </c>
      <c r="EI26" s="26" t="inlineStr">
        <is>
          <t>Nos</t>
        </is>
      </c>
      <c r="EJ26" s="26" t="n">
        <v>3900</v>
      </c>
      <c r="EK26" s="166">
        <f>EH26*EJ26</f>
        <v/>
      </c>
      <c r="EL26" s="26" t="n">
        <v>3900</v>
      </c>
      <c r="EN26" s="167" t="n">
        <v>22</v>
      </c>
      <c r="EO26" s="26" t="inlineStr">
        <is>
          <t>Duplex Filter 32 NB</t>
        </is>
      </c>
      <c r="EP26" s="26" t="n">
        <v>1</v>
      </c>
      <c r="EQ26" s="26" t="inlineStr">
        <is>
          <t>Nos</t>
        </is>
      </c>
      <c r="ER26" s="169" t="n">
        <v>4500</v>
      </c>
      <c r="ES26" s="166">
        <f>EP26*ER26</f>
        <v/>
      </c>
      <c r="ET26" s="26" t="n">
        <v>2</v>
      </c>
      <c r="EU26" s="26" t="inlineStr">
        <is>
          <t>Nos</t>
        </is>
      </c>
      <c r="EV26" s="26" t="n">
        <v>4500</v>
      </c>
      <c r="EW26" s="33">
        <f>ET26*EV26</f>
        <v/>
      </c>
      <c r="EX26" s="26" t="n">
        <v>1</v>
      </c>
      <c r="EY26" s="26" t="inlineStr">
        <is>
          <t>Nos</t>
        </is>
      </c>
      <c r="EZ26" s="26" t="n">
        <v>4500</v>
      </c>
      <c r="FA26" s="166">
        <f>EX26*EZ26</f>
        <v/>
      </c>
      <c r="FB26" s="26" t="n">
        <v>4500</v>
      </c>
    </row>
    <row r="27" ht="15.75" customHeight="1" s="307">
      <c r="A27" s="26" t="n">
        <v>23</v>
      </c>
      <c r="B27" s="26" t="inlineStr">
        <is>
          <t>Simplex Filter</t>
        </is>
      </c>
      <c r="C27" s="34" t="n">
        <v>1</v>
      </c>
      <c r="D27" s="30" t="inlineStr">
        <is>
          <t>Nos</t>
        </is>
      </c>
      <c r="E27" s="34" t="n">
        <v>1700</v>
      </c>
      <c r="F27" s="159">
        <f>C27*E27</f>
        <v/>
      </c>
      <c r="G27" s="34" t="n">
        <v>0</v>
      </c>
      <c r="H27" s="30" t="inlineStr">
        <is>
          <t>Nos</t>
        </is>
      </c>
      <c r="I27" s="34" t="n">
        <v>0</v>
      </c>
      <c r="J27" s="159">
        <f>G27*I27</f>
        <v/>
      </c>
      <c r="K27" s="34" t="n">
        <v>1</v>
      </c>
      <c r="L27" s="30" t="inlineStr">
        <is>
          <t>Nos</t>
        </is>
      </c>
      <c r="M27" s="34" t="n">
        <v>1500</v>
      </c>
      <c r="N27" s="159">
        <f>K27*M27</f>
        <v/>
      </c>
      <c r="O27" s="34" t="n">
        <v>1500</v>
      </c>
      <c r="Q27" s="26" t="n">
        <v>23</v>
      </c>
      <c r="R27" s="26" t="inlineStr">
        <is>
          <t xml:space="preserve">Gate Valve 20 NB </t>
        </is>
      </c>
      <c r="S27" s="26" t="n">
        <v>7</v>
      </c>
      <c r="T27" s="26" t="inlineStr">
        <is>
          <t>Nos</t>
        </is>
      </c>
      <c r="U27" s="26" t="n">
        <v>1000</v>
      </c>
      <c r="V27" s="166">
        <f>S27*U27</f>
        <v/>
      </c>
      <c r="W27" s="26" t="n">
        <v>9</v>
      </c>
      <c r="X27" s="26" t="inlineStr">
        <is>
          <t>Nos</t>
        </is>
      </c>
      <c r="Y27" s="26" t="n">
        <v>900</v>
      </c>
      <c r="Z27" s="33">
        <f>W27*Y27</f>
        <v/>
      </c>
      <c r="AA27" s="26" t="n">
        <v>5</v>
      </c>
      <c r="AB27" s="26" t="inlineStr">
        <is>
          <t>Nos</t>
        </is>
      </c>
      <c r="AC27" s="26" t="n">
        <v>900</v>
      </c>
      <c r="AD27" s="166">
        <f>AA27*AC27</f>
        <v/>
      </c>
      <c r="AE27" s="26" t="n">
        <v>900</v>
      </c>
      <c r="AG27" s="167" t="n">
        <v>23</v>
      </c>
      <c r="AH27" s="26" t="inlineStr">
        <is>
          <t>Simplex Filter</t>
        </is>
      </c>
      <c r="AI27" s="33" t="n">
        <v>1</v>
      </c>
      <c r="AJ27" s="26" t="inlineStr">
        <is>
          <t>Nos</t>
        </is>
      </c>
      <c r="AK27" s="33" t="n">
        <v>1700</v>
      </c>
      <c r="AL27" s="166">
        <f>AI27*AK27</f>
        <v/>
      </c>
      <c r="AM27" s="33" t="n">
        <v>0</v>
      </c>
      <c r="AN27" s="26" t="inlineStr">
        <is>
          <t>Nos</t>
        </is>
      </c>
      <c r="AO27" s="33" t="n">
        <v>0</v>
      </c>
      <c r="AP27" s="166">
        <f>AM27*AO27</f>
        <v/>
      </c>
      <c r="AQ27" s="33" t="n">
        <v>1</v>
      </c>
      <c r="AR27" s="26" t="inlineStr">
        <is>
          <t>Nos</t>
        </is>
      </c>
      <c r="AS27" s="33" t="n">
        <v>1500</v>
      </c>
      <c r="AT27" s="166">
        <f>AQ27*AS27</f>
        <v/>
      </c>
      <c r="AU27" s="26" t="n">
        <v>1500</v>
      </c>
      <c r="AW27" s="167" t="n">
        <v>23</v>
      </c>
      <c r="AX27" s="26" t="inlineStr">
        <is>
          <t>Simplex Filter</t>
        </is>
      </c>
      <c r="AY27" s="33" t="n">
        <v>1</v>
      </c>
      <c r="AZ27" s="26" t="inlineStr">
        <is>
          <t>Nos</t>
        </is>
      </c>
      <c r="BA27" s="33" t="n">
        <v>1700</v>
      </c>
      <c r="BB27" s="166">
        <f>AY27*BA27</f>
        <v/>
      </c>
      <c r="BC27" s="33" t="n">
        <v>0</v>
      </c>
      <c r="BD27" s="26" t="inlineStr">
        <is>
          <t>Nos</t>
        </is>
      </c>
      <c r="BE27" s="33" t="n">
        <v>0</v>
      </c>
      <c r="BF27" s="166">
        <f>BC27*BE27</f>
        <v/>
      </c>
      <c r="BG27" s="33" t="n">
        <v>1</v>
      </c>
      <c r="BH27" s="26" t="inlineStr">
        <is>
          <t>Nos</t>
        </is>
      </c>
      <c r="BI27" s="33" t="n">
        <v>1500</v>
      </c>
      <c r="BJ27" s="166">
        <f>BG27*BI27</f>
        <v/>
      </c>
      <c r="BK27" s="26" t="n">
        <v>1500</v>
      </c>
      <c r="BM27" s="167" t="n">
        <v>23</v>
      </c>
      <c r="BN27" s="26" t="inlineStr">
        <is>
          <t>Simplex Filter</t>
        </is>
      </c>
      <c r="BO27" s="33" t="n">
        <v>1</v>
      </c>
      <c r="BP27" s="26" t="inlineStr">
        <is>
          <t>Nos</t>
        </is>
      </c>
      <c r="BQ27" s="33" t="n">
        <v>1700</v>
      </c>
      <c r="BR27" s="166">
        <f>BO27*BQ27</f>
        <v/>
      </c>
      <c r="BS27" s="33" t="n">
        <v>0</v>
      </c>
      <c r="BT27" s="26" t="inlineStr">
        <is>
          <t>Nos</t>
        </is>
      </c>
      <c r="BU27" s="33" t="n">
        <v>0</v>
      </c>
      <c r="BV27" s="166">
        <f>BS27*BU27</f>
        <v/>
      </c>
      <c r="BW27" s="33" t="n">
        <v>1</v>
      </c>
      <c r="BX27" s="26" t="inlineStr">
        <is>
          <t>Nos</t>
        </is>
      </c>
      <c r="BY27" s="33" t="n">
        <v>1500</v>
      </c>
      <c r="BZ27" s="166">
        <f>BW27*BY27</f>
        <v/>
      </c>
      <c r="CA27" s="26" t="n">
        <v>1500</v>
      </c>
      <c r="CC27" s="167" t="n">
        <v>23</v>
      </c>
      <c r="CD27" s="26" t="inlineStr">
        <is>
          <t>Simplex Filter</t>
        </is>
      </c>
      <c r="CE27" s="33" t="n">
        <v>1</v>
      </c>
      <c r="CF27" s="26" t="inlineStr">
        <is>
          <t>Nos</t>
        </is>
      </c>
      <c r="CG27" s="33" t="n">
        <v>1700</v>
      </c>
      <c r="CH27" s="166">
        <f>CE27*CG27</f>
        <v/>
      </c>
      <c r="CI27" s="33" t="n">
        <v>0</v>
      </c>
      <c r="CJ27" s="26" t="inlineStr">
        <is>
          <t>Nos</t>
        </is>
      </c>
      <c r="CK27" s="33" t="n">
        <v>0</v>
      </c>
      <c r="CL27" s="166">
        <f>CI27*CK27</f>
        <v/>
      </c>
      <c r="CM27" s="33" t="n">
        <v>1</v>
      </c>
      <c r="CN27" s="26" t="inlineStr">
        <is>
          <t>Nos</t>
        </is>
      </c>
      <c r="CO27" s="33" t="n">
        <v>1500</v>
      </c>
      <c r="CP27" s="166">
        <f>CM27*CO27</f>
        <v/>
      </c>
      <c r="CQ27" s="26" t="n">
        <v>1500</v>
      </c>
      <c r="CS27" s="167" t="n">
        <v>23</v>
      </c>
      <c r="CT27" s="26" t="inlineStr">
        <is>
          <t>Simplex Filter</t>
        </is>
      </c>
      <c r="CU27" s="33" t="n">
        <v>1</v>
      </c>
      <c r="CV27" s="26" t="inlineStr">
        <is>
          <t>Nos</t>
        </is>
      </c>
      <c r="CW27" s="33" t="n">
        <v>1700</v>
      </c>
      <c r="CX27" s="166">
        <f>CU27*CW27</f>
        <v/>
      </c>
      <c r="CY27" s="33" t="n">
        <v>0</v>
      </c>
      <c r="CZ27" s="26" t="inlineStr">
        <is>
          <t>Nos</t>
        </is>
      </c>
      <c r="DA27" s="33" t="n">
        <v>0</v>
      </c>
      <c r="DB27" s="166">
        <f>CY27*DA27</f>
        <v/>
      </c>
      <c r="DC27" s="33" t="n">
        <v>1</v>
      </c>
      <c r="DD27" s="26" t="inlineStr">
        <is>
          <t>Nos</t>
        </is>
      </c>
      <c r="DE27" s="33" t="n">
        <v>1500</v>
      </c>
      <c r="DF27" s="166">
        <f>DC27*DE27</f>
        <v/>
      </c>
      <c r="DG27" s="26">
        <f>DF27-CP27</f>
        <v/>
      </c>
      <c r="DH27" s="167" t="n">
        <v>23</v>
      </c>
      <c r="DI27" s="26" t="inlineStr">
        <is>
          <t>Simplex Filter 25 NB</t>
        </is>
      </c>
      <c r="DJ27" s="33" t="n">
        <v>1</v>
      </c>
      <c r="DK27" s="26" t="inlineStr">
        <is>
          <t>Nos</t>
        </is>
      </c>
      <c r="DL27" s="33" t="n">
        <v>1700</v>
      </c>
      <c r="DM27" s="166">
        <f>DJ27*DL27</f>
        <v/>
      </c>
      <c r="DN27" s="33" t="n">
        <v>0</v>
      </c>
      <c r="DO27" s="26" t="inlineStr">
        <is>
          <t>Nos</t>
        </is>
      </c>
      <c r="DP27" s="33" t="n">
        <v>0</v>
      </c>
      <c r="DQ27" s="166">
        <f>DN27*DP27</f>
        <v/>
      </c>
      <c r="DR27" s="33" t="n">
        <v>1</v>
      </c>
      <c r="DS27" s="26" t="inlineStr">
        <is>
          <t>Nos</t>
        </is>
      </c>
      <c r="DT27" s="33" t="n">
        <v>1500</v>
      </c>
      <c r="DU27" s="166">
        <f>DR27*DT27</f>
        <v/>
      </c>
      <c r="DV27" s="26" t="n">
        <v>1500</v>
      </c>
      <c r="DX27" s="167" t="n">
        <v>23</v>
      </c>
      <c r="DY27" s="26" t="inlineStr">
        <is>
          <t>Simplex Filter 25 NB</t>
        </is>
      </c>
      <c r="DZ27" s="33" t="n">
        <v>1</v>
      </c>
      <c r="EA27" s="26" t="inlineStr">
        <is>
          <t>Nos</t>
        </is>
      </c>
      <c r="EB27" s="33" t="n">
        <v>1700</v>
      </c>
      <c r="EC27" s="166">
        <f>DZ27*EB27</f>
        <v/>
      </c>
      <c r="ED27" s="33" t="n">
        <v>0</v>
      </c>
      <c r="EE27" s="26" t="inlineStr">
        <is>
          <t>Nos</t>
        </is>
      </c>
      <c r="EF27" s="33" t="n">
        <v>0</v>
      </c>
      <c r="EG27" s="166">
        <f>ED27*EF27</f>
        <v/>
      </c>
      <c r="EH27" s="33" t="n">
        <v>1</v>
      </c>
      <c r="EI27" s="26" t="inlineStr">
        <is>
          <t>Nos</t>
        </is>
      </c>
      <c r="EJ27" s="33" t="n">
        <v>1500</v>
      </c>
      <c r="EK27" s="166">
        <f>EH27*EJ27</f>
        <v/>
      </c>
      <c r="EL27" s="26" t="n">
        <v>1500</v>
      </c>
      <c r="EN27" s="167" t="n">
        <v>23</v>
      </c>
      <c r="EO27" s="26" t="inlineStr">
        <is>
          <t>Simplex Filter 32 NB</t>
        </is>
      </c>
      <c r="EP27" s="33" t="n">
        <v>1</v>
      </c>
      <c r="EQ27" s="26" t="inlineStr">
        <is>
          <t>Nos</t>
        </is>
      </c>
      <c r="ER27" s="170" t="n">
        <v>3500</v>
      </c>
      <c r="ES27" s="166">
        <f>EP27*ER27</f>
        <v/>
      </c>
      <c r="ET27" s="33" t="n">
        <v>0</v>
      </c>
      <c r="EU27" s="26" t="inlineStr">
        <is>
          <t>Nos</t>
        </is>
      </c>
      <c r="EV27" s="33" t="n">
        <v>0</v>
      </c>
      <c r="EW27" s="166">
        <f>ET27*EV27</f>
        <v/>
      </c>
      <c r="EX27" s="33" t="n">
        <v>1</v>
      </c>
      <c r="EY27" s="26" t="inlineStr">
        <is>
          <t>Nos</t>
        </is>
      </c>
      <c r="EZ27" s="33" t="n">
        <v>3500</v>
      </c>
      <c r="FA27" s="166">
        <f>EX27*EZ27</f>
        <v/>
      </c>
      <c r="FB27" s="26" t="n">
        <v>3500</v>
      </c>
    </row>
    <row r="28" ht="15.75" customHeight="1" s="307">
      <c r="A28" s="26" t="n">
        <v>24</v>
      </c>
      <c r="B28" s="26" t="inlineStr">
        <is>
          <t xml:space="preserve">Gate Valve 20 NB </t>
        </is>
      </c>
      <c r="C28" s="30" t="n">
        <v>7</v>
      </c>
      <c r="D28" s="30" t="inlineStr">
        <is>
          <t>Nos</t>
        </is>
      </c>
      <c r="E28" s="30" t="n">
        <v>1000</v>
      </c>
      <c r="F28" s="159">
        <f>C28*E28</f>
        <v/>
      </c>
      <c r="G28" s="30" t="n">
        <v>9</v>
      </c>
      <c r="H28" s="30" t="inlineStr">
        <is>
          <t>Nos</t>
        </is>
      </c>
      <c r="I28" s="30" t="n">
        <v>900</v>
      </c>
      <c r="J28" s="34">
        <f>G28*I28</f>
        <v/>
      </c>
      <c r="K28" s="30" t="n">
        <v>5</v>
      </c>
      <c r="L28" s="30" t="inlineStr">
        <is>
          <t>Nos</t>
        </is>
      </c>
      <c r="M28" s="30" t="n">
        <v>900</v>
      </c>
      <c r="N28" s="159">
        <f>K28*M28</f>
        <v/>
      </c>
      <c r="O28" s="30" t="n">
        <v>900</v>
      </c>
      <c r="Q28" s="26" t="n">
        <v>24</v>
      </c>
      <c r="R28" s="26" t="inlineStr">
        <is>
          <t>Motor 0.5 HP , 1440 RPM</t>
        </is>
      </c>
      <c r="S28" s="26" t="n">
        <v>2</v>
      </c>
      <c r="T28" s="26" t="inlineStr">
        <is>
          <t>Nos</t>
        </is>
      </c>
      <c r="U28" s="26" t="n">
        <v>7000</v>
      </c>
      <c r="V28" s="166">
        <f>S28*U28</f>
        <v/>
      </c>
      <c r="W28" s="26" t="n">
        <v>2</v>
      </c>
      <c r="X28" s="26" t="inlineStr">
        <is>
          <t>Nos</t>
        </is>
      </c>
      <c r="Y28" s="26" t="n">
        <v>7000</v>
      </c>
      <c r="Z28" s="33">
        <f>W28*Y28</f>
        <v/>
      </c>
      <c r="AA28" s="26" t="n">
        <v>1</v>
      </c>
      <c r="AB28" s="26" t="inlineStr">
        <is>
          <t>Nos</t>
        </is>
      </c>
      <c r="AC28" s="26" t="n">
        <v>7000</v>
      </c>
      <c r="AD28" s="166">
        <f>AA28*AC28</f>
        <v/>
      </c>
      <c r="AE28" s="26" t="n">
        <v>7000</v>
      </c>
      <c r="AG28" s="167" t="n">
        <v>24</v>
      </c>
      <c r="AH28" s="26" t="inlineStr">
        <is>
          <t xml:space="preserve">Gate Valve 20 NB </t>
        </is>
      </c>
      <c r="AI28" s="26" t="n">
        <v>7</v>
      </c>
      <c r="AJ28" s="26" t="inlineStr">
        <is>
          <t>Nos</t>
        </is>
      </c>
      <c r="AK28" s="26" t="n">
        <v>1000</v>
      </c>
      <c r="AL28" s="166">
        <f>AI28*AK28</f>
        <v/>
      </c>
      <c r="AM28" s="26" t="n">
        <v>9</v>
      </c>
      <c r="AN28" s="26" t="inlineStr">
        <is>
          <t>Nos</t>
        </is>
      </c>
      <c r="AO28" s="26" t="n">
        <v>900</v>
      </c>
      <c r="AP28" s="33">
        <f>AM28*AO28</f>
        <v/>
      </c>
      <c r="AQ28" s="26" t="n">
        <v>5</v>
      </c>
      <c r="AR28" s="26" t="inlineStr">
        <is>
          <t>Nos</t>
        </is>
      </c>
      <c r="AS28" s="26" t="n">
        <v>900</v>
      </c>
      <c r="AT28" s="166">
        <f>AQ28*AS28</f>
        <v/>
      </c>
      <c r="AU28" s="26" t="n">
        <v>900</v>
      </c>
      <c r="AW28" s="167" t="n">
        <v>24</v>
      </c>
      <c r="AX28" s="26" t="inlineStr">
        <is>
          <t xml:space="preserve">Gate Valve 20 NB </t>
        </is>
      </c>
      <c r="AY28" s="26" t="n">
        <v>7</v>
      </c>
      <c r="AZ28" s="26" t="inlineStr">
        <is>
          <t>Nos</t>
        </is>
      </c>
      <c r="BA28" s="26" t="n">
        <v>1000</v>
      </c>
      <c r="BB28" s="166">
        <f>AY28*BA28</f>
        <v/>
      </c>
      <c r="BC28" s="26" t="n">
        <v>9</v>
      </c>
      <c r="BD28" s="26" t="inlineStr">
        <is>
          <t>Nos</t>
        </is>
      </c>
      <c r="BE28" s="26" t="n">
        <v>900</v>
      </c>
      <c r="BF28" s="33">
        <f>BC28*BE28</f>
        <v/>
      </c>
      <c r="BG28" s="26" t="n">
        <v>5</v>
      </c>
      <c r="BH28" s="26" t="inlineStr">
        <is>
          <t>Nos</t>
        </is>
      </c>
      <c r="BI28" s="26" t="n">
        <v>900</v>
      </c>
      <c r="BJ28" s="166">
        <f>BG28*BI28</f>
        <v/>
      </c>
      <c r="BK28" s="26" t="n">
        <v>900</v>
      </c>
      <c r="BM28" s="167" t="n">
        <v>24</v>
      </c>
      <c r="BN28" s="26" t="inlineStr">
        <is>
          <t xml:space="preserve">Gate Valve 20 NB </t>
        </is>
      </c>
      <c r="BO28" s="26" t="n">
        <v>7</v>
      </c>
      <c r="BP28" s="26" t="inlineStr">
        <is>
          <t>Nos</t>
        </is>
      </c>
      <c r="BQ28" s="26" t="n">
        <v>1000</v>
      </c>
      <c r="BR28" s="166">
        <f>BO28*BQ28</f>
        <v/>
      </c>
      <c r="BS28" s="26" t="n">
        <v>9</v>
      </c>
      <c r="BT28" s="26" t="inlineStr">
        <is>
          <t>Nos</t>
        </is>
      </c>
      <c r="BU28" s="26" t="n">
        <v>900</v>
      </c>
      <c r="BV28" s="33">
        <f>BS28*BU28</f>
        <v/>
      </c>
      <c r="BW28" s="26" t="n">
        <v>5</v>
      </c>
      <c r="BX28" s="26" t="inlineStr">
        <is>
          <t>Nos</t>
        </is>
      </c>
      <c r="BY28" s="26" t="n">
        <v>900</v>
      </c>
      <c r="BZ28" s="166">
        <f>BW28*BY28</f>
        <v/>
      </c>
      <c r="CA28" s="26" t="n">
        <v>900</v>
      </c>
      <c r="CC28" s="167" t="n">
        <v>24</v>
      </c>
      <c r="CD28" s="26" t="inlineStr">
        <is>
          <t xml:space="preserve">Gate Valve 20 NB </t>
        </is>
      </c>
      <c r="CE28" s="26" t="n">
        <v>7</v>
      </c>
      <c r="CF28" s="26" t="inlineStr">
        <is>
          <t>Nos</t>
        </is>
      </c>
      <c r="CG28" s="26" t="n">
        <v>1000</v>
      </c>
      <c r="CH28" s="166">
        <f>CE28*CG28</f>
        <v/>
      </c>
      <c r="CI28" s="26" t="n">
        <v>9</v>
      </c>
      <c r="CJ28" s="26" t="inlineStr">
        <is>
          <t>Nos</t>
        </is>
      </c>
      <c r="CK28" s="26" t="n">
        <v>900</v>
      </c>
      <c r="CL28" s="33">
        <f>CI28*CK28</f>
        <v/>
      </c>
      <c r="CM28" s="26" t="n">
        <v>5</v>
      </c>
      <c r="CN28" s="26" t="inlineStr">
        <is>
          <t>Nos</t>
        </is>
      </c>
      <c r="CO28" s="26" t="n">
        <v>900</v>
      </c>
      <c r="CP28" s="166">
        <f>CM28*CO28</f>
        <v/>
      </c>
      <c r="CQ28" s="26" t="n">
        <v>900</v>
      </c>
      <c r="CS28" s="167" t="n">
        <v>24</v>
      </c>
      <c r="CT28" s="26" t="inlineStr">
        <is>
          <t xml:space="preserve">Gate Valve 20 NB </t>
        </is>
      </c>
      <c r="CU28" s="26" t="n">
        <v>7</v>
      </c>
      <c r="CV28" s="26" t="inlineStr">
        <is>
          <t>Nos</t>
        </is>
      </c>
      <c r="CW28" s="26" t="n">
        <v>1000</v>
      </c>
      <c r="CX28" s="166">
        <f>CU28*CW28</f>
        <v/>
      </c>
      <c r="CY28" s="26" t="n">
        <v>9</v>
      </c>
      <c r="CZ28" s="26" t="inlineStr">
        <is>
          <t>Nos</t>
        </is>
      </c>
      <c r="DA28" s="26" t="n">
        <v>900</v>
      </c>
      <c r="DB28" s="33">
        <f>CY28*DA28</f>
        <v/>
      </c>
      <c r="DC28" s="26" t="n">
        <v>5</v>
      </c>
      <c r="DD28" s="26" t="inlineStr">
        <is>
          <t>Nos</t>
        </is>
      </c>
      <c r="DE28" s="26" t="n">
        <v>900</v>
      </c>
      <c r="DF28" s="166">
        <f>DC28*DE28</f>
        <v/>
      </c>
      <c r="DG28" s="26">
        <f>DF28-CP28</f>
        <v/>
      </c>
      <c r="DH28" s="167" t="n">
        <v>24</v>
      </c>
      <c r="DI28" s="26" t="inlineStr">
        <is>
          <t xml:space="preserve">Gate Valve 25 NB </t>
        </is>
      </c>
      <c r="DJ28" s="26" t="n">
        <v>7</v>
      </c>
      <c r="DK28" s="26" t="inlineStr">
        <is>
          <t>Nos</t>
        </is>
      </c>
      <c r="DL28" s="168" t="n">
        <v>1550</v>
      </c>
      <c r="DM28" s="166">
        <f>DJ28*DL28</f>
        <v/>
      </c>
      <c r="DN28" s="26" t="n">
        <v>9</v>
      </c>
      <c r="DO28" s="26" t="inlineStr">
        <is>
          <t>Nos</t>
        </is>
      </c>
      <c r="DP28" s="26" t="n">
        <v>1500</v>
      </c>
      <c r="DQ28" s="33">
        <f>DN28*DP28</f>
        <v/>
      </c>
      <c r="DR28" s="26" t="n">
        <v>5</v>
      </c>
      <c r="DS28" s="26" t="inlineStr">
        <is>
          <t>Nos</t>
        </is>
      </c>
      <c r="DT28" s="26" t="n">
        <v>1500</v>
      </c>
      <c r="DU28" s="166">
        <f>DR28*DT28</f>
        <v/>
      </c>
      <c r="DV28" s="26" t="n">
        <v>1500</v>
      </c>
      <c r="DX28" s="167" t="n">
        <v>24</v>
      </c>
      <c r="DY28" s="26" t="inlineStr">
        <is>
          <t xml:space="preserve">Gate Valve 25 NB </t>
        </is>
      </c>
      <c r="DZ28" s="26" t="n">
        <v>7</v>
      </c>
      <c r="EA28" s="26" t="inlineStr">
        <is>
          <t>Nos</t>
        </is>
      </c>
      <c r="EB28" s="168" t="n">
        <v>1550</v>
      </c>
      <c r="EC28" s="166">
        <f>DZ28*EB28</f>
        <v/>
      </c>
      <c r="ED28" s="26" t="n">
        <v>9</v>
      </c>
      <c r="EE28" s="26" t="inlineStr">
        <is>
          <t>Nos</t>
        </is>
      </c>
      <c r="EF28" s="26" t="n">
        <v>1500</v>
      </c>
      <c r="EG28" s="33">
        <f>ED28*EF28</f>
        <v/>
      </c>
      <c r="EH28" s="26" t="n">
        <v>5</v>
      </c>
      <c r="EI28" s="26" t="inlineStr">
        <is>
          <t>Nos</t>
        </is>
      </c>
      <c r="EJ28" s="26" t="n">
        <v>1500</v>
      </c>
      <c r="EK28" s="166">
        <f>EH28*EJ28</f>
        <v/>
      </c>
      <c r="EL28" s="26" t="n">
        <v>1500</v>
      </c>
      <c r="EN28" s="167" t="n">
        <v>24</v>
      </c>
      <c r="EO28" s="26" t="inlineStr">
        <is>
          <t xml:space="preserve">Gate Valve 32 NB </t>
        </is>
      </c>
      <c r="EP28" s="26" t="n">
        <v>7</v>
      </c>
      <c r="EQ28" s="26" t="inlineStr">
        <is>
          <t>Nos</t>
        </is>
      </c>
      <c r="ER28" s="169" t="n">
        <v>2000</v>
      </c>
      <c r="ES28" s="166">
        <f>EP28*ER28</f>
        <v/>
      </c>
      <c r="ET28" s="26" t="n">
        <v>9</v>
      </c>
      <c r="EU28" s="26" t="inlineStr">
        <is>
          <t>Nos</t>
        </is>
      </c>
      <c r="EV28" s="26" t="n">
        <v>2000</v>
      </c>
      <c r="EW28" s="33">
        <f>ET28*EV28</f>
        <v/>
      </c>
      <c r="EX28" s="26" t="n">
        <v>5</v>
      </c>
      <c r="EY28" s="26" t="inlineStr">
        <is>
          <t>Nos</t>
        </is>
      </c>
      <c r="EZ28" s="26" t="n">
        <v>2000</v>
      </c>
      <c r="FA28" s="166">
        <f>EX28*EZ28</f>
        <v/>
      </c>
      <c r="FB28" s="26" t="n">
        <v>2000</v>
      </c>
    </row>
    <row r="29" ht="15.75" customHeight="1" s="307">
      <c r="A29" s="26" t="n">
        <v>25</v>
      </c>
      <c r="B29" s="26" t="inlineStr">
        <is>
          <t>Motor 0.5 HP , 1440 RPM</t>
        </is>
      </c>
      <c r="C29" s="30" t="n">
        <v>2</v>
      </c>
      <c r="D29" s="30" t="inlineStr">
        <is>
          <t>Nos</t>
        </is>
      </c>
      <c r="E29" s="30" t="n">
        <v>7000</v>
      </c>
      <c r="F29" s="159">
        <f>C29*E29</f>
        <v/>
      </c>
      <c r="G29" s="30" t="n">
        <v>2</v>
      </c>
      <c r="H29" s="30" t="inlineStr">
        <is>
          <t>Nos</t>
        </is>
      </c>
      <c r="I29" s="30" t="n">
        <v>7000</v>
      </c>
      <c r="J29" s="34">
        <f>G29*I29</f>
        <v/>
      </c>
      <c r="K29" s="30" t="n">
        <v>1</v>
      </c>
      <c r="L29" s="30" t="inlineStr">
        <is>
          <t>Nos</t>
        </is>
      </c>
      <c r="M29" s="30" t="n">
        <v>7000</v>
      </c>
      <c r="N29" s="159">
        <f>K29*M29</f>
        <v/>
      </c>
      <c r="O29" s="30" t="n">
        <v>7000</v>
      </c>
      <c r="Q29" s="26" t="n">
        <v>25</v>
      </c>
      <c r="R29" s="26" t="inlineStr">
        <is>
          <t>Oil Pump AGP -15</t>
        </is>
      </c>
      <c r="S29" s="26" t="n">
        <v>2</v>
      </c>
      <c r="T29" s="26" t="inlineStr">
        <is>
          <t>Nos</t>
        </is>
      </c>
      <c r="U29" s="26" t="n">
        <v>3500</v>
      </c>
      <c r="V29" s="166">
        <f>S29*U29</f>
        <v/>
      </c>
      <c r="W29" s="26" t="n">
        <v>2</v>
      </c>
      <c r="X29" s="26" t="inlineStr">
        <is>
          <t>Nos</t>
        </is>
      </c>
      <c r="Y29" s="26" t="n">
        <v>3500</v>
      </c>
      <c r="Z29" s="33">
        <f>W29*Y29</f>
        <v/>
      </c>
      <c r="AA29" s="26" t="n">
        <v>1</v>
      </c>
      <c r="AB29" s="26" t="inlineStr">
        <is>
          <t>Nos</t>
        </is>
      </c>
      <c r="AC29" s="26" t="n">
        <v>3500</v>
      </c>
      <c r="AD29" s="166">
        <f>AA29*AC29</f>
        <v/>
      </c>
      <c r="AE29" s="26" t="n">
        <v>3500</v>
      </c>
      <c r="AG29" s="167" t="n">
        <v>25</v>
      </c>
      <c r="AH29" s="26" t="inlineStr">
        <is>
          <t>Motor 0.5 HP , 1440 RPM</t>
        </is>
      </c>
      <c r="AI29" s="26" t="n">
        <v>2</v>
      </c>
      <c r="AJ29" s="26" t="inlineStr">
        <is>
          <t>Nos</t>
        </is>
      </c>
      <c r="AK29" s="26" t="n">
        <v>7000</v>
      </c>
      <c r="AL29" s="166">
        <f>AI29*AK29</f>
        <v/>
      </c>
      <c r="AM29" s="26" t="n">
        <v>2</v>
      </c>
      <c r="AN29" s="26" t="inlineStr">
        <is>
          <t>Nos</t>
        </is>
      </c>
      <c r="AO29" s="26" t="n">
        <v>7000</v>
      </c>
      <c r="AP29" s="33">
        <f>AM29*AO29</f>
        <v/>
      </c>
      <c r="AQ29" s="26" t="n">
        <v>1</v>
      </c>
      <c r="AR29" s="26" t="inlineStr">
        <is>
          <t>Nos</t>
        </is>
      </c>
      <c r="AS29" s="26" t="n">
        <v>7000</v>
      </c>
      <c r="AT29" s="166">
        <f>AQ29*AS29</f>
        <v/>
      </c>
      <c r="AU29" s="26" t="n">
        <v>7000</v>
      </c>
      <c r="AW29" s="167" t="n">
        <v>25</v>
      </c>
      <c r="AX29" s="26" t="inlineStr">
        <is>
          <t>Motor 0.5 HP , 1440 RPM</t>
        </is>
      </c>
      <c r="AY29" s="26" t="n">
        <v>2</v>
      </c>
      <c r="AZ29" s="26" t="inlineStr">
        <is>
          <t>Nos</t>
        </is>
      </c>
      <c r="BA29" s="26" t="n">
        <v>7000</v>
      </c>
      <c r="BB29" s="166">
        <f>AY29*BA29</f>
        <v/>
      </c>
      <c r="BC29" s="26" t="n">
        <v>2</v>
      </c>
      <c r="BD29" s="26" t="inlineStr">
        <is>
          <t>Nos</t>
        </is>
      </c>
      <c r="BE29" s="26" t="n">
        <v>7000</v>
      </c>
      <c r="BF29" s="33">
        <f>BC29*BE29</f>
        <v/>
      </c>
      <c r="BG29" s="26" t="n">
        <v>1</v>
      </c>
      <c r="BH29" s="26" t="inlineStr">
        <is>
          <t>Nos</t>
        </is>
      </c>
      <c r="BI29" s="26" t="n">
        <v>7000</v>
      </c>
      <c r="BJ29" s="166">
        <f>BG29*BI29</f>
        <v/>
      </c>
      <c r="BK29" s="26" t="n">
        <v>7000</v>
      </c>
      <c r="BM29" s="167" t="n">
        <v>25</v>
      </c>
      <c r="BN29" s="26" t="inlineStr">
        <is>
          <t>Motor 0.5 HP , 1440 RPM</t>
        </is>
      </c>
      <c r="BO29" s="26" t="n">
        <v>2</v>
      </c>
      <c r="BP29" s="26" t="inlineStr">
        <is>
          <t>Nos</t>
        </is>
      </c>
      <c r="BQ29" s="26" t="n">
        <v>7000</v>
      </c>
      <c r="BR29" s="166">
        <f>BO29*BQ29</f>
        <v/>
      </c>
      <c r="BS29" s="26" t="n">
        <v>2</v>
      </c>
      <c r="BT29" s="26" t="inlineStr">
        <is>
          <t>Nos</t>
        </is>
      </c>
      <c r="BU29" s="26" t="n">
        <v>7000</v>
      </c>
      <c r="BV29" s="33">
        <f>BS29*BU29</f>
        <v/>
      </c>
      <c r="BW29" s="26" t="n">
        <v>1</v>
      </c>
      <c r="BX29" s="26" t="inlineStr">
        <is>
          <t>Nos</t>
        </is>
      </c>
      <c r="BY29" s="26" t="n">
        <v>7000</v>
      </c>
      <c r="BZ29" s="166">
        <f>BW29*BY29</f>
        <v/>
      </c>
      <c r="CA29" s="26" t="n">
        <v>7000</v>
      </c>
      <c r="CC29" s="167" t="n">
        <v>25</v>
      </c>
      <c r="CD29" s="26" t="inlineStr">
        <is>
          <t>Motor 0.5 HP , 1440 RPM</t>
        </is>
      </c>
      <c r="CE29" s="26" t="n">
        <v>2</v>
      </c>
      <c r="CF29" s="26" t="inlineStr">
        <is>
          <t>Nos</t>
        </is>
      </c>
      <c r="CG29" s="26" t="n">
        <v>7000</v>
      </c>
      <c r="CH29" s="166">
        <f>CE29*CG29</f>
        <v/>
      </c>
      <c r="CI29" s="26" t="n">
        <v>2</v>
      </c>
      <c r="CJ29" s="26" t="inlineStr">
        <is>
          <t>Nos</t>
        </is>
      </c>
      <c r="CK29" s="26" t="n">
        <v>7000</v>
      </c>
      <c r="CL29" s="33">
        <f>CI29*CK29</f>
        <v/>
      </c>
      <c r="CM29" s="26" t="n">
        <v>1</v>
      </c>
      <c r="CN29" s="26" t="inlineStr">
        <is>
          <t>Nos</t>
        </is>
      </c>
      <c r="CO29" s="26" t="n">
        <v>7000</v>
      </c>
      <c r="CP29" s="166">
        <f>CM29*CO29</f>
        <v/>
      </c>
      <c r="CQ29" s="26" t="n">
        <v>7000</v>
      </c>
      <c r="CS29" s="167" t="n">
        <v>25</v>
      </c>
      <c r="CT29" s="26" t="inlineStr">
        <is>
          <t>Motor 0.5 HP , 1440 RPM</t>
        </is>
      </c>
      <c r="CU29" s="26" t="n">
        <v>2</v>
      </c>
      <c r="CV29" s="26" t="inlineStr">
        <is>
          <t>Nos</t>
        </is>
      </c>
      <c r="CW29" s="26" t="n">
        <v>7000</v>
      </c>
      <c r="CX29" s="166">
        <f>CU29*CW29</f>
        <v/>
      </c>
      <c r="CY29" s="26" t="n">
        <v>2</v>
      </c>
      <c r="CZ29" s="26" t="inlineStr">
        <is>
          <t>Nos</t>
        </is>
      </c>
      <c r="DA29" s="26" t="n">
        <v>7000</v>
      </c>
      <c r="DB29" s="33">
        <f>CY29*DA29</f>
        <v/>
      </c>
      <c r="DC29" s="26" t="n">
        <v>1</v>
      </c>
      <c r="DD29" s="26" t="inlineStr">
        <is>
          <t>Nos</t>
        </is>
      </c>
      <c r="DE29" s="26" t="n">
        <v>7000</v>
      </c>
      <c r="DF29" s="166">
        <f>DC29*DE29</f>
        <v/>
      </c>
      <c r="DG29" s="26">
        <f>DF29-CP29</f>
        <v/>
      </c>
      <c r="DH29" s="167" t="n">
        <v>25</v>
      </c>
      <c r="DI29" s="26" t="inlineStr">
        <is>
          <t>Motor  1  HP , 1440 RPM</t>
        </is>
      </c>
      <c r="DJ29" s="26" t="n">
        <v>2</v>
      </c>
      <c r="DK29" s="26" t="inlineStr">
        <is>
          <t>Nos</t>
        </is>
      </c>
      <c r="DL29" s="168" t="n">
        <v>9000</v>
      </c>
      <c r="DM29" s="166">
        <f>DJ29*DL29</f>
        <v/>
      </c>
      <c r="DN29" s="26" t="n">
        <v>2</v>
      </c>
      <c r="DO29" s="26" t="inlineStr">
        <is>
          <t>Nos</t>
        </is>
      </c>
      <c r="DP29" s="26" t="n">
        <v>9000</v>
      </c>
      <c r="DQ29" s="33">
        <f>DN29*DP29</f>
        <v/>
      </c>
      <c r="DR29" s="26" t="n">
        <v>1</v>
      </c>
      <c r="DS29" s="26" t="inlineStr">
        <is>
          <t>Nos</t>
        </is>
      </c>
      <c r="DT29" s="26" t="n">
        <v>9000</v>
      </c>
      <c r="DU29" s="166">
        <f>DR29*DT29</f>
        <v/>
      </c>
      <c r="DV29" s="26" t="n">
        <v>9000</v>
      </c>
      <c r="DX29" s="167" t="n">
        <v>25</v>
      </c>
      <c r="DY29" s="26" t="inlineStr">
        <is>
          <t>Motor  1  HP , 1440 RPM</t>
        </is>
      </c>
      <c r="DZ29" s="26" t="n">
        <v>2</v>
      </c>
      <c r="EA29" s="26" t="inlineStr">
        <is>
          <t>Nos</t>
        </is>
      </c>
      <c r="EB29" s="168" t="n">
        <v>9000</v>
      </c>
      <c r="EC29" s="166">
        <f>DZ29*EB29</f>
        <v/>
      </c>
      <c r="ED29" s="26" t="n">
        <v>2</v>
      </c>
      <c r="EE29" s="26" t="inlineStr">
        <is>
          <t>Nos</t>
        </is>
      </c>
      <c r="EF29" s="26" t="n">
        <v>9000</v>
      </c>
      <c r="EG29" s="33">
        <f>ED29*EF29</f>
        <v/>
      </c>
      <c r="EH29" s="26" t="n">
        <v>1</v>
      </c>
      <c r="EI29" s="26" t="inlineStr">
        <is>
          <t>Nos</t>
        </is>
      </c>
      <c r="EJ29" s="26" t="n">
        <v>9000</v>
      </c>
      <c r="EK29" s="166">
        <f>EH29*EJ29</f>
        <v/>
      </c>
      <c r="EL29" s="26" t="n">
        <v>9000</v>
      </c>
      <c r="EN29" s="167" t="n">
        <v>25</v>
      </c>
      <c r="EO29" s="26" t="inlineStr">
        <is>
          <t>Motor  1  HP , 1440 RPM</t>
        </is>
      </c>
      <c r="EP29" s="26" t="n">
        <v>2</v>
      </c>
      <c r="EQ29" s="26" t="inlineStr">
        <is>
          <t>Nos</t>
        </is>
      </c>
      <c r="ER29" s="168" t="n">
        <v>9000</v>
      </c>
      <c r="ES29" s="166">
        <f>EP29*ER29</f>
        <v/>
      </c>
      <c r="ET29" s="26" t="n">
        <v>2</v>
      </c>
      <c r="EU29" s="26" t="inlineStr">
        <is>
          <t>Nos</t>
        </is>
      </c>
      <c r="EV29" s="26" t="n">
        <v>9000</v>
      </c>
      <c r="EW29" s="33">
        <f>ET29*EV29</f>
        <v/>
      </c>
      <c r="EX29" s="26" t="n">
        <v>1</v>
      </c>
      <c r="EY29" s="26" t="inlineStr">
        <is>
          <t>Nos</t>
        </is>
      </c>
      <c r="EZ29" s="26" t="n">
        <v>9000</v>
      </c>
      <c r="FA29" s="166">
        <f>EX29*EZ29</f>
        <v/>
      </c>
      <c r="FB29" s="26" t="n">
        <v>9000</v>
      </c>
    </row>
    <row r="30" ht="15.75" customHeight="1" s="307">
      <c r="A30" s="26" t="n">
        <v>26</v>
      </c>
      <c r="B30" s="26" t="inlineStr">
        <is>
          <t>Oil Pump AGP -15</t>
        </is>
      </c>
      <c r="C30" s="30" t="n">
        <v>2</v>
      </c>
      <c r="D30" s="30" t="inlineStr">
        <is>
          <t>Nos</t>
        </is>
      </c>
      <c r="E30" s="30" t="n">
        <v>3500</v>
      </c>
      <c r="F30" s="159">
        <f>C30*E30</f>
        <v/>
      </c>
      <c r="G30" s="30" t="n">
        <v>2</v>
      </c>
      <c r="H30" s="30" t="inlineStr">
        <is>
          <t>Nos</t>
        </is>
      </c>
      <c r="I30" s="30" t="n">
        <v>3500</v>
      </c>
      <c r="J30" s="34">
        <f>G30*I30</f>
        <v/>
      </c>
      <c r="K30" s="30" t="n">
        <v>1</v>
      </c>
      <c r="L30" s="30" t="inlineStr">
        <is>
          <t>Nos</t>
        </is>
      </c>
      <c r="M30" s="30" t="n">
        <v>3500</v>
      </c>
      <c r="N30" s="159">
        <f>K30*M30</f>
        <v/>
      </c>
      <c r="O30" s="30" t="n">
        <v>3500</v>
      </c>
      <c r="Q30" s="26" t="n">
        <v>26</v>
      </c>
      <c r="R30" s="26" t="inlineStr">
        <is>
          <t>Heater 6 KW</t>
        </is>
      </c>
      <c r="S30" s="26" t="n">
        <v>1</v>
      </c>
      <c r="T30" s="26" t="inlineStr">
        <is>
          <t>Nos</t>
        </is>
      </c>
      <c r="U30" s="168" t="n">
        <v>2050</v>
      </c>
      <c r="V30" s="166">
        <f>S30*U30</f>
        <v/>
      </c>
      <c r="W30" s="26" t="n">
        <v>2</v>
      </c>
      <c r="X30" s="26" t="inlineStr">
        <is>
          <t>Nos</t>
        </is>
      </c>
      <c r="Y30" s="26" t="n">
        <v>1925</v>
      </c>
      <c r="Z30" s="33">
        <f>W30*Y30</f>
        <v/>
      </c>
      <c r="AA30" s="26" t="n">
        <v>1</v>
      </c>
      <c r="AB30" s="26" t="inlineStr">
        <is>
          <t>Nos</t>
        </is>
      </c>
      <c r="AC30" s="26" t="n">
        <v>1925</v>
      </c>
      <c r="AD30" s="166">
        <f>AA30*AC30</f>
        <v/>
      </c>
      <c r="AE30" s="26" t="n">
        <v>1925</v>
      </c>
      <c r="AG30" s="167" t="n">
        <v>26</v>
      </c>
      <c r="AH30" s="26" t="inlineStr">
        <is>
          <t>Oil Pump AGP -15</t>
        </is>
      </c>
      <c r="AI30" s="26" t="n">
        <v>2</v>
      </c>
      <c r="AJ30" s="26" t="inlineStr">
        <is>
          <t>Nos</t>
        </is>
      </c>
      <c r="AK30" s="26" t="n">
        <v>3500</v>
      </c>
      <c r="AL30" s="166">
        <f>AI30*AK30</f>
        <v/>
      </c>
      <c r="AM30" s="26" t="n">
        <v>2</v>
      </c>
      <c r="AN30" s="26" t="inlineStr">
        <is>
          <t>Nos</t>
        </is>
      </c>
      <c r="AO30" s="26" t="n">
        <v>3500</v>
      </c>
      <c r="AP30" s="33">
        <f>AM30*AO30</f>
        <v/>
      </c>
      <c r="AQ30" s="26" t="n">
        <v>1</v>
      </c>
      <c r="AR30" s="26" t="inlineStr">
        <is>
          <t>Nos</t>
        </is>
      </c>
      <c r="AS30" s="26" t="n">
        <v>3500</v>
      </c>
      <c r="AT30" s="166">
        <f>AQ30*AS30</f>
        <v/>
      </c>
      <c r="AU30" s="26" t="n">
        <v>3500</v>
      </c>
      <c r="AW30" s="167" t="n">
        <v>26</v>
      </c>
      <c r="AX30" s="26" t="inlineStr">
        <is>
          <t>Oil Pump AGP -15</t>
        </is>
      </c>
      <c r="AY30" s="26" t="n">
        <v>2</v>
      </c>
      <c r="AZ30" s="26" t="inlineStr">
        <is>
          <t>Nos</t>
        </is>
      </c>
      <c r="BA30" s="26" t="n">
        <v>3500</v>
      </c>
      <c r="BB30" s="166">
        <f>AY30*BA30</f>
        <v/>
      </c>
      <c r="BC30" s="26" t="n">
        <v>2</v>
      </c>
      <c r="BD30" s="26" t="inlineStr">
        <is>
          <t>Nos</t>
        </is>
      </c>
      <c r="BE30" s="26" t="n">
        <v>3500</v>
      </c>
      <c r="BF30" s="33">
        <f>BC30*BE30</f>
        <v/>
      </c>
      <c r="BG30" s="26" t="n">
        <v>1</v>
      </c>
      <c r="BH30" s="26" t="inlineStr">
        <is>
          <t>Nos</t>
        </is>
      </c>
      <c r="BI30" s="26" t="n">
        <v>3500</v>
      </c>
      <c r="BJ30" s="166">
        <f>BG30*BI30</f>
        <v/>
      </c>
      <c r="BK30" s="26" t="n">
        <v>3500</v>
      </c>
      <c r="BM30" s="167" t="n">
        <v>26</v>
      </c>
      <c r="BN30" s="26" t="inlineStr">
        <is>
          <t>Oil Pump AGP -15</t>
        </is>
      </c>
      <c r="BO30" s="26" t="n">
        <v>2</v>
      </c>
      <c r="BP30" s="26" t="inlineStr">
        <is>
          <t>Nos</t>
        </is>
      </c>
      <c r="BQ30" s="26" t="n">
        <v>3500</v>
      </c>
      <c r="BR30" s="166">
        <f>BO30*BQ30</f>
        <v/>
      </c>
      <c r="BS30" s="26" t="n">
        <v>2</v>
      </c>
      <c r="BT30" s="26" t="inlineStr">
        <is>
          <t>Nos</t>
        </is>
      </c>
      <c r="BU30" s="26" t="n">
        <v>3500</v>
      </c>
      <c r="BV30" s="33">
        <f>BS30*BU30</f>
        <v/>
      </c>
      <c r="BW30" s="26" t="n">
        <v>1</v>
      </c>
      <c r="BX30" s="26" t="inlineStr">
        <is>
          <t>Nos</t>
        </is>
      </c>
      <c r="BY30" s="26" t="n">
        <v>3500</v>
      </c>
      <c r="BZ30" s="166">
        <f>BW30*BY30</f>
        <v/>
      </c>
      <c r="CA30" s="26" t="n">
        <v>3500</v>
      </c>
      <c r="CC30" s="167" t="n">
        <v>26</v>
      </c>
      <c r="CD30" s="26" t="inlineStr">
        <is>
          <t>Oil Pump AGP -15</t>
        </is>
      </c>
      <c r="CE30" s="26" t="n">
        <v>2</v>
      </c>
      <c r="CF30" s="26" t="inlineStr">
        <is>
          <t>Nos</t>
        </is>
      </c>
      <c r="CG30" s="26" t="n">
        <v>3500</v>
      </c>
      <c r="CH30" s="166">
        <f>CE30*CG30</f>
        <v/>
      </c>
      <c r="CI30" s="26" t="n">
        <v>2</v>
      </c>
      <c r="CJ30" s="26" t="inlineStr">
        <is>
          <t>Nos</t>
        </is>
      </c>
      <c r="CK30" s="26" t="n">
        <v>3500</v>
      </c>
      <c r="CL30" s="33">
        <f>CI30*CK30</f>
        <v/>
      </c>
      <c r="CM30" s="26" t="n">
        <v>1</v>
      </c>
      <c r="CN30" s="26" t="inlineStr">
        <is>
          <t>Nos</t>
        </is>
      </c>
      <c r="CO30" s="26" t="n">
        <v>3500</v>
      </c>
      <c r="CP30" s="166">
        <f>CM30*CO30</f>
        <v/>
      </c>
      <c r="CQ30" s="26" t="n">
        <v>3500</v>
      </c>
      <c r="CS30" s="167" t="n">
        <v>26</v>
      </c>
      <c r="CT30" s="26" t="inlineStr">
        <is>
          <t>Oil Pump AGP -15</t>
        </is>
      </c>
      <c r="CU30" s="26" t="n">
        <v>2</v>
      </c>
      <c r="CV30" s="26" t="inlineStr">
        <is>
          <t>Nos</t>
        </is>
      </c>
      <c r="CW30" s="26" t="n">
        <v>3500</v>
      </c>
      <c r="CX30" s="166">
        <f>CU30*CW30</f>
        <v/>
      </c>
      <c r="CY30" s="26" t="n">
        <v>2</v>
      </c>
      <c r="CZ30" s="26" t="inlineStr">
        <is>
          <t>Nos</t>
        </is>
      </c>
      <c r="DA30" s="26" t="n">
        <v>3500</v>
      </c>
      <c r="DB30" s="33">
        <f>CY30*DA30</f>
        <v/>
      </c>
      <c r="DC30" s="26" t="n">
        <v>1</v>
      </c>
      <c r="DD30" s="26" t="inlineStr">
        <is>
          <t>Nos</t>
        </is>
      </c>
      <c r="DE30" s="26" t="n">
        <v>3500</v>
      </c>
      <c r="DF30" s="166">
        <f>DC30*DE30</f>
        <v/>
      </c>
      <c r="DG30" s="26">
        <f>DF30-CP30</f>
        <v/>
      </c>
      <c r="DH30" s="167" t="n">
        <v>26</v>
      </c>
      <c r="DI30" s="26" t="inlineStr">
        <is>
          <t>Oil Pump AGP - 20</t>
        </is>
      </c>
      <c r="DJ30" s="26" t="n">
        <v>2</v>
      </c>
      <c r="DK30" s="26" t="inlineStr">
        <is>
          <t>Nos</t>
        </is>
      </c>
      <c r="DL30" s="168" t="n">
        <v>4500</v>
      </c>
      <c r="DM30" s="166">
        <f>DJ30*DL30</f>
        <v/>
      </c>
      <c r="DN30" s="26" t="n">
        <v>2</v>
      </c>
      <c r="DO30" s="26" t="inlineStr">
        <is>
          <t>Nos</t>
        </is>
      </c>
      <c r="DP30" s="26" t="n">
        <v>4500</v>
      </c>
      <c r="DQ30" s="33">
        <f>DN30*DP30</f>
        <v/>
      </c>
      <c r="DR30" s="26" t="n">
        <v>1</v>
      </c>
      <c r="DS30" s="26" t="inlineStr">
        <is>
          <t>Nos</t>
        </is>
      </c>
      <c r="DT30" s="26" t="n">
        <v>4500</v>
      </c>
      <c r="DU30" s="166">
        <f>DR30*DT30</f>
        <v/>
      </c>
      <c r="DV30" s="26" t="n">
        <v>4500</v>
      </c>
      <c r="DX30" s="167" t="n">
        <v>26</v>
      </c>
      <c r="DY30" s="26" t="inlineStr">
        <is>
          <t>Oil Pump AGP - 20</t>
        </is>
      </c>
      <c r="DZ30" s="26" t="n">
        <v>2</v>
      </c>
      <c r="EA30" s="26" t="inlineStr">
        <is>
          <t>Nos</t>
        </is>
      </c>
      <c r="EB30" s="168" t="n">
        <v>4500</v>
      </c>
      <c r="EC30" s="166">
        <f>DZ30*EB30</f>
        <v/>
      </c>
      <c r="ED30" s="26" t="n">
        <v>2</v>
      </c>
      <c r="EE30" s="26" t="inlineStr">
        <is>
          <t>Nos</t>
        </is>
      </c>
      <c r="EF30" s="26" t="n">
        <v>4500</v>
      </c>
      <c r="EG30" s="33">
        <f>ED30*EF30</f>
        <v/>
      </c>
      <c r="EH30" s="26" t="n">
        <v>1</v>
      </c>
      <c r="EI30" s="26" t="inlineStr">
        <is>
          <t>Nos</t>
        </is>
      </c>
      <c r="EJ30" s="26" t="n">
        <v>4500</v>
      </c>
      <c r="EK30" s="166">
        <f>EH30*EJ30</f>
        <v/>
      </c>
      <c r="EL30" s="26" t="n">
        <v>4500</v>
      </c>
      <c r="EN30" s="167" t="n">
        <v>26</v>
      </c>
      <c r="EO30" s="26" t="inlineStr">
        <is>
          <t>Oil Pump AGP - 25</t>
        </is>
      </c>
      <c r="EP30" s="26" t="n">
        <v>2</v>
      </c>
      <c r="EQ30" s="26" t="inlineStr">
        <is>
          <t>Nos</t>
        </is>
      </c>
      <c r="ER30" s="169" t="n">
        <v>17000</v>
      </c>
      <c r="ES30" s="166">
        <f>EP30*ER30</f>
        <v/>
      </c>
      <c r="ET30" s="26" t="n">
        <v>2</v>
      </c>
      <c r="EU30" s="26" t="inlineStr">
        <is>
          <t>Nos</t>
        </is>
      </c>
      <c r="EV30" s="26" t="n">
        <v>17000</v>
      </c>
      <c r="EW30" s="33">
        <f>ET30*EV30</f>
        <v/>
      </c>
      <c r="EX30" s="26" t="n">
        <v>1</v>
      </c>
      <c r="EY30" s="26" t="inlineStr">
        <is>
          <t>Nos</t>
        </is>
      </c>
      <c r="EZ30" s="26" t="n">
        <v>17000</v>
      </c>
      <c r="FA30" s="166">
        <f>EX30*EZ30</f>
        <v/>
      </c>
      <c r="FB30" s="26" t="n">
        <v>17000</v>
      </c>
    </row>
    <row r="31" ht="15.75" customHeight="1" s="307">
      <c r="A31" s="26" t="n">
        <v>27</v>
      </c>
      <c r="B31" s="26" t="inlineStr">
        <is>
          <t>Heater 3 KW</t>
        </is>
      </c>
      <c r="C31" s="30" t="n">
        <v>1</v>
      </c>
      <c r="D31" s="30" t="inlineStr">
        <is>
          <t>Nos</t>
        </is>
      </c>
      <c r="E31" s="30" t="n">
        <v>1550</v>
      </c>
      <c r="F31" s="159">
        <f>C31*E31</f>
        <v/>
      </c>
      <c r="G31" s="30" t="n">
        <v>2</v>
      </c>
      <c r="H31" s="30" t="inlineStr">
        <is>
          <t>Nos</t>
        </is>
      </c>
      <c r="I31" s="30" t="n">
        <v>1425</v>
      </c>
      <c r="J31" s="34">
        <f>G31*I31</f>
        <v/>
      </c>
      <c r="K31" s="30" t="n">
        <v>1</v>
      </c>
      <c r="L31" s="30" t="inlineStr">
        <is>
          <t>Nos</t>
        </is>
      </c>
      <c r="M31" s="30" t="n">
        <v>1425</v>
      </c>
      <c r="N31" s="159">
        <f>K31*M31</f>
        <v/>
      </c>
      <c r="O31" s="30" t="n">
        <v>1425</v>
      </c>
      <c r="Q31" s="26" t="n">
        <v>27</v>
      </c>
      <c r="R31" s="26" t="inlineStr">
        <is>
          <t>Pressure Gauge 0 -7 Kg</t>
        </is>
      </c>
      <c r="S31" s="26" t="n">
        <v>1</v>
      </c>
      <c r="T31" s="26" t="inlineStr">
        <is>
          <t>Nos</t>
        </is>
      </c>
      <c r="U31" s="26" t="n">
        <v>1200</v>
      </c>
      <c r="V31" s="166">
        <f>S31*U31</f>
        <v/>
      </c>
      <c r="W31" s="26" t="n">
        <v>1</v>
      </c>
      <c r="X31" s="26" t="inlineStr">
        <is>
          <t>Nos</t>
        </is>
      </c>
      <c r="Y31" s="26" t="n">
        <v>1000</v>
      </c>
      <c r="Z31" s="33">
        <f>W31*Y31</f>
        <v/>
      </c>
      <c r="AA31" s="26" t="n">
        <v>1</v>
      </c>
      <c r="AB31" s="26" t="inlineStr">
        <is>
          <t>Nos</t>
        </is>
      </c>
      <c r="AC31" s="26" t="n">
        <v>1000</v>
      </c>
      <c r="AD31" s="166">
        <f>AA31*AC31</f>
        <v/>
      </c>
      <c r="AE31" s="26" t="n">
        <v>1000</v>
      </c>
      <c r="AG31" s="167" t="n">
        <v>27</v>
      </c>
      <c r="AH31" s="26" t="inlineStr">
        <is>
          <t>Heater 3 KW</t>
        </is>
      </c>
      <c r="AI31" s="26" t="n">
        <v>3</v>
      </c>
      <c r="AJ31" s="26" t="inlineStr">
        <is>
          <t>Nos</t>
        </is>
      </c>
      <c r="AK31" s="26" t="n">
        <v>1550</v>
      </c>
      <c r="AL31" s="166">
        <f>AI31*AK31</f>
        <v/>
      </c>
      <c r="AM31" s="26" t="n">
        <v>6</v>
      </c>
      <c r="AN31" s="26" t="inlineStr">
        <is>
          <t>Nos</t>
        </is>
      </c>
      <c r="AO31" s="26" t="n">
        <v>1425</v>
      </c>
      <c r="AP31" s="33">
        <f>AM31*AO31</f>
        <v/>
      </c>
      <c r="AQ31" s="26" t="n">
        <v>3</v>
      </c>
      <c r="AR31" s="26" t="inlineStr">
        <is>
          <t>Nos</t>
        </is>
      </c>
      <c r="AS31" s="26" t="n">
        <v>1425</v>
      </c>
      <c r="AT31" s="166">
        <f>AQ31*AS31</f>
        <v/>
      </c>
      <c r="AU31" s="26" t="n">
        <v>1425</v>
      </c>
      <c r="AW31" s="167" t="n">
        <v>27</v>
      </c>
      <c r="AX31" s="26" t="inlineStr">
        <is>
          <t>Heater 4 KW</t>
        </is>
      </c>
      <c r="AY31" s="26" t="n">
        <v>3</v>
      </c>
      <c r="AZ31" s="26" t="inlineStr">
        <is>
          <t>Nos</t>
        </is>
      </c>
      <c r="BA31" s="168" t="n">
        <v>1750</v>
      </c>
      <c r="BB31" s="166">
        <f>AY31*BA31</f>
        <v/>
      </c>
      <c r="BC31" s="26" t="n">
        <v>6</v>
      </c>
      <c r="BD31" s="26" t="inlineStr">
        <is>
          <t>Nos</t>
        </is>
      </c>
      <c r="BE31" s="26" t="n">
        <v>1625</v>
      </c>
      <c r="BF31" s="33">
        <f>BC31*BE31</f>
        <v/>
      </c>
      <c r="BG31" s="26" t="n">
        <v>3</v>
      </c>
      <c r="BH31" s="26" t="inlineStr">
        <is>
          <t>Nos</t>
        </is>
      </c>
      <c r="BI31" s="26" t="n">
        <v>1625</v>
      </c>
      <c r="BJ31" s="166">
        <f>BG31*BI31</f>
        <v/>
      </c>
      <c r="BK31" s="26" t="n">
        <v>1625</v>
      </c>
      <c r="BM31" s="167" t="n">
        <v>27</v>
      </c>
      <c r="BN31" s="26" t="inlineStr">
        <is>
          <t>Heater 4 KW</t>
        </is>
      </c>
      <c r="BO31" s="26" t="n">
        <v>4</v>
      </c>
      <c r="BP31" s="26" t="inlineStr">
        <is>
          <t>Nos</t>
        </is>
      </c>
      <c r="BQ31" s="168" t="n">
        <v>1750</v>
      </c>
      <c r="BR31" s="166">
        <f>BO31*BQ31</f>
        <v/>
      </c>
      <c r="BS31" s="26" t="n">
        <v>8</v>
      </c>
      <c r="BT31" s="26" t="inlineStr">
        <is>
          <t>Nos</t>
        </is>
      </c>
      <c r="BU31" s="26" t="n">
        <v>1625</v>
      </c>
      <c r="BV31" s="33">
        <f>BS31*BU31</f>
        <v/>
      </c>
      <c r="BW31" s="26" t="n">
        <v>4</v>
      </c>
      <c r="BX31" s="26" t="inlineStr">
        <is>
          <t>Nos</t>
        </is>
      </c>
      <c r="BY31" s="26" t="n">
        <v>1625</v>
      </c>
      <c r="BZ31" s="166">
        <f>BW31*BY31</f>
        <v/>
      </c>
      <c r="CA31" s="26" t="n">
        <v>1625</v>
      </c>
      <c r="CC31" s="167" t="n">
        <v>27</v>
      </c>
      <c r="CD31" s="26" t="inlineStr">
        <is>
          <t>Heater 4 KW</t>
        </is>
      </c>
      <c r="CE31" s="26" t="n">
        <v>5</v>
      </c>
      <c r="CF31" s="26" t="inlineStr">
        <is>
          <t>Nos</t>
        </is>
      </c>
      <c r="CG31" s="168" t="n">
        <v>1750</v>
      </c>
      <c r="CH31" s="166">
        <f>CE31*CG31</f>
        <v/>
      </c>
      <c r="CI31" s="26" t="n">
        <v>10</v>
      </c>
      <c r="CJ31" s="26" t="inlineStr">
        <is>
          <t>Nos</t>
        </is>
      </c>
      <c r="CK31" s="26" t="n">
        <v>1625</v>
      </c>
      <c r="CL31" s="33">
        <f>CI31*CK31</f>
        <v/>
      </c>
      <c r="CM31" s="26" t="n">
        <v>5</v>
      </c>
      <c r="CN31" s="26" t="inlineStr">
        <is>
          <t>Nos</t>
        </is>
      </c>
      <c r="CO31" s="26" t="n">
        <v>1625</v>
      </c>
      <c r="CP31" s="166">
        <f>CM31*CO31</f>
        <v/>
      </c>
      <c r="CQ31" s="26" t="n">
        <v>1625</v>
      </c>
      <c r="CS31" s="167" t="n">
        <v>27</v>
      </c>
      <c r="CT31" s="26" t="inlineStr">
        <is>
          <t>Heater 6 KW</t>
        </is>
      </c>
      <c r="CU31" s="26" t="n">
        <v>4</v>
      </c>
      <c r="CV31" s="26" t="inlineStr">
        <is>
          <t>Nos</t>
        </is>
      </c>
      <c r="CW31" s="168" t="n">
        <v>2050</v>
      </c>
      <c r="CX31" s="166">
        <f>CU31*CW31</f>
        <v/>
      </c>
      <c r="CY31" s="26" t="n">
        <v>8</v>
      </c>
      <c r="CZ31" s="26" t="inlineStr">
        <is>
          <t>Nos</t>
        </is>
      </c>
      <c r="DA31" s="26" t="n">
        <v>1925</v>
      </c>
      <c r="DB31" s="33">
        <f>CY31*DA31</f>
        <v/>
      </c>
      <c r="DC31" s="26" t="n">
        <v>4</v>
      </c>
      <c r="DD31" s="26" t="inlineStr">
        <is>
          <t>Nos</t>
        </is>
      </c>
      <c r="DE31" s="26" t="n">
        <v>1925</v>
      </c>
      <c r="DF31" s="166">
        <f>DC31*DE31</f>
        <v/>
      </c>
      <c r="DG31" s="26">
        <f>DF31-CP31</f>
        <v/>
      </c>
      <c r="DH31" s="167" t="n">
        <v>27</v>
      </c>
      <c r="DI31" s="26" t="inlineStr">
        <is>
          <t>Heater 6 KW</t>
        </is>
      </c>
      <c r="DJ31" s="26" t="n">
        <v>5</v>
      </c>
      <c r="DK31" s="26" t="inlineStr">
        <is>
          <t>Nos</t>
        </is>
      </c>
      <c r="DL31" s="168" t="n">
        <v>2050</v>
      </c>
      <c r="DM31" s="166">
        <f>DJ31*DL31</f>
        <v/>
      </c>
      <c r="DN31" s="26" t="n">
        <v>10</v>
      </c>
      <c r="DO31" s="26" t="inlineStr">
        <is>
          <t>Nos</t>
        </is>
      </c>
      <c r="DP31" s="26" t="n">
        <v>1925</v>
      </c>
      <c r="DQ31" s="33">
        <f>DN31*DP31</f>
        <v/>
      </c>
      <c r="DR31" s="26" t="n">
        <v>5</v>
      </c>
      <c r="DS31" s="26" t="inlineStr">
        <is>
          <t>Nos</t>
        </is>
      </c>
      <c r="DT31" s="26" t="n">
        <v>1925</v>
      </c>
      <c r="DU31" s="166">
        <f>DR31*DT31</f>
        <v/>
      </c>
      <c r="DV31" s="26" t="n">
        <v>1925</v>
      </c>
      <c r="DX31" s="167" t="n">
        <v>27</v>
      </c>
      <c r="DY31" s="26" t="inlineStr">
        <is>
          <t>Heater 6 KW</t>
        </is>
      </c>
      <c r="DZ31" s="26" t="n">
        <v>6</v>
      </c>
      <c r="EA31" s="26" t="inlineStr">
        <is>
          <t>Nos</t>
        </is>
      </c>
      <c r="EB31" s="168" t="n">
        <v>2050</v>
      </c>
      <c r="EC31" s="166">
        <f>DZ31*EB31</f>
        <v/>
      </c>
      <c r="ED31" s="26" t="n">
        <v>12</v>
      </c>
      <c r="EE31" s="26" t="inlineStr">
        <is>
          <t>Nos</t>
        </is>
      </c>
      <c r="EF31" s="26" t="n">
        <v>1925</v>
      </c>
      <c r="EG31" s="33">
        <f>ED31*EF31</f>
        <v/>
      </c>
      <c r="EH31" s="26" t="n">
        <v>6</v>
      </c>
      <c r="EI31" s="26" t="inlineStr">
        <is>
          <t>Nos</t>
        </is>
      </c>
      <c r="EJ31" s="26" t="n">
        <v>1925</v>
      </c>
      <c r="EK31" s="166">
        <f>EH31*EJ31</f>
        <v/>
      </c>
      <c r="EL31" s="26" t="n">
        <v>1925</v>
      </c>
      <c r="EN31" s="167" t="n">
        <v>27</v>
      </c>
      <c r="EO31" s="26" t="inlineStr">
        <is>
          <t>Heater 6 KW</t>
        </is>
      </c>
      <c r="EP31" s="26" t="n">
        <v>8</v>
      </c>
      <c r="EQ31" s="26" t="inlineStr">
        <is>
          <t>Nos</t>
        </is>
      </c>
      <c r="ER31" s="168" t="n">
        <v>2050</v>
      </c>
      <c r="ES31" s="166">
        <f>EP31*ER31</f>
        <v/>
      </c>
      <c r="ET31" s="26" t="n">
        <v>16</v>
      </c>
      <c r="EU31" s="26" t="inlineStr">
        <is>
          <t>Nos</t>
        </is>
      </c>
      <c r="EV31" s="26" t="n">
        <v>1925</v>
      </c>
      <c r="EW31" s="33">
        <f>ET31*EV31</f>
        <v/>
      </c>
      <c r="EX31" s="26" t="n">
        <v>8</v>
      </c>
      <c r="EY31" s="26" t="inlineStr">
        <is>
          <t>Nos</t>
        </is>
      </c>
      <c r="EZ31" s="26" t="n">
        <v>1925</v>
      </c>
      <c r="FA31" s="166">
        <f>EX31*EZ31</f>
        <v/>
      </c>
      <c r="FB31" s="26" t="n">
        <v>1925</v>
      </c>
    </row>
    <row r="32" ht="15.75" customHeight="1" s="307">
      <c r="A32" s="26" t="n">
        <v>28</v>
      </c>
      <c r="B32" s="26" t="inlineStr">
        <is>
          <t>Pressure Gauge 0 -7 Kg</t>
        </is>
      </c>
      <c r="C32" s="30" t="n">
        <v>1</v>
      </c>
      <c r="D32" s="30" t="inlineStr">
        <is>
          <t>Nos</t>
        </is>
      </c>
      <c r="E32" s="30" t="n">
        <v>1200</v>
      </c>
      <c r="F32" s="159">
        <f>C32*E32</f>
        <v/>
      </c>
      <c r="G32" s="30" t="n">
        <v>1</v>
      </c>
      <c r="H32" s="30" t="inlineStr">
        <is>
          <t>Nos</t>
        </is>
      </c>
      <c r="I32" s="30" t="n">
        <v>1000</v>
      </c>
      <c r="J32" s="34">
        <f>G32*I32</f>
        <v/>
      </c>
      <c r="K32" s="30" t="n">
        <v>1</v>
      </c>
      <c r="L32" s="30" t="inlineStr">
        <is>
          <t>Nos</t>
        </is>
      </c>
      <c r="M32" s="30" t="n">
        <v>1000</v>
      </c>
      <c r="N32" s="159">
        <f>K32*M32</f>
        <v/>
      </c>
      <c r="O32" s="30" t="n">
        <v>1000</v>
      </c>
      <c r="Q32" s="26" t="n">
        <v>28</v>
      </c>
      <c r="R32" s="26" t="inlineStr">
        <is>
          <t>Temp. Gauge 0 -150 *C</t>
        </is>
      </c>
      <c r="S32" s="26" t="n">
        <v>1</v>
      </c>
      <c r="T32" s="26" t="inlineStr">
        <is>
          <t>Nos</t>
        </is>
      </c>
      <c r="U32" s="26" t="n">
        <v>600</v>
      </c>
      <c r="V32" s="166">
        <f>S32*U32</f>
        <v/>
      </c>
      <c r="W32" s="26" t="n">
        <v>2</v>
      </c>
      <c r="X32" s="26" t="inlineStr">
        <is>
          <t>Nos</t>
        </is>
      </c>
      <c r="Y32" s="26" t="n">
        <v>600</v>
      </c>
      <c r="Z32" s="33">
        <f>W32*Y32</f>
        <v/>
      </c>
      <c r="AA32" s="26" t="n">
        <v>1</v>
      </c>
      <c r="AB32" s="26" t="inlineStr">
        <is>
          <t>Nos</t>
        </is>
      </c>
      <c r="AC32" s="26" t="n">
        <v>600</v>
      </c>
      <c r="AD32" s="166">
        <f>AA32*AC32</f>
        <v/>
      </c>
      <c r="AE32" s="26" t="n">
        <v>600</v>
      </c>
      <c r="AG32" s="167" t="n">
        <v>28</v>
      </c>
      <c r="AH32" s="26" t="inlineStr">
        <is>
          <t>Pressure Gauge 0 -7 Kg</t>
        </is>
      </c>
      <c r="AI32" s="26" t="n">
        <v>1</v>
      </c>
      <c r="AJ32" s="26" t="inlineStr">
        <is>
          <t>Nos</t>
        </is>
      </c>
      <c r="AK32" s="26" t="n">
        <v>1200</v>
      </c>
      <c r="AL32" s="166">
        <f>AI32*AK32</f>
        <v/>
      </c>
      <c r="AM32" s="26" t="n">
        <v>1</v>
      </c>
      <c r="AN32" s="26" t="inlineStr">
        <is>
          <t>Nos</t>
        </is>
      </c>
      <c r="AO32" s="26" t="n">
        <v>1000</v>
      </c>
      <c r="AP32" s="33">
        <f>AM32*AO32</f>
        <v/>
      </c>
      <c r="AQ32" s="26" t="n">
        <v>1</v>
      </c>
      <c r="AR32" s="26" t="inlineStr">
        <is>
          <t>Nos</t>
        </is>
      </c>
      <c r="AS32" s="26" t="n">
        <v>1000</v>
      </c>
      <c r="AT32" s="166">
        <f>AQ32*AS32</f>
        <v/>
      </c>
      <c r="AU32" s="26" t="n">
        <v>1000</v>
      </c>
      <c r="AW32" s="167" t="n">
        <v>28</v>
      </c>
      <c r="AX32" s="26" t="inlineStr">
        <is>
          <t>Pressure Gauge 0 -7 Kg</t>
        </is>
      </c>
      <c r="AY32" s="26" t="n">
        <v>1</v>
      </c>
      <c r="AZ32" s="26" t="inlineStr">
        <is>
          <t>Nos</t>
        </is>
      </c>
      <c r="BA32" s="26" t="n">
        <v>1200</v>
      </c>
      <c r="BB32" s="166">
        <f>AY32*BA32</f>
        <v/>
      </c>
      <c r="BC32" s="26" t="n">
        <v>1</v>
      </c>
      <c r="BD32" s="26" t="inlineStr">
        <is>
          <t>Nos</t>
        </is>
      </c>
      <c r="BE32" s="26" t="n">
        <v>1000</v>
      </c>
      <c r="BF32" s="33">
        <f>BC32*BE32</f>
        <v/>
      </c>
      <c r="BG32" s="26" t="n">
        <v>1</v>
      </c>
      <c r="BH32" s="26" t="inlineStr">
        <is>
          <t>Nos</t>
        </is>
      </c>
      <c r="BI32" s="26" t="n">
        <v>1000</v>
      </c>
      <c r="BJ32" s="166">
        <f>BG32*BI32</f>
        <v/>
      </c>
      <c r="BK32" s="26" t="n">
        <v>1000</v>
      </c>
      <c r="BM32" s="167" t="n">
        <v>28</v>
      </c>
      <c r="BN32" s="26" t="inlineStr">
        <is>
          <t>Pressure Gauge 0 -7 Kg</t>
        </is>
      </c>
      <c r="BO32" s="26" t="n">
        <v>1</v>
      </c>
      <c r="BP32" s="26" t="inlineStr">
        <is>
          <t>Nos</t>
        </is>
      </c>
      <c r="BQ32" s="26" t="n">
        <v>1200</v>
      </c>
      <c r="BR32" s="166">
        <f>BO32*BQ32</f>
        <v/>
      </c>
      <c r="BS32" s="26" t="n">
        <v>1</v>
      </c>
      <c r="BT32" s="26" t="inlineStr">
        <is>
          <t>Nos</t>
        </is>
      </c>
      <c r="BU32" s="26" t="n">
        <v>1000</v>
      </c>
      <c r="BV32" s="33">
        <f>BS32*BU32</f>
        <v/>
      </c>
      <c r="BW32" s="26" t="n">
        <v>1</v>
      </c>
      <c r="BX32" s="26" t="inlineStr">
        <is>
          <t>Nos</t>
        </is>
      </c>
      <c r="BY32" s="26" t="n">
        <v>1000</v>
      </c>
      <c r="BZ32" s="166">
        <f>BW32*BY32</f>
        <v/>
      </c>
      <c r="CA32" s="26" t="n">
        <v>1000</v>
      </c>
      <c r="CC32" s="167" t="n">
        <v>28</v>
      </c>
      <c r="CD32" s="26" t="inlineStr">
        <is>
          <t>Pressure Gauge 0 -7 Kg</t>
        </is>
      </c>
      <c r="CE32" s="26" t="n">
        <v>1</v>
      </c>
      <c r="CF32" s="26" t="inlineStr">
        <is>
          <t>Nos</t>
        </is>
      </c>
      <c r="CG32" s="26" t="n">
        <v>1200</v>
      </c>
      <c r="CH32" s="166">
        <f>CE32*CG32</f>
        <v/>
      </c>
      <c r="CI32" s="26" t="n">
        <v>1</v>
      </c>
      <c r="CJ32" s="26" t="inlineStr">
        <is>
          <t>Nos</t>
        </is>
      </c>
      <c r="CK32" s="26" t="n">
        <v>1000</v>
      </c>
      <c r="CL32" s="33">
        <f>CI32*CK32</f>
        <v/>
      </c>
      <c r="CM32" s="26" t="n">
        <v>1</v>
      </c>
      <c r="CN32" s="26" t="inlineStr">
        <is>
          <t>Nos</t>
        </is>
      </c>
      <c r="CO32" s="26" t="n">
        <v>1000</v>
      </c>
      <c r="CP32" s="166">
        <f>CM32*CO32</f>
        <v/>
      </c>
      <c r="CQ32" s="26" t="n">
        <v>1000</v>
      </c>
      <c r="CS32" s="167" t="n">
        <v>28</v>
      </c>
      <c r="CT32" s="26" t="inlineStr">
        <is>
          <t>Pressure Gauge 0 -7 Kg</t>
        </is>
      </c>
      <c r="CU32" s="26" t="n">
        <v>1</v>
      </c>
      <c r="CV32" s="26" t="inlineStr">
        <is>
          <t>Nos</t>
        </is>
      </c>
      <c r="CW32" s="26" t="n">
        <v>1200</v>
      </c>
      <c r="CX32" s="166">
        <f>CU32*CW32</f>
        <v/>
      </c>
      <c r="CY32" s="26" t="n">
        <v>1</v>
      </c>
      <c r="CZ32" s="26" t="inlineStr">
        <is>
          <t>Nos</t>
        </is>
      </c>
      <c r="DA32" s="26" t="n">
        <v>1000</v>
      </c>
      <c r="DB32" s="33">
        <f>CY32*DA32</f>
        <v/>
      </c>
      <c r="DC32" s="26" t="n">
        <v>1</v>
      </c>
      <c r="DD32" s="26" t="inlineStr">
        <is>
          <t>Nos</t>
        </is>
      </c>
      <c r="DE32" s="26" t="n">
        <v>1000</v>
      </c>
      <c r="DF32" s="166">
        <f>DC32*DE32</f>
        <v/>
      </c>
      <c r="DG32" s="26">
        <f>DF32-CP32</f>
        <v/>
      </c>
      <c r="DH32" s="167" t="n">
        <v>28</v>
      </c>
      <c r="DI32" s="26" t="inlineStr">
        <is>
          <t>Pressure Gauge 0 -7 Kg</t>
        </is>
      </c>
      <c r="DJ32" s="26" t="n">
        <v>1</v>
      </c>
      <c r="DK32" s="26" t="inlineStr">
        <is>
          <t>Nos</t>
        </is>
      </c>
      <c r="DL32" s="26" t="n">
        <v>1200</v>
      </c>
      <c r="DM32" s="166">
        <f>DJ32*DL32</f>
        <v/>
      </c>
      <c r="DN32" s="26" t="n">
        <v>1</v>
      </c>
      <c r="DO32" s="26" t="inlineStr">
        <is>
          <t>Nos</t>
        </is>
      </c>
      <c r="DP32" s="26" t="n">
        <v>1000</v>
      </c>
      <c r="DQ32" s="33">
        <f>DN32*DP32</f>
        <v/>
      </c>
      <c r="DR32" s="26" t="n">
        <v>1</v>
      </c>
      <c r="DS32" s="26" t="inlineStr">
        <is>
          <t>Nos</t>
        </is>
      </c>
      <c r="DT32" s="26" t="n">
        <v>1000</v>
      </c>
      <c r="DU32" s="166">
        <f>DR32*DT32</f>
        <v/>
      </c>
      <c r="DV32" s="26" t="n">
        <v>1000</v>
      </c>
      <c r="DX32" s="167" t="n">
        <v>28</v>
      </c>
      <c r="DY32" s="26" t="inlineStr">
        <is>
          <t>Pressure Gauge 0 -7 Kg</t>
        </is>
      </c>
      <c r="DZ32" s="26" t="n">
        <v>1</v>
      </c>
      <c r="EA32" s="26" t="inlineStr">
        <is>
          <t>Nos</t>
        </is>
      </c>
      <c r="EB32" s="26" t="n">
        <v>1200</v>
      </c>
      <c r="EC32" s="166">
        <f>DZ32*EB32</f>
        <v/>
      </c>
      <c r="ED32" s="26" t="n">
        <v>1</v>
      </c>
      <c r="EE32" s="26" t="inlineStr">
        <is>
          <t>Nos</t>
        </is>
      </c>
      <c r="EF32" s="26" t="n">
        <v>1000</v>
      </c>
      <c r="EG32" s="33">
        <f>ED32*EF32</f>
        <v/>
      </c>
      <c r="EH32" s="26" t="n">
        <v>1</v>
      </c>
      <c r="EI32" s="26" t="inlineStr">
        <is>
          <t>Nos</t>
        </is>
      </c>
      <c r="EJ32" s="26" t="n">
        <v>1000</v>
      </c>
      <c r="EK32" s="166">
        <f>EH32*EJ32</f>
        <v/>
      </c>
      <c r="EL32" s="26" t="n">
        <v>1000</v>
      </c>
      <c r="EN32" s="167" t="n">
        <v>28</v>
      </c>
      <c r="EO32" s="26" t="inlineStr">
        <is>
          <t>Pressure Gauge 0 -7 Kg</t>
        </is>
      </c>
      <c r="EP32" s="26" t="n">
        <v>1</v>
      </c>
      <c r="EQ32" s="26" t="inlineStr">
        <is>
          <t>Nos</t>
        </is>
      </c>
      <c r="ER32" s="26" t="n">
        <v>1200</v>
      </c>
      <c r="ES32" s="166">
        <f>EP32*ER32</f>
        <v/>
      </c>
      <c r="ET32" s="26" t="n">
        <v>1</v>
      </c>
      <c r="EU32" s="26" t="inlineStr">
        <is>
          <t>Nos</t>
        </is>
      </c>
      <c r="EV32" s="26" t="n">
        <v>1000</v>
      </c>
      <c r="EW32" s="33">
        <f>ET32*EV32</f>
        <v/>
      </c>
      <c r="EX32" s="26" t="n">
        <v>1</v>
      </c>
      <c r="EY32" s="26" t="inlineStr">
        <is>
          <t>Nos</t>
        </is>
      </c>
      <c r="EZ32" s="26" t="n">
        <v>1000</v>
      </c>
      <c r="FA32" s="166">
        <f>EX32*EZ32</f>
        <v/>
      </c>
      <c r="FB32" s="26" t="n">
        <v>1000</v>
      </c>
    </row>
    <row r="33" ht="15.75" customHeight="1" s="307">
      <c r="A33" s="26" t="n">
        <v>29</v>
      </c>
      <c r="B33" s="26" t="inlineStr">
        <is>
          <t>Temp. Gauge 0 -150 *C</t>
        </is>
      </c>
      <c r="C33" s="30" t="n">
        <v>1</v>
      </c>
      <c r="D33" s="30" t="inlineStr">
        <is>
          <t>Nos</t>
        </is>
      </c>
      <c r="E33" s="30" t="n">
        <v>600</v>
      </c>
      <c r="F33" s="159">
        <f>C33*E33</f>
        <v/>
      </c>
      <c r="G33" s="30" t="n">
        <v>2</v>
      </c>
      <c r="H33" s="30" t="inlineStr">
        <is>
          <t>Nos</t>
        </is>
      </c>
      <c r="I33" s="30" t="n">
        <v>600</v>
      </c>
      <c r="J33" s="34">
        <f>G33*I33</f>
        <v/>
      </c>
      <c r="K33" s="30" t="n">
        <v>1</v>
      </c>
      <c r="L33" s="30" t="inlineStr">
        <is>
          <t>Nos</t>
        </is>
      </c>
      <c r="M33" s="30" t="n">
        <v>600</v>
      </c>
      <c r="N33" s="159">
        <f>K33*M33</f>
        <v/>
      </c>
      <c r="O33" s="30" t="n">
        <v>600</v>
      </c>
      <c r="Q33" s="26" t="n">
        <v>29</v>
      </c>
      <c r="R33" s="26" t="inlineStr">
        <is>
          <t xml:space="preserve">Thermostate </t>
        </is>
      </c>
      <c r="S33" s="26" t="n">
        <v>1</v>
      </c>
      <c r="T33" s="26" t="inlineStr">
        <is>
          <t>Nos</t>
        </is>
      </c>
      <c r="U33" s="26" t="n">
        <v>400</v>
      </c>
      <c r="V33" s="166">
        <f>S33*U33</f>
        <v/>
      </c>
      <c r="W33" s="26" t="n">
        <v>2</v>
      </c>
      <c r="X33" s="26" t="inlineStr">
        <is>
          <t>Nos</t>
        </is>
      </c>
      <c r="Y33" s="26" t="n">
        <v>350</v>
      </c>
      <c r="Z33" s="33">
        <f>W33*Y33</f>
        <v/>
      </c>
      <c r="AA33" s="26" t="n">
        <v>1</v>
      </c>
      <c r="AB33" s="26" t="inlineStr">
        <is>
          <t>Nos</t>
        </is>
      </c>
      <c r="AC33" s="26" t="n">
        <v>350</v>
      </c>
      <c r="AD33" s="166">
        <f>AA33*AC33</f>
        <v/>
      </c>
      <c r="AE33" s="26" t="n">
        <v>350</v>
      </c>
      <c r="AG33" s="167" t="n">
        <v>29</v>
      </c>
      <c r="AH33" s="26" t="inlineStr">
        <is>
          <t>Temp. Gauge 0 -150 *C</t>
        </is>
      </c>
      <c r="AI33" s="26" t="n">
        <v>1</v>
      </c>
      <c r="AJ33" s="26" t="inlineStr">
        <is>
          <t>Nos</t>
        </is>
      </c>
      <c r="AK33" s="26" t="n">
        <v>600</v>
      </c>
      <c r="AL33" s="166">
        <f>AI33*AK33</f>
        <v/>
      </c>
      <c r="AM33" s="26" t="n">
        <v>2</v>
      </c>
      <c r="AN33" s="26" t="inlineStr">
        <is>
          <t>Nos</t>
        </is>
      </c>
      <c r="AO33" s="26" t="n">
        <v>600</v>
      </c>
      <c r="AP33" s="33">
        <f>AM33*AO33</f>
        <v/>
      </c>
      <c r="AQ33" s="26" t="n">
        <v>1</v>
      </c>
      <c r="AR33" s="26" t="inlineStr">
        <is>
          <t>Nos</t>
        </is>
      </c>
      <c r="AS33" s="26" t="n">
        <v>600</v>
      </c>
      <c r="AT33" s="166">
        <f>AQ33*AS33</f>
        <v/>
      </c>
      <c r="AU33" s="26" t="n">
        <v>600</v>
      </c>
      <c r="AW33" s="167" t="n">
        <v>29</v>
      </c>
      <c r="AX33" s="26" t="inlineStr">
        <is>
          <t>Temp. Gauge 0 -150 *C</t>
        </is>
      </c>
      <c r="AY33" s="26" t="n">
        <v>1</v>
      </c>
      <c r="AZ33" s="26" t="inlineStr">
        <is>
          <t>Nos</t>
        </is>
      </c>
      <c r="BA33" s="26" t="n">
        <v>600</v>
      </c>
      <c r="BB33" s="166">
        <f>AY33*BA33</f>
        <v/>
      </c>
      <c r="BC33" s="26" t="n">
        <v>2</v>
      </c>
      <c r="BD33" s="26" t="inlineStr">
        <is>
          <t>Nos</t>
        </is>
      </c>
      <c r="BE33" s="26" t="n">
        <v>600</v>
      </c>
      <c r="BF33" s="33">
        <f>BC33*BE33</f>
        <v/>
      </c>
      <c r="BG33" s="26" t="n">
        <v>1</v>
      </c>
      <c r="BH33" s="26" t="inlineStr">
        <is>
          <t>Nos</t>
        </is>
      </c>
      <c r="BI33" s="26" t="n">
        <v>600</v>
      </c>
      <c r="BJ33" s="166">
        <f>BG33*BI33</f>
        <v/>
      </c>
      <c r="BK33" s="26" t="n">
        <v>600</v>
      </c>
      <c r="BM33" s="167" t="n">
        <v>29</v>
      </c>
      <c r="BN33" s="26" t="inlineStr">
        <is>
          <t>Temp. Gauge 0 -150 *C</t>
        </is>
      </c>
      <c r="BO33" s="26" t="n">
        <v>1</v>
      </c>
      <c r="BP33" s="26" t="inlineStr">
        <is>
          <t>Nos</t>
        </is>
      </c>
      <c r="BQ33" s="26" t="n">
        <v>600</v>
      </c>
      <c r="BR33" s="166">
        <f>BO33*BQ33</f>
        <v/>
      </c>
      <c r="BS33" s="26" t="n">
        <v>2</v>
      </c>
      <c r="BT33" s="26" t="inlineStr">
        <is>
          <t>Nos</t>
        </is>
      </c>
      <c r="BU33" s="26" t="n">
        <v>600</v>
      </c>
      <c r="BV33" s="33">
        <f>BS33*BU33</f>
        <v/>
      </c>
      <c r="BW33" s="26" t="n">
        <v>1</v>
      </c>
      <c r="BX33" s="26" t="inlineStr">
        <is>
          <t>Nos</t>
        </is>
      </c>
      <c r="BY33" s="26" t="n">
        <v>600</v>
      </c>
      <c r="BZ33" s="166">
        <f>BW33*BY33</f>
        <v/>
      </c>
      <c r="CA33" s="26" t="n">
        <v>600</v>
      </c>
      <c r="CC33" s="167" t="n">
        <v>29</v>
      </c>
      <c r="CD33" s="26" t="inlineStr">
        <is>
          <t>Temp. Gauge 0 -150 *C</t>
        </is>
      </c>
      <c r="CE33" s="26" t="n">
        <v>1</v>
      </c>
      <c r="CF33" s="26" t="inlineStr">
        <is>
          <t>Nos</t>
        </is>
      </c>
      <c r="CG33" s="26" t="n">
        <v>600</v>
      </c>
      <c r="CH33" s="166">
        <f>CE33*CG33</f>
        <v/>
      </c>
      <c r="CI33" s="26" t="n">
        <v>2</v>
      </c>
      <c r="CJ33" s="26" t="inlineStr">
        <is>
          <t>Nos</t>
        </is>
      </c>
      <c r="CK33" s="26" t="n">
        <v>600</v>
      </c>
      <c r="CL33" s="33">
        <f>CI33*CK33</f>
        <v/>
      </c>
      <c r="CM33" s="26" t="n">
        <v>1</v>
      </c>
      <c r="CN33" s="26" t="inlineStr">
        <is>
          <t>Nos</t>
        </is>
      </c>
      <c r="CO33" s="26" t="n">
        <v>600</v>
      </c>
      <c r="CP33" s="166">
        <f>CM33*CO33</f>
        <v/>
      </c>
      <c r="CQ33" s="26" t="n">
        <v>600</v>
      </c>
      <c r="CS33" s="167" t="n">
        <v>29</v>
      </c>
      <c r="CT33" s="26" t="inlineStr">
        <is>
          <t>Temp. Gauge 0 -150 *C</t>
        </is>
      </c>
      <c r="CU33" s="26" t="n">
        <v>1</v>
      </c>
      <c r="CV33" s="26" t="inlineStr">
        <is>
          <t>Nos</t>
        </is>
      </c>
      <c r="CW33" s="26" t="n">
        <v>600</v>
      </c>
      <c r="CX33" s="166">
        <f>CU33*CW33</f>
        <v/>
      </c>
      <c r="CY33" s="26" t="n">
        <v>2</v>
      </c>
      <c r="CZ33" s="26" t="inlineStr">
        <is>
          <t>Nos</t>
        </is>
      </c>
      <c r="DA33" s="26" t="n">
        <v>600</v>
      </c>
      <c r="DB33" s="33">
        <f>CY33*DA33</f>
        <v/>
      </c>
      <c r="DC33" s="26" t="n">
        <v>1</v>
      </c>
      <c r="DD33" s="26" t="inlineStr">
        <is>
          <t>Nos</t>
        </is>
      </c>
      <c r="DE33" s="26" t="n">
        <v>600</v>
      </c>
      <c r="DF33" s="166">
        <f>DC33*DE33</f>
        <v/>
      </c>
      <c r="DG33" s="26">
        <f>DF33-CP33</f>
        <v/>
      </c>
      <c r="DH33" s="167" t="n">
        <v>29</v>
      </c>
      <c r="DI33" s="26" t="inlineStr">
        <is>
          <t>Temp. Gauge 0 -150 *C</t>
        </is>
      </c>
      <c r="DJ33" s="26" t="n">
        <v>1</v>
      </c>
      <c r="DK33" s="26" t="inlineStr">
        <is>
          <t>Nos</t>
        </is>
      </c>
      <c r="DL33" s="26" t="n">
        <v>600</v>
      </c>
      <c r="DM33" s="166">
        <f>DJ33*DL33</f>
        <v/>
      </c>
      <c r="DN33" s="26" t="n">
        <v>2</v>
      </c>
      <c r="DO33" s="26" t="inlineStr">
        <is>
          <t>Nos</t>
        </is>
      </c>
      <c r="DP33" s="26" t="n">
        <v>600</v>
      </c>
      <c r="DQ33" s="33">
        <f>DN33*DP33</f>
        <v/>
      </c>
      <c r="DR33" s="26" t="n">
        <v>1</v>
      </c>
      <c r="DS33" s="26" t="inlineStr">
        <is>
          <t>Nos</t>
        </is>
      </c>
      <c r="DT33" s="26" t="n">
        <v>600</v>
      </c>
      <c r="DU33" s="166">
        <f>DR33*DT33</f>
        <v/>
      </c>
      <c r="DV33" s="26" t="n">
        <v>600</v>
      </c>
      <c r="DX33" s="167" t="n">
        <v>29</v>
      </c>
      <c r="DY33" s="26" t="inlineStr">
        <is>
          <t>Temp. Gauge 0 -150 *C</t>
        </is>
      </c>
      <c r="DZ33" s="26" t="n">
        <v>1</v>
      </c>
      <c r="EA33" s="26" t="inlineStr">
        <is>
          <t>Nos</t>
        </is>
      </c>
      <c r="EB33" s="26" t="n">
        <v>600</v>
      </c>
      <c r="EC33" s="166">
        <f>DZ33*EB33</f>
        <v/>
      </c>
      <c r="ED33" s="26" t="n">
        <v>2</v>
      </c>
      <c r="EE33" s="26" t="inlineStr">
        <is>
          <t>Nos</t>
        </is>
      </c>
      <c r="EF33" s="26" t="n">
        <v>600</v>
      </c>
      <c r="EG33" s="33">
        <f>ED33*EF33</f>
        <v/>
      </c>
      <c r="EH33" s="26" t="n">
        <v>1</v>
      </c>
      <c r="EI33" s="26" t="inlineStr">
        <is>
          <t>Nos</t>
        </is>
      </c>
      <c r="EJ33" s="26" t="n">
        <v>600</v>
      </c>
      <c r="EK33" s="166">
        <f>EH33*EJ33</f>
        <v/>
      </c>
      <c r="EL33" s="26" t="n">
        <v>600</v>
      </c>
      <c r="EN33" s="167" t="n">
        <v>29</v>
      </c>
      <c r="EO33" s="26" t="inlineStr">
        <is>
          <t>Temp. Gauge 0 -150 *C</t>
        </is>
      </c>
      <c r="EP33" s="26" t="n">
        <v>1</v>
      </c>
      <c r="EQ33" s="26" t="inlineStr">
        <is>
          <t>Nos</t>
        </is>
      </c>
      <c r="ER33" s="26" t="n">
        <v>600</v>
      </c>
      <c r="ES33" s="166">
        <f>EP33*ER33</f>
        <v/>
      </c>
      <c r="ET33" s="26" t="n">
        <v>2</v>
      </c>
      <c r="EU33" s="26" t="inlineStr">
        <is>
          <t>Nos</t>
        </is>
      </c>
      <c r="EV33" s="26" t="n">
        <v>600</v>
      </c>
      <c r="EW33" s="33">
        <f>ET33*EV33</f>
        <v/>
      </c>
      <c r="EX33" s="26" t="n">
        <v>1</v>
      </c>
      <c r="EY33" s="26" t="inlineStr">
        <is>
          <t>Nos</t>
        </is>
      </c>
      <c r="EZ33" s="26" t="n">
        <v>600</v>
      </c>
      <c r="FA33" s="166">
        <f>EX33*EZ33</f>
        <v/>
      </c>
      <c r="FB33" s="26" t="n">
        <v>600</v>
      </c>
    </row>
    <row r="34" ht="15.75" customHeight="1" s="307">
      <c r="A34" s="26" t="n">
        <v>30</v>
      </c>
      <c r="B34" s="26" t="inlineStr">
        <is>
          <t xml:space="preserve">Thermostate </t>
        </is>
      </c>
      <c r="C34" s="30" t="n">
        <v>1</v>
      </c>
      <c r="D34" s="30" t="inlineStr">
        <is>
          <t>Nos</t>
        </is>
      </c>
      <c r="E34" s="30" t="n">
        <v>400</v>
      </c>
      <c r="F34" s="159">
        <f>C34*E34</f>
        <v/>
      </c>
      <c r="G34" s="30" t="n">
        <v>2</v>
      </c>
      <c r="H34" s="30" t="inlineStr">
        <is>
          <t>Nos</t>
        </is>
      </c>
      <c r="I34" s="30" t="n">
        <v>350</v>
      </c>
      <c r="J34" s="34">
        <f>G34*I34</f>
        <v/>
      </c>
      <c r="K34" s="30" t="n">
        <v>1</v>
      </c>
      <c r="L34" s="30" t="inlineStr">
        <is>
          <t>Nos</t>
        </is>
      </c>
      <c r="M34" s="30" t="n">
        <v>350</v>
      </c>
      <c r="N34" s="159">
        <f>K34*M34</f>
        <v/>
      </c>
      <c r="O34" s="30" t="n">
        <v>350</v>
      </c>
      <c r="Q34" s="26" t="n">
        <v>30</v>
      </c>
      <c r="R34" s="26" t="inlineStr">
        <is>
          <t>Indicator</t>
        </is>
      </c>
      <c r="S34" s="26" t="n">
        <v>1</v>
      </c>
      <c r="T34" s="26" t="inlineStr">
        <is>
          <t>Nos</t>
        </is>
      </c>
      <c r="U34" s="26" t="n">
        <v>100</v>
      </c>
      <c r="V34" s="166">
        <f>S34*U34</f>
        <v/>
      </c>
      <c r="W34" s="26" t="n">
        <v>2</v>
      </c>
      <c r="X34" s="26" t="inlineStr">
        <is>
          <t>Nos</t>
        </is>
      </c>
      <c r="Y34" s="26" t="n">
        <v>100</v>
      </c>
      <c r="Z34" s="33">
        <f>W34*Y34</f>
        <v/>
      </c>
      <c r="AA34" s="26" t="n">
        <v>1</v>
      </c>
      <c r="AB34" s="26" t="inlineStr">
        <is>
          <t>Nos</t>
        </is>
      </c>
      <c r="AC34" s="26" t="n">
        <v>100</v>
      </c>
      <c r="AD34" s="166">
        <f>AA34*AC34</f>
        <v/>
      </c>
      <c r="AE34" s="26" t="n">
        <v>100</v>
      </c>
      <c r="AG34" s="167" t="n">
        <v>30</v>
      </c>
      <c r="AH34" s="26" t="inlineStr">
        <is>
          <t xml:space="preserve">Thermostate </t>
        </is>
      </c>
      <c r="AI34" s="26" t="n">
        <v>1</v>
      </c>
      <c r="AJ34" s="26" t="inlineStr">
        <is>
          <t>Nos</t>
        </is>
      </c>
      <c r="AK34" s="26" t="n">
        <v>400</v>
      </c>
      <c r="AL34" s="166">
        <f>AI34*AK34</f>
        <v/>
      </c>
      <c r="AM34" s="26" t="n">
        <v>2</v>
      </c>
      <c r="AN34" s="26" t="inlineStr">
        <is>
          <t>Nos</t>
        </is>
      </c>
      <c r="AO34" s="26" t="n">
        <v>350</v>
      </c>
      <c r="AP34" s="33">
        <f>AM34*AO34</f>
        <v/>
      </c>
      <c r="AQ34" s="26" t="n">
        <v>1</v>
      </c>
      <c r="AR34" s="26" t="inlineStr">
        <is>
          <t>Nos</t>
        </is>
      </c>
      <c r="AS34" s="26" t="n">
        <v>350</v>
      </c>
      <c r="AT34" s="166">
        <f>AQ34*AS34</f>
        <v/>
      </c>
      <c r="AU34" s="26" t="n">
        <v>350</v>
      </c>
      <c r="AW34" s="167" t="n">
        <v>30</v>
      </c>
      <c r="AX34" s="26" t="inlineStr">
        <is>
          <t xml:space="preserve">Thermostate </t>
        </is>
      </c>
      <c r="AY34" s="26" t="n">
        <v>1</v>
      </c>
      <c r="AZ34" s="26" t="inlineStr">
        <is>
          <t>Nos</t>
        </is>
      </c>
      <c r="BA34" s="26" t="n">
        <v>400</v>
      </c>
      <c r="BB34" s="166" t="n">
        <v>350</v>
      </c>
      <c r="BC34" s="26" t="n">
        <v>2</v>
      </c>
      <c r="BD34" s="26" t="inlineStr">
        <is>
          <t>Nos</t>
        </is>
      </c>
      <c r="BE34" s="26" t="n">
        <v>350</v>
      </c>
      <c r="BF34" s="33">
        <f>BC34*BE34</f>
        <v/>
      </c>
      <c r="BG34" s="26" t="n">
        <v>1</v>
      </c>
      <c r="BH34" s="26" t="inlineStr">
        <is>
          <t>Nos</t>
        </is>
      </c>
      <c r="BI34" s="26" t="n">
        <v>350</v>
      </c>
      <c r="BJ34" s="166">
        <f>BG34*BI34</f>
        <v/>
      </c>
      <c r="BK34" s="26" t="n">
        <v>230</v>
      </c>
      <c r="BM34" s="167" t="n">
        <v>30</v>
      </c>
      <c r="BN34" s="26" t="inlineStr">
        <is>
          <t xml:space="preserve">Thermostate </t>
        </is>
      </c>
      <c r="BO34" s="26" t="n">
        <v>1</v>
      </c>
      <c r="BP34" s="26" t="inlineStr">
        <is>
          <t>Nos</t>
        </is>
      </c>
      <c r="BQ34" s="26" t="n">
        <v>400</v>
      </c>
      <c r="BR34" s="166">
        <f>BO34*BQ34</f>
        <v/>
      </c>
      <c r="BS34" s="26" t="n">
        <v>2</v>
      </c>
      <c r="BT34" s="26" t="inlineStr">
        <is>
          <t>Nos</t>
        </is>
      </c>
      <c r="BU34" s="26" t="n">
        <v>350</v>
      </c>
      <c r="BV34" s="33">
        <f>BS34*BU34</f>
        <v/>
      </c>
      <c r="BW34" s="26" t="n">
        <v>1</v>
      </c>
      <c r="BX34" s="26" t="inlineStr">
        <is>
          <t>Nos</t>
        </is>
      </c>
      <c r="BY34" s="26" t="n">
        <v>350</v>
      </c>
      <c r="BZ34" s="166">
        <f>BW34*BY34</f>
        <v/>
      </c>
      <c r="CA34" s="26" t="n">
        <v>350</v>
      </c>
      <c r="CC34" s="167" t="n">
        <v>30</v>
      </c>
      <c r="CD34" s="26" t="inlineStr">
        <is>
          <t xml:space="preserve">Thermostate </t>
        </is>
      </c>
      <c r="CE34" s="26" t="n">
        <v>1</v>
      </c>
      <c r="CF34" s="26" t="inlineStr">
        <is>
          <t>Nos</t>
        </is>
      </c>
      <c r="CG34" s="26" t="n">
        <v>400</v>
      </c>
      <c r="CH34" s="166">
        <f>CE34*CG34</f>
        <v/>
      </c>
      <c r="CI34" s="26" t="n">
        <v>2</v>
      </c>
      <c r="CJ34" s="26" t="inlineStr">
        <is>
          <t>Nos</t>
        </is>
      </c>
      <c r="CK34" s="26" t="n">
        <v>350</v>
      </c>
      <c r="CL34" s="33">
        <f>CI34*CK34</f>
        <v/>
      </c>
      <c r="CM34" s="26" t="n">
        <v>1</v>
      </c>
      <c r="CN34" s="26" t="inlineStr">
        <is>
          <t>Nos</t>
        </is>
      </c>
      <c r="CO34" s="26" t="n">
        <v>350</v>
      </c>
      <c r="CP34" s="166">
        <f>CM34*CO34</f>
        <v/>
      </c>
      <c r="CQ34" s="26" t="n">
        <v>350</v>
      </c>
      <c r="CS34" s="167" t="n">
        <v>30</v>
      </c>
      <c r="CT34" s="26" t="inlineStr">
        <is>
          <t xml:space="preserve">Thermostate </t>
        </is>
      </c>
      <c r="CU34" s="26" t="n">
        <v>1</v>
      </c>
      <c r="CV34" s="26" t="inlineStr">
        <is>
          <t>Nos</t>
        </is>
      </c>
      <c r="CW34" s="26" t="n">
        <v>350</v>
      </c>
      <c r="CX34" s="166">
        <f>CU34*CW34</f>
        <v/>
      </c>
      <c r="CY34" s="26" t="n">
        <v>2</v>
      </c>
      <c r="CZ34" s="26" t="inlineStr">
        <is>
          <t>Nos</t>
        </is>
      </c>
      <c r="DA34" s="26" t="n">
        <v>350</v>
      </c>
      <c r="DB34" s="33">
        <f>CY34*DA34</f>
        <v/>
      </c>
      <c r="DC34" s="26" t="n">
        <v>1</v>
      </c>
      <c r="DD34" s="26" t="inlineStr">
        <is>
          <t>Nos</t>
        </is>
      </c>
      <c r="DE34" s="26" t="n">
        <v>350</v>
      </c>
      <c r="DF34" s="166">
        <f>DC34*DE34</f>
        <v/>
      </c>
      <c r="DG34" s="26">
        <f>DF34-CP34</f>
        <v/>
      </c>
      <c r="DH34" s="167" t="n">
        <v>30</v>
      </c>
      <c r="DI34" s="26" t="inlineStr">
        <is>
          <t xml:space="preserve">Thermostate </t>
        </is>
      </c>
      <c r="DJ34" s="26" t="n">
        <v>1</v>
      </c>
      <c r="DK34" s="26" t="inlineStr">
        <is>
          <t>Nos</t>
        </is>
      </c>
      <c r="DL34" s="26" t="n">
        <v>350</v>
      </c>
      <c r="DM34" s="166">
        <f>DJ34*DL34</f>
        <v/>
      </c>
      <c r="DN34" s="26" t="n">
        <v>2</v>
      </c>
      <c r="DO34" s="26" t="inlineStr">
        <is>
          <t>Nos</t>
        </is>
      </c>
      <c r="DP34" s="26" t="n">
        <v>350</v>
      </c>
      <c r="DQ34" s="33">
        <f>DN34*DP34</f>
        <v/>
      </c>
      <c r="DR34" s="26" t="n">
        <v>1</v>
      </c>
      <c r="DS34" s="26" t="inlineStr">
        <is>
          <t>Nos</t>
        </is>
      </c>
      <c r="DT34" s="26" t="n">
        <v>350</v>
      </c>
      <c r="DU34" s="166">
        <f>DR34*DT34</f>
        <v/>
      </c>
      <c r="DV34" s="26" t="n">
        <v>350</v>
      </c>
      <c r="DX34" s="167" t="n">
        <v>30</v>
      </c>
      <c r="DY34" s="26" t="inlineStr">
        <is>
          <t xml:space="preserve">Thermostate </t>
        </is>
      </c>
      <c r="DZ34" s="26" t="n">
        <v>1</v>
      </c>
      <c r="EA34" s="26" t="inlineStr">
        <is>
          <t>Nos</t>
        </is>
      </c>
      <c r="EB34" s="26" t="n">
        <v>350</v>
      </c>
      <c r="EC34" s="166">
        <f>DZ34*EB34</f>
        <v/>
      </c>
      <c r="ED34" s="26" t="n">
        <v>2</v>
      </c>
      <c r="EE34" s="26" t="inlineStr">
        <is>
          <t>Nos</t>
        </is>
      </c>
      <c r="EF34" s="26" t="n">
        <v>350</v>
      </c>
      <c r="EG34" s="33">
        <f>ED34*EF34</f>
        <v/>
      </c>
      <c r="EH34" s="26" t="n">
        <v>1</v>
      </c>
      <c r="EI34" s="26" t="inlineStr">
        <is>
          <t>Nos</t>
        </is>
      </c>
      <c r="EJ34" s="26" t="n">
        <v>350</v>
      </c>
      <c r="EK34" s="166">
        <f>EH34*EJ34</f>
        <v/>
      </c>
      <c r="EL34" s="26" t="n">
        <v>350</v>
      </c>
      <c r="EN34" s="167" t="n">
        <v>30</v>
      </c>
      <c r="EO34" s="26" t="inlineStr">
        <is>
          <t xml:space="preserve">Thermostate </t>
        </is>
      </c>
      <c r="EP34" s="26" t="n">
        <v>2</v>
      </c>
      <c r="EQ34" s="26" t="inlineStr">
        <is>
          <t>Nos</t>
        </is>
      </c>
      <c r="ER34" s="26" t="n">
        <v>350</v>
      </c>
      <c r="ES34" s="166">
        <f>EP34*ER34</f>
        <v/>
      </c>
      <c r="ET34" s="26" t="n">
        <v>4</v>
      </c>
      <c r="EU34" s="26" t="inlineStr">
        <is>
          <t>Nos</t>
        </is>
      </c>
      <c r="EV34" s="26" t="n">
        <v>350</v>
      </c>
      <c r="EW34" s="33">
        <f>ET34*EV34</f>
        <v/>
      </c>
      <c r="EX34" s="26" t="n">
        <v>2</v>
      </c>
      <c r="EY34" s="26" t="inlineStr">
        <is>
          <t>Nos</t>
        </is>
      </c>
      <c r="EZ34" s="26" t="n">
        <v>350</v>
      </c>
      <c r="FA34" s="166">
        <f>EX34*EZ34</f>
        <v/>
      </c>
      <c r="FB34" s="26" t="n">
        <v>350</v>
      </c>
    </row>
    <row r="35" ht="15.75" customHeight="1" s="307">
      <c r="A35" s="26" t="n">
        <v>31</v>
      </c>
      <c r="B35" s="26" t="inlineStr">
        <is>
          <t>Indicator</t>
        </is>
      </c>
      <c r="C35" s="30" t="n">
        <v>1</v>
      </c>
      <c r="D35" s="30" t="inlineStr">
        <is>
          <t>Nos</t>
        </is>
      </c>
      <c r="E35" s="30" t="n">
        <v>100</v>
      </c>
      <c r="F35" s="159">
        <f>C35*E35</f>
        <v/>
      </c>
      <c r="G35" s="30" t="n">
        <v>2</v>
      </c>
      <c r="H35" s="30" t="inlineStr">
        <is>
          <t>Nos</t>
        </is>
      </c>
      <c r="I35" s="30" t="n">
        <v>100</v>
      </c>
      <c r="J35" s="34">
        <f>G35*I35</f>
        <v/>
      </c>
      <c r="K35" s="30" t="n">
        <v>1</v>
      </c>
      <c r="L35" s="30" t="inlineStr">
        <is>
          <t>Nos</t>
        </is>
      </c>
      <c r="M35" s="30" t="n">
        <v>100</v>
      </c>
      <c r="N35" s="159">
        <f>K35*M35</f>
        <v/>
      </c>
      <c r="O35" s="30" t="n">
        <v>100</v>
      </c>
      <c r="Q35" s="26" t="n">
        <v>31</v>
      </c>
      <c r="R35" s="26" t="inlineStr">
        <is>
          <t>Connecting Plate</t>
        </is>
      </c>
      <c r="S35" s="26" t="n">
        <v>1</v>
      </c>
      <c r="T35" s="26" t="inlineStr">
        <is>
          <t>Nos</t>
        </is>
      </c>
      <c r="U35" s="26" t="n">
        <v>150</v>
      </c>
      <c r="V35" s="166">
        <f>S35*U35</f>
        <v/>
      </c>
      <c r="W35" s="26" t="n">
        <v>2</v>
      </c>
      <c r="X35" s="26" t="inlineStr">
        <is>
          <t>Nos</t>
        </is>
      </c>
      <c r="Y35" s="26" t="n">
        <v>100</v>
      </c>
      <c r="Z35" s="33">
        <f>W35*Y35</f>
        <v/>
      </c>
      <c r="AA35" s="26" t="n">
        <v>1</v>
      </c>
      <c r="AB35" s="26" t="inlineStr">
        <is>
          <t>Nos</t>
        </is>
      </c>
      <c r="AC35" s="26" t="n">
        <v>100</v>
      </c>
      <c r="AD35" s="166">
        <f>AA35*AC35</f>
        <v/>
      </c>
      <c r="AE35" s="26" t="n">
        <v>100</v>
      </c>
      <c r="AG35" s="167" t="n">
        <v>31</v>
      </c>
      <c r="AH35" s="26" t="inlineStr">
        <is>
          <t>Indicator</t>
        </is>
      </c>
      <c r="AI35" s="26" t="n">
        <v>1</v>
      </c>
      <c r="AJ35" s="26" t="inlineStr">
        <is>
          <t>Nos</t>
        </is>
      </c>
      <c r="AK35" s="26" t="n">
        <v>100</v>
      </c>
      <c r="AL35" s="166">
        <f>AI35*AK35</f>
        <v/>
      </c>
      <c r="AM35" s="26" t="n">
        <v>2</v>
      </c>
      <c r="AN35" s="26" t="inlineStr">
        <is>
          <t>Nos</t>
        </is>
      </c>
      <c r="AO35" s="26" t="n">
        <v>100</v>
      </c>
      <c r="AP35" s="33">
        <f>AM35*AO35</f>
        <v/>
      </c>
      <c r="AQ35" s="26" t="n">
        <v>1</v>
      </c>
      <c r="AR35" s="26" t="inlineStr">
        <is>
          <t>Nos</t>
        </is>
      </c>
      <c r="AS35" s="26" t="n">
        <v>100</v>
      </c>
      <c r="AT35" s="166">
        <f>AQ35*AS35</f>
        <v/>
      </c>
      <c r="AU35" s="26" t="n">
        <v>100</v>
      </c>
      <c r="AW35" s="167" t="n">
        <v>31</v>
      </c>
      <c r="AX35" s="26" t="inlineStr">
        <is>
          <t>Indicator</t>
        </is>
      </c>
      <c r="AY35" s="26" t="n">
        <v>1</v>
      </c>
      <c r="AZ35" s="26" t="inlineStr">
        <is>
          <t>Nos</t>
        </is>
      </c>
      <c r="BA35" s="26" t="n">
        <v>100</v>
      </c>
      <c r="BB35" s="166">
        <f>AY35*BA35</f>
        <v/>
      </c>
      <c r="BC35" s="26" t="n">
        <v>2</v>
      </c>
      <c r="BD35" s="26" t="inlineStr">
        <is>
          <t>Nos</t>
        </is>
      </c>
      <c r="BE35" s="26" t="n">
        <v>100</v>
      </c>
      <c r="BF35" s="33">
        <f>BC35*BE35</f>
        <v/>
      </c>
      <c r="BG35" s="26" t="n">
        <v>1</v>
      </c>
      <c r="BH35" s="26" t="inlineStr">
        <is>
          <t>Nos</t>
        </is>
      </c>
      <c r="BI35" s="26" t="n">
        <v>100</v>
      </c>
      <c r="BJ35" s="166">
        <f>BG35*BI35</f>
        <v/>
      </c>
      <c r="BK35" s="26" t="n">
        <v>100</v>
      </c>
      <c r="BM35" s="167" t="n">
        <v>31</v>
      </c>
      <c r="BN35" s="26" t="inlineStr">
        <is>
          <t>Indicator</t>
        </is>
      </c>
      <c r="BO35" s="26" t="n">
        <v>1</v>
      </c>
      <c r="BP35" s="26" t="inlineStr">
        <is>
          <t>Nos</t>
        </is>
      </c>
      <c r="BQ35" s="26" t="n">
        <v>100</v>
      </c>
      <c r="BR35" s="166">
        <f>BO35*BQ35</f>
        <v/>
      </c>
      <c r="BS35" s="26" t="n">
        <v>2</v>
      </c>
      <c r="BT35" s="26" t="inlineStr">
        <is>
          <t>Nos</t>
        </is>
      </c>
      <c r="BU35" s="26" t="n">
        <v>100</v>
      </c>
      <c r="BV35" s="33">
        <f>BS35*BU35</f>
        <v/>
      </c>
      <c r="BW35" s="26" t="n">
        <v>1</v>
      </c>
      <c r="BX35" s="26" t="inlineStr">
        <is>
          <t>Nos</t>
        </is>
      </c>
      <c r="BY35" s="26" t="n">
        <v>100</v>
      </c>
      <c r="BZ35" s="166">
        <f>BW35*BY35</f>
        <v/>
      </c>
      <c r="CA35" s="26" t="n">
        <v>100</v>
      </c>
      <c r="CC35" s="167" t="n">
        <v>31</v>
      </c>
      <c r="CD35" s="26" t="inlineStr">
        <is>
          <t>Indicator</t>
        </is>
      </c>
      <c r="CE35" s="26" t="n">
        <v>1</v>
      </c>
      <c r="CF35" s="26" t="inlineStr">
        <is>
          <t>Nos</t>
        </is>
      </c>
      <c r="CG35" s="26" t="n">
        <v>100</v>
      </c>
      <c r="CH35" s="166">
        <f>CE35*CG35</f>
        <v/>
      </c>
      <c r="CI35" s="26" t="n">
        <v>2</v>
      </c>
      <c r="CJ35" s="26" t="inlineStr">
        <is>
          <t>Nos</t>
        </is>
      </c>
      <c r="CK35" s="26" t="n">
        <v>100</v>
      </c>
      <c r="CL35" s="33">
        <f>CI35*CK35</f>
        <v/>
      </c>
      <c r="CM35" s="26" t="n">
        <v>1</v>
      </c>
      <c r="CN35" s="26" t="inlineStr">
        <is>
          <t>Nos</t>
        </is>
      </c>
      <c r="CO35" s="26" t="n">
        <v>100</v>
      </c>
      <c r="CP35" s="166">
        <f>CM35*CO35</f>
        <v/>
      </c>
      <c r="CQ35" s="26" t="n">
        <v>100</v>
      </c>
      <c r="CS35" s="167" t="n">
        <v>31</v>
      </c>
      <c r="CT35" s="26" t="inlineStr">
        <is>
          <t>Indicator</t>
        </is>
      </c>
      <c r="CU35" s="26" t="n">
        <v>1</v>
      </c>
      <c r="CV35" s="26" t="inlineStr">
        <is>
          <t>Nos</t>
        </is>
      </c>
      <c r="CW35" s="26" t="n">
        <v>100</v>
      </c>
      <c r="CX35" s="166">
        <f>CU35*CW35</f>
        <v/>
      </c>
      <c r="CY35" s="26" t="n">
        <v>2</v>
      </c>
      <c r="CZ35" s="26" t="inlineStr">
        <is>
          <t>Nos</t>
        </is>
      </c>
      <c r="DA35" s="26" t="n">
        <v>100</v>
      </c>
      <c r="DB35" s="33">
        <f>CY35*DA35</f>
        <v/>
      </c>
      <c r="DC35" s="26" t="n">
        <v>1</v>
      </c>
      <c r="DD35" s="26" t="inlineStr">
        <is>
          <t>Nos</t>
        </is>
      </c>
      <c r="DE35" s="26" t="n">
        <v>100</v>
      </c>
      <c r="DF35" s="166">
        <f>DC35*DE35</f>
        <v/>
      </c>
      <c r="DG35" s="26">
        <f>DF35-CP35</f>
        <v/>
      </c>
      <c r="DH35" s="167" t="n">
        <v>31</v>
      </c>
      <c r="DI35" s="26" t="inlineStr">
        <is>
          <t>Indicator</t>
        </is>
      </c>
      <c r="DJ35" s="26" t="n">
        <v>1</v>
      </c>
      <c r="DK35" s="26" t="inlineStr">
        <is>
          <t>Nos</t>
        </is>
      </c>
      <c r="DL35" s="26" t="n">
        <v>100</v>
      </c>
      <c r="DM35" s="166">
        <f>DJ35*DL35</f>
        <v/>
      </c>
      <c r="DN35" s="26" t="n">
        <v>2</v>
      </c>
      <c r="DO35" s="26" t="inlineStr">
        <is>
          <t>Nos</t>
        </is>
      </c>
      <c r="DP35" s="26" t="n">
        <v>100</v>
      </c>
      <c r="DQ35" s="33">
        <f>DN35*DP35</f>
        <v/>
      </c>
      <c r="DR35" s="26" t="n">
        <v>1</v>
      </c>
      <c r="DS35" s="26" t="inlineStr">
        <is>
          <t>Nos</t>
        </is>
      </c>
      <c r="DT35" s="26" t="n">
        <v>100</v>
      </c>
      <c r="DU35" s="166">
        <f>DR35*DT35</f>
        <v/>
      </c>
      <c r="DV35" s="26" t="n">
        <v>100</v>
      </c>
      <c r="DX35" s="167" t="n">
        <v>31</v>
      </c>
      <c r="DY35" s="26" t="inlineStr">
        <is>
          <t>Indicator</t>
        </is>
      </c>
      <c r="DZ35" s="26" t="n">
        <v>1</v>
      </c>
      <c r="EA35" s="26" t="inlineStr">
        <is>
          <t>Nos</t>
        </is>
      </c>
      <c r="EB35" s="26" t="n">
        <v>100</v>
      </c>
      <c r="EC35" s="166">
        <f>DZ35*EB35</f>
        <v/>
      </c>
      <c r="ED35" s="26" t="n">
        <v>2</v>
      </c>
      <c r="EE35" s="26" t="inlineStr">
        <is>
          <t>Nos</t>
        </is>
      </c>
      <c r="EF35" s="26" t="n">
        <v>100</v>
      </c>
      <c r="EG35" s="33">
        <f>ED35*EF35</f>
        <v/>
      </c>
      <c r="EH35" s="26" t="n">
        <v>1</v>
      </c>
      <c r="EI35" s="26" t="inlineStr">
        <is>
          <t>Nos</t>
        </is>
      </c>
      <c r="EJ35" s="26" t="n">
        <v>100</v>
      </c>
      <c r="EK35" s="166">
        <f>EH35*EJ35</f>
        <v/>
      </c>
      <c r="EL35" s="26" t="n">
        <v>100</v>
      </c>
      <c r="EN35" s="167" t="n">
        <v>31</v>
      </c>
      <c r="EO35" s="26" t="inlineStr">
        <is>
          <t>Indicator</t>
        </is>
      </c>
      <c r="EP35" s="26" t="n">
        <v>1</v>
      </c>
      <c r="EQ35" s="26" t="inlineStr">
        <is>
          <t>Nos</t>
        </is>
      </c>
      <c r="ER35" s="26" t="n">
        <v>100</v>
      </c>
      <c r="ES35" s="166">
        <f>EP35*ER35</f>
        <v/>
      </c>
      <c r="ET35" s="26" t="n">
        <v>2</v>
      </c>
      <c r="EU35" s="26" t="inlineStr">
        <is>
          <t>Nos</t>
        </is>
      </c>
      <c r="EV35" s="26" t="n">
        <v>100</v>
      </c>
      <c r="EW35" s="33">
        <f>ET35*EV35</f>
        <v/>
      </c>
      <c r="EX35" s="26" t="n">
        <v>1</v>
      </c>
      <c r="EY35" s="26" t="inlineStr">
        <is>
          <t>Nos</t>
        </is>
      </c>
      <c r="EZ35" s="26" t="n">
        <v>100</v>
      </c>
      <c r="FA35" s="166">
        <f>EX35*EZ35</f>
        <v/>
      </c>
      <c r="FB35" s="26" t="n">
        <v>100</v>
      </c>
    </row>
    <row r="36" ht="15.75" customHeight="1" s="307">
      <c r="A36" s="26" t="n">
        <v>32</v>
      </c>
      <c r="B36" s="26" t="inlineStr">
        <is>
          <t>Connecting Plate</t>
        </is>
      </c>
      <c r="C36" s="30" t="n">
        <v>1</v>
      </c>
      <c r="D36" s="30" t="inlineStr">
        <is>
          <t>Nos</t>
        </is>
      </c>
      <c r="E36" s="30" t="n">
        <v>150</v>
      </c>
      <c r="F36" s="159">
        <f>C36*E36</f>
        <v/>
      </c>
      <c r="G36" s="30" t="n">
        <v>2</v>
      </c>
      <c r="H36" s="30" t="inlineStr">
        <is>
          <t>Nos</t>
        </is>
      </c>
      <c r="I36" s="30" t="n">
        <v>100</v>
      </c>
      <c r="J36" s="34">
        <f>G36*I36</f>
        <v/>
      </c>
      <c r="K36" s="30" t="n">
        <v>1</v>
      </c>
      <c r="L36" s="30" t="inlineStr">
        <is>
          <t>Nos</t>
        </is>
      </c>
      <c r="M36" s="30" t="n">
        <v>100</v>
      </c>
      <c r="N36" s="159">
        <f>K36*M36</f>
        <v/>
      </c>
      <c r="O36" s="30" t="n">
        <v>100</v>
      </c>
      <c r="Q36" s="26" t="n">
        <v>32</v>
      </c>
      <c r="R36" s="26" t="inlineStr">
        <is>
          <t xml:space="preserve">Thimble </t>
        </is>
      </c>
      <c r="S36" s="26" t="n">
        <v>9</v>
      </c>
      <c r="T36" s="26" t="inlineStr">
        <is>
          <t>Nos</t>
        </is>
      </c>
      <c r="U36" s="26" t="n">
        <v>7</v>
      </c>
      <c r="V36" s="166">
        <f>S36*U36</f>
        <v/>
      </c>
      <c r="W36" s="26" t="n">
        <v>18</v>
      </c>
      <c r="X36" s="26" t="inlineStr">
        <is>
          <t>Nos</t>
        </is>
      </c>
      <c r="Y36" s="26" t="n">
        <v>7</v>
      </c>
      <c r="Z36" s="33">
        <f>W36*Y36</f>
        <v/>
      </c>
      <c r="AA36" s="26" t="n">
        <v>9</v>
      </c>
      <c r="AB36" s="26" t="inlineStr">
        <is>
          <t>Nos</t>
        </is>
      </c>
      <c r="AC36" s="26" t="n">
        <v>7</v>
      </c>
      <c r="AD36" s="166">
        <f>AA36*AC36</f>
        <v/>
      </c>
      <c r="AE36" s="26" t="n">
        <v>7</v>
      </c>
      <c r="AG36" s="167" t="n">
        <v>32</v>
      </c>
      <c r="AH36" s="26" t="inlineStr">
        <is>
          <t>Connecting Plate</t>
        </is>
      </c>
      <c r="AI36" s="26" t="n">
        <v>1</v>
      </c>
      <c r="AJ36" s="26" t="inlineStr">
        <is>
          <t>Nos</t>
        </is>
      </c>
      <c r="AK36" s="26" t="n">
        <v>150</v>
      </c>
      <c r="AL36" s="166">
        <f>AI36*AK36</f>
        <v/>
      </c>
      <c r="AM36" s="26" t="n">
        <v>2</v>
      </c>
      <c r="AN36" s="26" t="inlineStr">
        <is>
          <t>Nos</t>
        </is>
      </c>
      <c r="AO36" s="26" t="n">
        <v>100</v>
      </c>
      <c r="AP36" s="33">
        <f>AM36*AO36</f>
        <v/>
      </c>
      <c r="AQ36" s="26" t="n">
        <v>1</v>
      </c>
      <c r="AR36" s="26" t="inlineStr">
        <is>
          <t>Nos</t>
        </is>
      </c>
      <c r="AS36" s="26" t="n">
        <v>100</v>
      </c>
      <c r="AT36" s="166">
        <f>AQ36*AS36</f>
        <v/>
      </c>
      <c r="AU36" s="26" t="n">
        <v>100</v>
      </c>
      <c r="AW36" s="167" t="n">
        <v>32</v>
      </c>
      <c r="AX36" s="26" t="inlineStr">
        <is>
          <t>Connecting Plate</t>
        </is>
      </c>
      <c r="AY36" s="26" t="n">
        <v>1</v>
      </c>
      <c r="AZ36" s="26" t="inlineStr">
        <is>
          <t>Nos</t>
        </is>
      </c>
      <c r="BA36" s="26" t="n">
        <v>150</v>
      </c>
      <c r="BB36" s="166">
        <f>AY36*BA36</f>
        <v/>
      </c>
      <c r="BC36" s="26" t="n">
        <v>2</v>
      </c>
      <c r="BD36" s="26" t="inlineStr">
        <is>
          <t>Nos</t>
        </is>
      </c>
      <c r="BE36" s="26" t="n">
        <v>100</v>
      </c>
      <c r="BF36" s="33">
        <f>BC36*BE36</f>
        <v/>
      </c>
      <c r="BG36" s="26" t="n">
        <v>1</v>
      </c>
      <c r="BH36" s="26" t="inlineStr">
        <is>
          <t>Nos</t>
        </is>
      </c>
      <c r="BI36" s="26" t="n">
        <v>100</v>
      </c>
      <c r="BJ36" s="166">
        <f>BG36*BI36</f>
        <v/>
      </c>
      <c r="BK36" s="26" t="n">
        <v>100</v>
      </c>
      <c r="BM36" s="167" t="n">
        <v>32</v>
      </c>
      <c r="BN36" s="26" t="inlineStr">
        <is>
          <t>Connecting Plate</t>
        </is>
      </c>
      <c r="BO36" s="26" t="n">
        <v>1</v>
      </c>
      <c r="BP36" s="26" t="inlineStr">
        <is>
          <t>Nos</t>
        </is>
      </c>
      <c r="BQ36" s="26" t="n">
        <v>150</v>
      </c>
      <c r="BR36" s="166">
        <f>BO36*BQ36</f>
        <v/>
      </c>
      <c r="BS36" s="26" t="n">
        <v>2</v>
      </c>
      <c r="BT36" s="26" t="inlineStr">
        <is>
          <t>Nos</t>
        </is>
      </c>
      <c r="BU36" s="26" t="n">
        <v>100</v>
      </c>
      <c r="BV36" s="33">
        <f>BS36*BU36</f>
        <v/>
      </c>
      <c r="BW36" s="26" t="n">
        <v>1</v>
      </c>
      <c r="BX36" s="26" t="inlineStr">
        <is>
          <t>Nos</t>
        </is>
      </c>
      <c r="BY36" s="26" t="n">
        <v>100</v>
      </c>
      <c r="BZ36" s="166">
        <f>BW36*BY36</f>
        <v/>
      </c>
      <c r="CA36" s="26" t="n">
        <v>100</v>
      </c>
      <c r="CC36" s="167" t="n">
        <v>32</v>
      </c>
      <c r="CD36" s="26" t="inlineStr">
        <is>
          <t>Connecting Plate</t>
        </is>
      </c>
      <c r="CE36" s="26" t="n">
        <v>1</v>
      </c>
      <c r="CF36" s="26" t="inlineStr">
        <is>
          <t>Nos</t>
        </is>
      </c>
      <c r="CG36" s="26" t="n">
        <v>150</v>
      </c>
      <c r="CH36" s="166">
        <f>CE36*CG36</f>
        <v/>
      </c>
      <c r="CI36" s="26" t="n">
        <v>2</v>
      </c>
      <c r="CJ36" s="26" t="inlineStr">
        <is>
          <t>Nos</t>
        </is>
      </c>
      <c r="CK36" s="26" t="n">
        <v>100</v>
      </c>
      <c r="CL36" s="33">
        <f>CI36*CK36</f>
        <v/>
      </c>
      <c r="CM36" s="26" t="n">
        <v>1</v>
      </c>
      <c r="CN36" s="26" t="inlineStr">
        <is>
          <t>Nos</t>
        </is>
      </c>
      <c r="CO36" s="26" t="n">
        <v>100</v>
      </c>
      <c r="CP36" s="166">
        <f>CM36*CO36</f>
        <v/>
      </c>
      <c r="CQ36" s="26" t="n">
        <v>100</v>
      </c>
      <c r="CS36" s="167" t="n">
        <v>32</v>
      </c>
      <c r="CT36" s="26" t="inlineStr">
        <is>
          <t>Connecting Plate</t>
        </is>
      </c>
      <c r="CU36" s="26" t="n">
        <v>1</v>
      </c>
      <c r="CV36" s="26" t="inlineStr">
        <is>
          <t>Nos</t>
        </is>
      </c>
      <c r="CW36" s="26" t="n">
        <v>150</v>
      </c>
      <c r="CX36" s="166">
        <f>CU36*CW36</f>
        <v/>
      </c>
      <c r="CY36" s="26" t="n">
        <v>2</v>
      </c>
      <c r="CZ36" s="26" t="inlineStr">
        <is>
          <t>Nos</t>
        </is>
      </c>
      <c r="DA36" s="26" t="n">
        <v>100</v>
      </c>
      <c r="DB36" s="33">
        <f>CY36*DA36</f>
        <v/>
      </c>
      <c r="DC36" s="26" t="n">
        <v>1</v>
      </c>
      <c r="DD36" s="26" t="inlineStr">
        <is>
          <t>Nos</t>
        </is>
      </c>
      <c r="DE36" s="26" t="n">
        <v>100</v>
      </c>
      <c r="DF36" s="166">
        <f>DC36*DE36</f>
        <v/>
      </c>
      <c r="DG36" s="26">
        <f>DF36-CP36</f>
        <v/>
      </c>
      <c r="DH36" s="167" t="n">
        <v>32</v>
      </c>
      <c r="DI36" s="26" t="inlineStr">
        <is>
          <t>Connecting Plate</t>
        </is>
      </c>
      <c r="DJ36" s="26" t="n">
        <v>1</v>
      </c>
      <c r="DK36" s="26" t="inlineStr">
        <is>
          <t>Nos</t>
        </is>
      </c>
      <c r="DL36" s="26" t="n">
        <v>150</v>
      </c>
      <c r="DM36" s="166">
        <f>DJ36*DL36</f>
        <v/>
      </c>
      <c r="DN36" s="26" t="n">
        <v>2</v>
      </c>
      <c r="DO36" s="26" t="inlineStr">
        <is>
          <t>Nos</t>
        </is>
      </c>
      <c r="DP36" s="26" t="n">
        <v>100</v>
      </c>
      <c r="DQ36" s="33">
        <f>DN36*DP36</f>
        <v/>
      </c>
      <c r="DR36" s="26" t="n">
        <v>1</v>
      </c>
      <c r="DS36" s="26" t="inlineStr">
        <is>
          <t>Nos</t>
        </is>
      </c>
      <c r="DT36" s="26" t="n">
        <v>100</v>
      </c>
      <c r="DU36" s="166">
        <f>DR36*DT36</f>
        <v/>
      </c>
      <c r="DV36" s="26" t="n">
        <v>100</v>
      </c>
      <c r="DX36" s="167" t="n">
        <v>32</v>
      </c>
      <c r="DY36" s="26" t="inlineStr">
        <is>
          <t>Connecting Plate</t>
        </is>
      </c>
      <c r="DZ36" s="26" t="n">
        <v>1</v>
      </c>
      <c r="EA36" s="26" t="inlineStr">
        <is>
          <t>Nos</t>
        </is>
      </c>
      <c r="EB36" s="26" t="n">
        <v>150</v>
      </c>
      <c r="EC36" s="166">
        <f>DZ36*EB36</f>
        <v/>
      </c>
      <c r="ED36" s="26" t="n">
        <v>2</v>
      </c>
      <c r="EE36" s="26" t="inlineStr">
        <is>
          <t>Nos</t>
        </is>
      </c>
      <c r="EF36" s="26" t="n">
        <v>100</v>
      </c>
      <c r="EG36" s="33">
        <f>ED36*EF36</f>
        <v/>
      </c>
      <c r="EH36" s="26" t="n">
        <v>1</v>
      </c>
      <c r="EI36" s="26" t="inlineStr">
        <is>
          <t>Nos</t>
        </is>
      </c>
      <c r="EJ36" s="26" t="n">
        <v>100</v>
      </c>
      <c r="EK36" s="166">
        <f>EH36*EJ36</f>
        <v/>
      </c>
      <c r="EL36" s="26" t="n">
        <v>100</v>
      </c>
      <c r="EN36" s="167" t="n">
        <v>32</v>
      </c>
      <c r="EO36" s="26" t="inlineStr">
        <is>
          <t>Connecting Plate</t>
        </is>
      </c>
      <c r="EP36" s="26" t="n">
        <v>1</v>
      </c>
      <c r="EQ36" s="26" t="inlineStr">
        <is>
          <t>Nos</t>
        </is>
      </c>
      <c r="ER36" s="26" t="n">
        <v>150</v>
      </c>
      <c r="ES36" s="166">
        <f>EP36*ER36</f>
        <v/>
      </c>
      <c r="ET36" s="26" t="n">
        <v>2</v>
      </c>
      <c r="EU36" s="26" t="inlineStr">
        <is>
          <t>Nos</t>
        </is>
      </c>
      <c r="EV36" s="26" t="n">
        <v>100</v>
      </c>
      <c r="EW36" s="33">
        <f>ET36*EV36</f>
        <v/>
      </c>
      <c r="EX36" s="26" t="n">
        <v>1</v>
      </c>
      <c r="EY36" s="26" t="inlineStr">
        <is>
          <t>Nos</t>
        </is>
      </c>
      <c r="EZ36" s="26" t="n">
        <v>100</v>
      </c>
      <c r="FA36" s="166">
        <f>EX36*EZ36</f>
        <v/>
      </c>
      <c r="FB36" s="26" t="n">
        <v>100</v>
      </c>
    </row>
    <row r="37" ht="15.75" customHeight="1" s="307">
      <c r="A37" s="26" t="n">
        <v>33</v>
      </c>
      <c r="B37" s="26" t="inlineStr">
        <is>
          <t xml:space="preserve">Thimble </t>
        </is>
      </c>
      <c r="C37" s="30" t="n">
        <v>9</v>
      </c>
      <c r="D37" s="30" t="inlineStr">
        <is>
          <t>Nos</t>
        </is>
      </c>
      <c r="E37" s="30" t="n">
        <v>7</v>
      </c>
      <c r="F37" s="159">
        <f>C37*E37</f>
        <v/>
      </c>
      <c r="G37" s="30" t="n">
        <v>18</v>
      </c>
      <c r="H37" s="30" t="inlineStr">
        <is>
          <t>Nos</t>
        </is>
      </c>
      <c r="I37" s="30" t="n">
        <v>7</v>
      </c>
      <c r="J37" s="34">
        <f>G37*I37</f>
        <v/>
      </c>
      <c r="K37" s="30" t="n">
        <v>9</v>
      </c>
      <c r="L37" s="30" t="inlineStr">
        <is>
          <t>Nos</t>
        </is>
      </c>
      <c r="M37" s="30" t="n">
        <v>7</v>
      </c>
      <c r="N37" s="159">
        <f>K37*M37</f>
        <v/>
      </c>
      <c r="O37" s="30" t="n">
        <v>7</v>
      </c>
      <c r="Q37" s="26" t="n">
        <v>33</v>
      </c>
      <c r="R37" s="26" t="inlineStr">
        <is>
          <t>Glass Wire</t>
        </is>
      </c>
      <c r="S37" s="26" t="n">
        <v>1</v>
      </c>
      <c r="T37" s="26" t="inlineStr">
        <is>
          <t>Mtr</t>
        </is>
      </c>
      <c r="U37" s="26" t="n">
        <v>100</v>
      </c>
      <c r="V37" s="166">
        <f>S37*U37</f>
        <v/>
      </c>
      <c r="W37" s="26" t="n">
        <v>2</v>
      </c>
      <c r="X37" s="26" t="inlineStr">
        <is>
          <t>Mtr.</t>
        </is>
      </c>
      <c r="Y37" s="26" t="n">
        <v>100</v>
      </c>
      <c r="Z37" s="33">
        <f>W37*Y37</f>
        <v/>
      </c>
      <c r="AA37" s="26" t="n">
        <v>1</v>
      </c>
      <c r="AB37" s="26" t="inlineStr">
        <is>
          <t>Mtr</t>
        </is>
      </c>
      <c r="AC37" s="26" t="n">
        <v>100</v>
      </c>
      <c r="AD37" s="166">
        <f>AA37*AC37</f>
        <v/>
      </c>
      <c r="AE37" s="26" t="n">
        <v>100</v>
      </c>
      <c r="AG37" s="167" t="n">
        <v>33</v>
      </c>
      <c r="AH37" s="26" t="inlineStr">
        <is>
          <t xml:space="preserve">Thimble </t>
        </is>
      </c>
      <c r="AI37" s="26" t="n">
        <v>27</v>
      </c>
      <c r="AJ37" s="26" t="inlineStr">
        <is>
          <t>Nos</t>
        </is>
      </c>
      <c r="AK37" s="26" t="n">
        <v>7</v>
      </c>
      <c r="AL37" s="166">
        <f>AI37*AK37</f>
        <v/>
      </c>
      <c r="AM37" s="26" t="n">
        <v>54</v>
      </c>
      <c r="AN37" s="26" t="inlineStr">
        <is>
          <t>Nos</t>
        </is>
      </c>
      <c r="AO37" s="26" t="n">
        <v>7</v>
      </c>
      <c r="AP37" s="33">
        <f>AM37*AO37</f>
        <v/>
      </c>
      <c r="AQ37" s="26" t="n">
        <v>27</v>
      </c>
      <c r="AR37" s="26" t="inlineStr">
        <is>
          <t>Nos</t>
        </is>
      </c>
      <c r="AS37" s="26" t="n">
        <v>7</v>
      </c>
      <c r="AT37" s="166">
        <f>AQ37*AS37</f>
        <v/>
      </c>
      <c r="AU37" s="26" t="n">
        <v>7</v>
      </c>
      <c r="AW37" s="167" t="n">
        <v>33</v>
      </c>
      <c r="AX37" s="26" t="inlineStr">
        <is>
          <t xml:space="preserve">Thimble </t>
        </is>
      </c>
      <c r="AY37" s="26" t="n">
        <v>27</v>
      </c>
      <c r="AZ37" s="26" t="inlineStr">
        <is>
          <t>Nos</t>
        </is>
      </c>
      <c r="BA37" s="26" t="n">
        <v>7</v>
      </c>
      <c r="BB37" s="166">
        <f>AY37*BA37</f>
        <v/>
      </c>
      <c r="BC37" s="26" t="n">
        <v>54</v>
      </c>
      <c r="BD37" s="26" t="inlineStr">
        <is>
          <t>Nos</t>
        </is>
      </c>
      <c r="BE37" s="26" t="n">
        <v>7</v>
      </c>
      <c r="BF37" s="33">
        <f>BC37*BE37</f>
        <v/>
      </c>
      <c r="BG37" s="26" t="n">
        <v>27</v>
      </c>
      <c r="BH37" s="26" t="inlineStr">
        <is>
          <t>Nos</t>
        </is>
      </c>
      <c r="BI37" s="26" t="n">
        <v>7</v>
      </c>
      <c r="BJ37" s="166">
        <f>BG37*BI37</f>
        <v/>
      </c>
      <c r="BK37" s="26" t="n">
        <v>7</v>
      </c>
      <c r="BM37" s="167" t="n">
        <v>33</v>
      </c>
      <c r="BN37" s="26" t="inlineStr">
        <is>
          <t xml:space="preserve">Thimble </t>
        </is>
      </c>
      <c r="BO37" s="26" t="n">
        <v>36</v>
      </c>
      <c r="BP37" s="26" t="inlineStr">
        <is>
          <t>Nos</t>
        </is>
      </c>
      <c r="BQ37" s="26" t="n">
        <v>7</v>
      </c>
      <c r="BR37" s="166">
        <f>BO37*BQ37</f>
        <v/>
      </c>
      <c r="BS37" s="26" t="n">
        <v>72</v>
      </c>
      <c r="BT37" s="26" t="inlineStr">
        <is>
          <t>Nos</t>
        </is>
      </c>
      <c r="BU37" s="26" t="n">
        <v>7</v>
      </c>
      <c r="BV37" s="33">
        <f>BS37*BU37</f>
        <v/>
      </c>
      <c r="BW37" s="26" t="n">
        <v>36</v>
      </c>
      <c r="BX37" s="26" t="inlineStr">
        <is>
          <t>Nos</t>
        </is>
      </c>
      <c r="BY37" s="26" t="n">
        <v>7</v>
      </c>
      <c r="BZ37" s="166">
        <f>BW37*BY37</f>
        <v/>
      </c>
      <c r="CA37" s="26" t="n">
        <v>7</v>
      </c>
      <c r="CC37" s="167" t="n">
        <v>33</v>
      </c>
      <c r="CD37" s="26" t="inlineStr">
        <is>
          <t xml:space="preserve">Thimble </t>
        </is>
      </c>
      <c r="CE37" s="26" t="n">
        <v>45</v>
      </c>
      <c r="CF37" s="26" t="inlineStr">
        <is>
          <t>Nos</t>
        </is>
      </c>
      <c r="CG37" s="26" t="n">
        <v>7</v>
      </c>
      <c r="CH37" s="166">
        <f>CE37*CG37</f>
        <v/>
      </c>
      <c r="CI37" s="26" t="n">
        <v>90</v>
      </c>
      <c r="CJ37" s="26" t="inlineStr">
        <is>
          <t>Nos</t>
        </is>
      </c>
      <c r="CK37" s="26" t="n">
        <v>7</v>
      </c>
      <c r="CL37" s="33">
        <f>CI37*CK37</f>
        <v/>
      </c>
      <c r="CM37" s="26" t="n">
        <v>45</v>
      </c>
      <c r="CN37" s="26" t="inlineStr">
        <is>
          <t>Nos</t>
        </is>
      </c>
      <c r="CO37" s="26" t="n">
        <v>7</v>
      </c>
      <c r="CP37" s="166">
        <f>CM37*CO37</f>
        <v/>
      </c>
      <c r="CQ37" s="26" t="n">
        <v>7</v>
      </c>
      <c r="CS37" s="167" t="n">
        <v>33</v>
      </c>
      <c r="CT37" s="26" t="inlineStr">
        <is>
          <t xml:space="preserve">Thimble </t>
        </is>
      </c>
      <c r="CU37" s="26" t="n">
        <v>45</v>
      </c>
      <c r="CV37" s="26" t="inlineStr">
        <is>
          <t>Nos</t>
        </is>
      </c>
      <c r="CW37" s="26" t="n">
        <v>7</v>
      </c>
      <c r="CX37" s="166">
        <f>CU37*CW37</f>
        <v/>
      </c>
      <c r="CY37" s="26" t="n">
        <v>90</v>
      </c>
      <c r="CZ37" s="26" t="inlineStr">
        <is>
          <t>Nos</t>
        </is>
      </c>
      <c r="DA37" s="26" t="n">
        <v>7</v>
      </c>
      <c r="DB37" s="33">
        <f>CY37*DA37</f>
        <v/>
      </c>
      <c r="DC37" s="26" t="n">
        <v>45</v>
      </c>
      <c r="DD37" s="26" t="inlineStr">
        <is>
          <t>Nos</t>
        </is>
      </c>
      <c r="DE37" s="26" t="n">
        <v>7</v>
      </c>
      <c r="DF37" s="166">
        <f>DC37*DE37</f>
        <v/>
      </c>
      <c r="DG37" s="26">
        <f>DF37-CP37</f>
        <v/>
      </c>
      <c r="DH37" s="167" t="n">
        <v>33</v>
      </c>
      <c r="DI37" s="26" t="inlineStr">
        <is>
          <t xml:space="preserve">Thimble </t>
        </is>
      </c>
      <c r="DJ37" s="26" t="n">
        <v>45</v>
      </c>
      <c r="DK37" s="26" t="inlineStr">
        <is>
          <t>Nos</t>
        </is>
      </c>
      <c r="DL37" s="26" t="n">
        <v>7</v>
      </c>
      <c r="DM37" s="166">
        <f>DJ37*DL37</f>
        <v/>
      </c>
      <c r="DN37" s="26" t="n">
        <v>90</v>
      </c>
      <c r="DO37" s="26" t="inlineStr">
        <is>
          <t>Nos</t>
        </is>
      </c>
      <c r="DP37" s="26" t="n">
        <v>7</v>
      </c>
      <c r="DQ37" s="33">
        <f>DN37*DP37</f>
        <v/>
      </c>
      <c r="DR37" s="26" t="n">
        <v>45</v>
      </c>
      <c r="DS37" s="26" t="inlineStr">
        <is>
          <t>Nos</t>
        </is>
      </c>
      <c r="DT37" s="26" t="n">
        <v>7</v>
      </c>
      <c r="DU37" s="166">
        <f>DR37*DT37</f>
        <v/>
      </c>
      <c r="DV37" s="26" t="n">
        <v>7</v>
      </c>
      <c r="DX37" s="167" t="n">
        <v>33</v>
      </c>
      <c r="DY37" s="26" t="inlineStr">
        <is>
          <t xml:space="preserve">Thimble </t>
        </is>
      </c>
      <c r="DZ37" s="26" t="n">
        <v>45</v>
      </c>
      <c r="EA37" s="26" t="inlineStr">
        <is>
          <t>Nos</t>
        </is>
      </c>
      <c r="EB37" s="26" t="n">
        <v>7</v>
      </c>
      <c r="EC37" s="166">
        <f>DZ37*EB37</f>
        <v/>
      </c>
      <c r="ED37" s="26" t="n">
        <v>90</v>
      </c>
      <c r="EE37" s="26" t="inlineStr">
        <is>
          <t>Nos</t>
        </is>
      </c>
      <c r="EF37" s="26" t="n">
        <v>7</v>
      </c>
      <c r="EG37" s="33">
        <f>ED37*EF37</f>
        <v/>
      </c>
      <c r="EH37" s="26" t="n">
        <v>45</v>
      </c>
      <c r="EI37" s="26" t="inlineStr">
        <is>
          <t>Nos</t>
        </is>
      </c>
      <c r="EJ37" s="26" t="n">
        <v>7</v>
      </c>
      <c r="EK37" s="166">
        <f>EH37*EJ37</f>
        <v/>
      </c>
      <c r="EL37" s="26" t="n">
        <v>7</v>
      </c>
      <c r="EN37" s="167" t="n">
        <v>33</v>
      </c>
      <c r="EO37" s="26" t="inlineStr">
        <is>
          <t xml:space="preserve">Thimble </t>
        </is>
      </c>
      <c r="EP37" s="26" t="n">
        <v>63</v>
      </c>
      <c r="EQ37" s="26" t="inlineStr">
        <is>
          <t>Nos</t>
        </is>
      </c>
      <c r="ER37" s="26" t="n">
        <v>7</v>
      </c>
      <c r="ES37" s="166">
        <f>EP37*ER37</f>
        <v/>
      </c>
      <c r="ET37" s="26" t="n">
        <v>126</v>
      </c>
      <c r="EU37" s="26" t="inlineStr">
        <is>
          <t>Nos</t>
        </is>
      </c>
      <c r="EV37" s="26" t="n">
        <v>7</v>
      </c>
      <c r="EW37" s="33">
        <f>ET37*EV37</f>
        <v/>
      </c>
      <c r="EX37" s="26" t="n">
        <v>63</v>
      </c>
      <c r="EY37" s="26" t="inlineStr">
        <is>
          <t>Nos</t>
        </is>
      </c>
      <c r="EZ37" s="26" t="n">
        <v>7</v>
      </c>
      <c r="FA37" s="166">
        <f>EX37*EZ37</f>
        <v/>
      </c>
      <c r="FB37" s="26" t="n">
        <v>7</v>
      </c>
    </row>
    <row r="38" ht="15.75" customHeight="1" s="307">
      <c r="A38" s="26" t="n">
        <v>34</v>
      </c>
      <c r="B38" s="26" t="inlineStr">
        <is>
          <t>Glass Wire</t>
        </is>
      </c>
      <c r="C38" s="30" t="n">
        <v>1</v>
      </c>
      <c r="D38" s="30" t="inlineStr">
        <is>
          <t>Mtr</t>
        </is>
      </c>
      <c r="E38" s="30" t="n">
        <v>100</v>
      </c>
      <c r="F38" s="159">
        <f>C38*E38</f>
        <v/>
      </c>
      <c r="G38" s="30" t="n">
        <v>2</v>
      </c>
      <c r="H38" s="30" t="inlineStr">
        <is>
          <t>Mtr.</t>
        </is>
      </c>
      <c r="I38" s="30" t="n">
        <v>100</v>
      </c>
      <c r="J38" s="34">
        <f>G38*I38</f>
        <v/>
      </c>
      <c r="K38" s="30" t="n">
        <v>1</v>
      </c>
      <c r="L38" s="30" t="inlineStr">
        <is>
          <t>Mtr</t>
        </is>
      </c>
      <c r="M38" s="30" t="n">
        <v>100</v>
      </c>
      <c r="N38" s="159">
        <f>K38*M38</f>
        <v/>
      </c>
      <c r="O38" s="30" t="n">
        <v>100</v>
      </c>
      <c r="Q38" s="26" t="n">
        <v>34</v>
      </c>
      <c r="R38" s="26" t="inlineStr">
        <is>
          <t>Cross Tee</t>
        </is>
      </c>
      <c r="S38" s="26" t="inlineStr">
        <is>
          <t>n/a</t>
        </is>
      </c>
      <c r="T38" s="26" t="n"/>
      <c r="U38" s="26" t="n"/>
      <c r="V38" s="166" t="n"/>
      <c r="W38" s="26" t="n">
        <v>1</v>
      </c>
      <c r="X38" s="26" t="inlineStr">
        <is>
          <t>nos</t>
        </is>
      </c>
      <c r="Y38" s="26" t="n">
        <v>200</v>
      </c>
      <c r="Z38" s="33">
        <f>W38*Y38</f>
        <v/>
      </c>
      <c r="AA38" s="26" t="inlineStr">
        <is>
          <t>n/a</t>
        </is>
      </c>
      <c r="AB38" s="26" t="n"/>
      <c r="AC38" s="26" t="n"/>
      <c r="AD38" s="166" t="n"/>
      <c r="AE38" s="26" t="n"/>
      <c r="AG38" s="167" t="n">
        <v>34</v>
      </c>
      <c r="AH38" s="26" t="inlineStr">
        <is>
          <t>Glass Wire</t>
        </is>
      </c>
      <c r="AI38" s="26" t="n">
        <v>2</v>
      </c>
      <c r="AJ38" s="26" t="inlineStr">
        <is>
          <t>Mtr</t>
        </is>
      </c>
      <c r="AK38" s="26" t="n">
        <v>100</v>
      </c>
      <c r="AL38" s="166">
        <f>AI38*AK38</f>
        <v/>
      </c>
      <c r="AM38" s="26" t="n">
        <v>4</v>
      </c>
      <c r="AN38" s="26" t="inlineStr">
        <is>
          <t>Mtr.</t>
        </is>
      </c>
      <c r="AO38" s="26" t="n">
        <v>100</v>
      </c>
      <c r="AP38" s="33">
        <f>AM38*AO38</f>
        <v/>
      </c>
      <c r="AQ38" s="26" t="n">
        <v>2</v>
      </c>
      <c r="AR38" s="26" t="inlineStr">
        <is>
          <t>Mtr</t>
        </is>
      </c>
      <c r="AS38" s="26" t="n">
        <v>100</v>
      </c>
      <c r="AT38" s="166">
        <f>AQ38*AS38</f>
        <v/>
      </c>
      <c r="AU38" s="26" t="n">
        <v>100</v>
      </c>
      <c r="AW38" s="167" t="n">
        <v>34</v>
      </c>
      <c r="AX38" s="26" t="inlineStr">
        <is>
          <t>Glass Wire</t>
        </is>
      </c>
      <c r="AY38" s="26" t="n">
        <v>2</v>
      </c>
      <c r="AZ38" s="26" t="inlineStr">
        <is>
          <t>Mtr</t>
        </is>
      </c>
      <c r="BA38" s="26" t="n">
        <v>100</v>
      </c>
      <c r="BB38" s="166">
        <f>AY38*BA38</f>
        <v/>
      </c>
      <c r="BC38" s="26" t="n">
        <v>4</v>
      </c>
      <c r="BD38" s="26" t="inlineStr">
        <is>
          <t>Mtr.</t>
        </is>
      </c>
      <c r="BE38" s="26" t="n">
        <v>100</v>
      </c>
      <c r="BF38" s="33">
        <f>BC38*BE38</f>
        <v/>
      </c>
      <c r="BG38" s="26" t="n">
        <v>2</v>
      </c>
      <c r="BH38" s="26" t="inlineStr">
        <is>
          <t>Mtr</t>
        </is>
      </c>
      <c r="BI38" s="26" t="n">
        <v>100</v>
      </c>
      <c r="BJ38" s="166">
        <f>BG38*BI38</f>
        <v/>
      </c>
      <c r="BK38" s="26" t="n">
        <v>100</v>
      </c>
      <c r="BM38" s="167" t="n">
        <v>34</v>
      </c>
      <c r="BN38" s="26" t="inlineStr">
        <is>
          <t>Glass Wire</t>
        </is>
      </c>
      <c r="BO38" s="26" t="n">
        <v>3</v>
      </c>
      <c r="BP38" s="26" t="inlineStr">
        <is>
          <t>Mtr</t>
        </is>
      </c>
      <c r="BQ38" s="26" t="n">
        <v>100</v>
      </c>
      <c r="BR38" s="166">
        <f>BO38*BQ38</f>
        <v/>
      </c>
      <c r="BS38" s="26" t="n">
        <v>6</v>
      </c>
      <c r="BT38" s="26" t="inlineStr">
        <is>
          <t>Mtr.</t>
        </is>
      </c>
      <c r="BU38" s="26" t="n">
        <v>100</v>
      </c>
      <c r="BV38" s="33">
        <f>BS38*BU38</f>
        <v/>
      </c>
      <c r="BW38" s="26" t="n">
        <v>3</v>
      </c>
      <c r="BX38" s="26" t="inlineStr">
        <is>
          <t>Mtr</t>
        </is>
      </c>
      <c r="BY38" s="26" t="n">
        <v>100</v>
      </c>
      <c r="BZ38" s="166">
        <f>BW38*BY38</f>
        <v/>
      </c>
      <c r="CA38" s="26" t="n">
        <v>100</v>
      </c>
      <c r="CC38" s="167" t="n">
        <v>34</v>
      </c>
      <c r="CD38" s="26" t="inlineStr">
        <is>
          <t>Glass Wire</t>
        </is>
      </c>
      <c r="CE38" s="26" t="n">
        <v>3.5</v>
      </c>
      <c r="CF38" s="26" t="inlineStr">
        <is>
          <t>Mtr</t>
        </is>
      </c>
      <c r="CG38" s="26" t="n">
        <v>100</v>
      </c>
      <c r="CH38" s="166">
        <f>CE38*CG38</f>
        <v/>
      </c>
      <c r="CI38" s="26" t="n">
        <v>7</v>
      </c>
      <c r="CJ38" s="26" t="inlineStr">
        <is>
          <t>Mtr.</t>
        </is>
      </c>
      <c r="CK38" s="26" t="n">
        <v>100</v>
      </c>
      <c r="CL38" s="33">
        <f>CI38*CK38</f>
        <v/>
      </c>
      <c r="CM38" s="26" t="n">
        <v>3.5</v>
      </c>
      <c r="CN38" s="26" t="inlineStr">
        <is>
          <t>Mtr</t>
        </is>
      </c>
      <c r="CO38" s="26" t="n">
        <v>100</v>
      </c>
      <c r="CP38" s="166">
        <f>CM38*CO38</f>
        <v/>
      </c>
      <c r="CQ38" s="26" t="n">
        <v>100</v>
      </c>
      <c r="CS38" s="167" t="n">
        <v>34</v>
      </c>
      <c r="CT38" s="26" t="inlineStr">
        <is>
          <t>Glass Wire</t>
        </is>
      </c>
      <c r="CU38" s="26" t="n">
        <v>3.5</v>
      </c>
      <c r="CV38" s="26" t="inlineStr">
        <is>
          <t>Mtr</t>
        </is>
      </c>
      <c r="CW38" s="26" t="n">
        <v>100</v>
      </c>
      <c r="CX38" s="166">
        <f>CU38*CW38</f>
        <v/>
      </c>
      <c r="CY38" s="26" t="n">
        <v>7</v>
      </c>
      <c r="CZ38" s="26" t="inlineStr">
        <is>
          <t>Mtr.</t>
        </is>
      </c>
      <c r="DA38" s="26" t="n">
        <v>100</v>
      </c>
      <c r="DB38" s="33">
        <f>CY38*DA38</f>
        <v/>
      </c>
      <c r="DC38" s="26" t="n">
        <v>3.5</v>
      </c>
      <c r="DD38" s="26" t="inlineStr">
        <is>
          <t>Mtr</t>
        </is>
      </c>
      <c r="DE38" s="26" t="n">
        <v>100</v>
      </c>
      <c r="DF38" s="166">
        <f>DC38*DE38</f>
        <v/>
      </c>
      <c r="DG38" s="26">
        <f>DF38-CP38</f>
        <v/>
      </c>
      <c r="DH38" s="167" t="n">
        <v>34</v>
      </c>
      <c r="DI38" s="26" t="inlineStr">
        <is>
          <t>Glass Wire</t>
        </is>
      </c>
      <c r="DJ38" s="26" t="n">
        <v>4</v>
      </c>
      <c r="DK38" s="26" t="inlineStr">
        <is>
          <t>Mtr</t>
        </is>
      </c>
      <c r="DL38" s="26" t="n">
        <v>100</v>
      </c>
      <c r="DM38" s="166">
        <f>DJ38*DL38</f>
        <v/>
      </c>
      <c r="DN38" s="26" t="n">
        <v>8</v>
      </c>
      <c r="DO38" s="26" t="inlineStr">
        <is>
          <t>Mtr.</t>
        </is>
      </c>
      <c r="DP38" s="26" t="n">
        <v>100</v>
      </c>
      <c r="DQ38" s="33">
        <f>DN38*DP38</f>
        <v/>
      </c>
      <c r="DR38" s="26" t="n">
        <v>4</v>
      </c>
      <c r="DS38" s="26" t="inlineStr">
        <is>
          <t>Mtr</t>
        </is>
      </c>
      <c r="DT38" s="26" t="n">
        <v>100</v>
      </c>
      <c r="DU38" s="166">
        <f>DR38*DT38</f>
        <v/>
      </c>
      <c r="DV38" s="26" t="n">
        <v>100</v>
      </c>
      <c r="DX38" s="167" t="n">
        <v>34</v>
      </c>
      <c r="DY38" s="26" t="inlineStr">
        <is>
          <t>Glass Wire</t>
        </is>
      </c>
      <c r="DZ38" s="26" t="n">
        <v>4</v>
      </c>
      <c r="EA38" s="26" t="inlineStr">
        <is>
          <t>Mtr</t>
        </is>
      </c>
      <c r="EB38" s="26" t="n">
        <v>80</v>
      </c>
      <c r="EC38" s="166">
        <f>DZ38*EB38</f>
        <v/>
      </c>
      <c r="ED38" s="26" t="n">
        <v>8</v>
      </c>
      <c r="EE38" s="26" t="inlineStr">
        <is>
          <t>Mtr.</t>
        </is>
      </c>
      <c r="EF38" s="26" t="n">
        <v>80</v>
      </c>
      <c r="EG38" s="33">
        <f>ED38*EF38</f>
        <v/>
      </c>
      <c r="EH38" s="26" t="n">
        <v>4</v>
      </c>
      <c r="EI38" s="26" t="inlineStr">
        <is>
          <t>Mtr</t>
        </is>
      </c>
      <c r="EJ38" s="26" t="n">
        <v>80</v>
      </c>
      <c r="EK38" s="166">
        <f>EH38*EJ38</f>
        <v/>
      </c>
      <c r="EL38" s="26" t="n">
        <v>80</v>
      </c>
      <c r="EN38" s="167" t="n">
        <v>34</v>
      </c>
      <c r="EO38" s="26" t="inlineStr">
        <is>
          <t>Glass Wire</t>
        </is>
      </c>
      <c r="EP38" s="26" t="n">
        <v>5</v>
      </c>
      <c r="EQ38" s="26" t="inlineStr">
        <is>
          <t>Mtr</t>
        </is>
      </c>
      <c r="ER38" s="26" t="n">
        <v>100</v>
      </c>
      <c r="ES38" s="166">
        <f>EP38*ER38</f>
        <v/>
      </c>
      <c r="ET38" s="26" t="n">
        <v>10</v>
      </c>
      <c r="EU38" s="26" t="inlineStr">
        <is>
          <t>Mtr.</t>
        </is>
      </c>
      <c r="EV38" s="26" t="n">
        <v>100</v>
      </c>
      <c r="EW38" s="33">
        <f>ET38*EV38</f>
        <v/>
      </c>
      <c r="EX38" s="26" t="n">
        <v>5</v>
      </c>
      <c r="EY38" s="26" t="inlineStr">
        <is>
          <t>Mtr</t>
        </is>
      </c>
      <c r="EZ38" s="26" t="n">
        <v>100</v>
      </c>
      <c r="FA38" s="166">
        <f>EX38*EZ38</f>
        <v/>
      </c>
      <c r="FB38" s="26" t="n">
        <v>100</v>
      </c>
    </row>
    <row r="39" ht="15.75" customHeight="1" s="307">
      <c r="A39" s="26" t="n">
        <v>35</v>
      </c>
      <c r="B39" s="26" t="inlineStr">
        <is>
          <t>Cross Tee</t>
        </is>
      </c>
      <c r="C39" s="30" t="inlineStr">
        <is>
          <t>n/a</t>
        </is>
      </c>
      <c r="D39" s="30" t="n"/>
      <c r="E39" s="30" t="n"/>
      <c r="F39" s="159" t="n"/>
      <c r="G39" s="30" t="n">
        <v>1</v>
      </c>
      <c r="H39" s="30" t="inlineStr">
        <is>
          <t>nos</t>
        </is>
      </c>
      <c r="I39" s="30" t="n">
        <v>150</v>
      </c>
      <c r="J39" s="34">
        <f>G39*I39</f>
        <v/>
      </c>
      <c r="K39" s="30" t="inlineStr">
        <is>
          <t>n/a</t>
        </is>
      </c>
      <c r="L39" s="30" t="n"/>
      <c r="M39" s="30" t="n"/>
      <c r="N39" s="159" t="n"/>
      <c r="O39" s="30" t="n"/>
      <c r="Q39" s="26" t="n">
        <v>35</v>
      </c>
      <c r="R39" s="26" t="inlineStr">
        <is>
          <t>Star Coupling L -95</t>
        </is>
      </c>
      <c r="S39" s="26" t="n">
        <v>2</v>
      </c>
      <c r="T39" s="26" t="inlineStr">
        <is>
          <t>Nos</t>
        </is>
      </c>
      <c r="U39" s="26" t="n">
        <v>300</v>
      </c>
      <c r="V39" s="166">
        <f>S39*U39</f>
        <v/>
      </c>
      <c r="W39" s="26" t="n">
        <v>2</v>
      </c>
      <c r="X39" s="26" t="inlineStr">
        <is>
          <t>Nos</t>
        </is>
      </c>
      <c r="Y39" s="26" t="n">
        <v>300</v>
      </c>
      <c r="Z39" s="33">
        <f>W39*Y39</f>
        <v/>
      </c>
      <c r="AA39" s="26" t="n">
        <v>1</v>
      </c>
      <c r="AB39" s="26" t="inlineStr">
        <is>
          <t>Nos</t>
        </is>
      </c>
      <c r="AC39" s="26" t="n">
        <v>300</v>
      </c>
      <c r="AD39" s="166">
        <f>AA39*AC39</f>
        <v/>
      </c>
      <c r="AE39" s="26" t="n">
        <v>300</v>
      </c>
      <c r="AG39" s="167" t="n">
        <v>35</v>
      </c>
      <c r="AH39" s="26" t="inlineStr">
        <is>
          <t>Cross Tee</t>
        </is>
      </c>
      <c r="AI39" s="26" t="inlineStr">
        <is>
          <t>n/a</t>
        </is>
      </c>
      <c r="AJ39" s="26" t="n"/>
      <c r="AK39" s="26" t="n"/>
      <c r="AL39" s="166" t="n">
        <v>0</v>
      </c>
      <c r="AM39" s="26" t="n">
        <v>1</v>
      </c>
      <c r="AN39" s="26" t="inlineStr">
        <is>
          <t>nos</t>
        </is>
      </c>
      <c r="AO39" s="26" t="n">
        <v>200</v>
      </c>
      <c r="AP39" s="33">
        <f>AM39*AO39</f>
        <v/>
      </c>
      <c r="AQ39" s="26" t="inlineStr">
        <is>
          <t>n/a</t>
        </is>
      </c>
      <c r="AR39" s="26" t="n"/>
      <c r="AS39" s="26" t="n"/>
      <c r="AT39" s="166" t="n">
        <v>0</v>
      </c>
      <c r="AU39" s="26" t="n"/>
      <c r="AW39" s="167" t="n">
        <v>35</v>
      </c>
      <c r="AX39" s="26" t="inlineStr">
        <is>
          <t>Cross Tee</t>
        </is>
      </c>
      <c r="AY39" s="26" t="inlineStr">
        <is>
          <t>n/a</t>
        </is>
      </c>
      <c r="AZ39" s="26" t="n"/>
      <c r="BA39" s="26" t="n"/>
      <c r="BB39" s="166" t="n">
        <v>0</v>
      </c>
      <c r="BC39" s="26" t="n">
        <v>1</v>
      </c>
      <c r="BD39" s="26" t="inlineStr">
        <is>
          <t>nos</t>
        </is>
      </c>
      <c r="BE39" s="26" t="n">
        <v>200</v>
      </c>
      <c r="BF39" s="33">
        <f>BC39*BE39</f>
        <v/>
      </c>
      <c r="BG39" s="26" t="inlineStr">
        <is>
          <t>n/a</t>
        </is>
      </c>
      <c r="BH39" s="26" t="n"/>
      <c r="BI39" s="26" t="n"/>
      <c r="BJ39" s="166" t="n">
        <v>0</v>
      </c>
      <c r="BK39" s="26" t="n"/>
      <c r="BM39" s="167" t="n">
        <v>35</v>
      </c>
      <c r="BN39" s="26" t="inlineStr">
        <is>
          <t>Cross Tee</t>
        </is>
      </c>
      <c r="BO39" s="26" t="inlineStr">
        <is>
          <t>n/a</t>
        </is>
      </c>
      <c r="BP39" s="26" t="n"/>
      <c r="BQ39" s="26" t="n"/>
      <c r="BR39" s="166" t="n">
        <v>0</v>
      </c>
      <c r="BS39" s="26" t="n">
        <v>1</v>
      </c>
      <c r="BT39" s="26" t="inlineStr">
        <is>
          <t>nos</t>
        </is>
      </c>
      <c r="BU39" s="26" t="n">
        <v>200</v>
      </c>
      <c r="BV39" s="33">
        <f>BS39*BU39</f>
        <v/>
      </c>
      <c r="BW39" s="26" t="inlineStr">
        <is>
          <t>n/a</t>
        </is>
      </c>
      <c r="BX39" s="26" t="n"/>
      <c r="BY39" s="26" t="n"/>
      <c r="BZ39" s="166" t="n">
        <v>0</v>
      </c>
      <c r="CA39" s="26" t="n"/>
      <c r="CC39" s="167" t="n">
        <v>35</v>
      </c>
      <c r="CD39" s="26" t="inlineStr">
        <is>
          <t>Cross Tee</t>
        </is>
      </c>
      <c r="CE39" s="26" t="inlineStr">
        <is>
          <t>n/a</t>
        </is>
      </c>
      <c r="CF39" s="26" t="n"/>
      <c r="CG39" s="26" t="n"/>
      <c r="CH39" s="166" t="n">
        <v>0</v>
      </c>
      <c r="CI39" s="26" t="n">
        <v>1</v>
      </c>
      <c r="CJ39" s="26" t="inlineStr">
        <is>
          <t>nos</t>
        </is>
      </c>
      <c r="CK39" s="26" t="n">
        <v>200</v>
      </c>
      <c r="CL39" s="33">
        <f>CI39*CK39</f>
        <v/>
      </c>
      <c r="CM39" s="26" t="inlineStr">
        <is>
          <t>n/a</t>
        </is>
      </c>
      <c r="CN39" s="26" t="n"/>
      <c r="CO39" s="26" t="n"/>
      <c r="CP39" s="166" t="n">
        <v>0</v>
      </c>
      <c r="CQ39" s="26" t="n"/>
      <c r="CS39" s="167" t="n">
        <v>35</v>
      </c>
      <c r="CT39" s="26" t="inlineStr">
        <is>
          <t>Cross Tee</t>
        </is>
      </c>
      <c r="CU39" s="26" t="inlineStr">
        <is>
          <t>n/a</t>
        </is>
      </c>
      <c r="CV39" s="26" t="n"/>
      <c r="CW39" s="26" t="n"/>
      <c r="CX39" s="166" t="n">
        <v>0</v>
      </c>
      <c r="CY39" s="26" t="n">
        <v>1</v>
      </c>
      <c r="CZ39" s="26" t="inlineStr">
        <is>
          <t>nos</t>
        </is>
      </c>
      <c r="DA39" s="26" t="n">
        <v>200</v>
      </c>
      <c r="DB39" s="33">
        <f>CY39*DA39</f>
        <v/>
      </c>
      <c r="DC39" s="26" t="inlineStr">
        <is>
          <t>n/a</t>
        </is>
      </c>
      <c r="DD39" s="26" t="n"/>
      <c r="DE39" s="26" t="n"/>
      <c r="DF39" s="166" t="n">
        <v>0</v>
      </c>
      <c r="DG39" s="26">
        <f>DF39-CP39</f>
        <v/>
      </c>
      <c r="DH39" s="167" t="n">
        <v>35</v>
      </c>
      <c r="DI39" s="26" t="inlineStr">
        <is>
          <t>Cross Tee 1''</t>
        </is>
      </c>
      <c r="DJ39" s="26" t="inlineStr">
        <is>
          <t>n/a</t>
        </is>
      </c>
      <c r="DK39" s="26" t="n"/>
      <c r="DL39" s="26" t="n"/>
      <c r="DM39" s="166" t="n">
        <v>0</v>
      </c>
      <c r="DN39" s="26" t="n">
        <v>1</v>
      </c>
      <c r="DO39" s="26" t="inlineStr">
        <is>
          <t>nos</t>
        </is>
      </c>
      <c r="DP39" s="26" t="n">
        <v>250</v>
      </c>
      <c r="DQ39" s="33">
        <f>DN39*DP39</f>
        <v/>
      </c>
      <c r="DR39" s="26" t="inlineStr">
        <is>
          <t>n/a</t>
        </is>
      </c>
      <c r="DS39" s="26" t="n"/>
      <c r="DT39" s="26" t="n"/>
      <c r="DU39" s="166" t="n">
        <v>0</v>
      </c>
      <c r="DV39" s="26" t="n"/>
      <c r="DX39" s="167" t="n">
        <v>35</v>
      </c>
      <c r="DY39" s="26" t="inlineStr">
        <is>
          <t>Cross Tee 1''</t>
        </is>
      </c>
      <c r="DZ39" s="26" t="inlineStr">
        <is>
          <t>n/a</t>
        </is>
      </c>
      <c r="EA39" s="26" t="n"/>
      <c r="EB39" s="26" t="n"/>
      <c r="EC39" s="166" t="n">
        <v>0</v>
      </c>
      <c r="ED39" s="26" t="n">
        <v>1</v>
      </c>
      <c r="EE39" s="26" t="inlineStr">
        <is>
          <t>nos</t>
        </is>
      </c>
      <c r="EF39" s="26" t="n">
        <v>250</v>
      </c>
      <c r="EG39" s="33">
        <f>ED39*EF39</f>
        <v/>
      </c>
      <c r="EH39" s="26" t="inlineStr">
        <is>
          <t>n/a</t>
        </is>
      </c>
      <c r="EI39" s="26" t="n"/>
      <c r="EJ39" s="26" t="n"/>
      <c r="EK39" s="166" t="n">
        <v>0</v>
      </c>
      <c r="EL39" s="26" t="n"/>
      <c r="EN39" s="167" t="n">
        <v>35</v>
      </c>
      <c r="EO39" s="26" t="inlineStr">
        <is>
          <t>Cross Tee 1''</t>
        </is>
      </c>
      <c r="EP39" s="26" t="inlineStr">
        <is>
          <t>n/a</t>
        </is>
      </c>
      <c r="EQ39" s="26" t="n"/>
      <c r="ER39" s="26" t="n"/>
      <c r="ES39" s="166" t="n"/>
      <c r="ET39" s="26" t="n">
        <v>1</v>
      </c>
      <c r="EU39" s="26" t="inlineStr">
        <is>
          <t>nos</t>
        </is>
      </c>
      <c r="EV39" s="26" t="n">
        <v>250</v>
      </c>
      <c r="EW39" s="33">
        <f>ET39*EV39</f>
        <v/>
      </c>
      <c r="EX39" s="26" t="inlineStr">
        <is>
          <t>n/a</t>
        </is>
      </c>
      <c r="EY39" s="26" t="n"/>
      <c r="EZ39" s="26" t="n"/>
      <c r="FA39" s="166" t="n"/>
      <c r="FB39" s="26" t="n"/>
    </row>
    <row r="40" ht="15.75" customHeight="1" s="307">
      <c r="A40" s="26" t="n">
        <v>36</v>
      </c>
      <c r="B40" s="26" t="inlineStr">
        <is>
          <t>Star Coupling L -95</t>
        </is>
      </c>
      <c r="C40" s="30" t="n">
        <v>2</v>
      </c>
      <c r="D40" s="30" t="inlineStr">
        <is>
          <t>Nos</t>
        </is>
      </c>
      <c r="E40" s="30" t="n">
        <v>300</v>
      </c>
      <c r="F40" s="159">
        <f>C40*E40</f>
        <v/>
      </c>
      <c r="G40" s="30" t="n">
        <v>2</v>
      </c>
      <c r="H40" s="30" t="inlineStr">
        <is>
          <t>Nos</t>
        </is>
      </c>
      <c r="I40" s="30" t="n">
        <v>300</v>
      </c>
      <c r="J40" s="34">
        <f>G40*I40</f>
        <v/>
      </c>
      <c r="K40" s="30" t="n">
        <v>1</v>
      </c>
      <c r="L40" s="30" t="inlineStr">
        <is>
          <t>Nos</t>
        </is>
      </c>
      <c r="M40" s="30" t="n">
        <v>300</v>
      </c>
      <c r="N40" s="159">
        <f>K40*M40</f>
        <v/>
      </c>
      <c r="O40" s="30" t="n">
        <v>300</v>
      </c>
      <c r="Q40" s="26" t="n">
        <v>36</v>
      </c>
      <c r="R40" s="26" t="inlineStr">
        <is>
          <t>Teflon Tape 3/4"</t>
        </is>
      </c>
      <c r="S40" s="26" t="n">
        <v>5</v>
      </c>
      <c r="T40" s="26" t="inlineStr">
        <is>
          <t>Nos</t>
        </is>
      </c>
      <c r="U40" s="26" t="n">
        <v>36</v>
      </c>
      <c r="V40" s="166">
        <f>S40*U40</f>
        <v/>
      </c>
      <c r="W40" s="26" t="n">
        <v>6</v>
      </c>
      <c r="X40" s="26" t="inlineStr">
        <is>
          <t>Nos</t>
        </is>
      </c>
      <c r="Y40" s="26" t="n">
        <v>36</v>
      </c>
      <c r="Z40" s="33">
        <f>W40*Y40</f>
        <v/>
      </c>
      <c r="AA40" s="26" t="n">
        <v>5</v>
      </c>
      <c r="AB40" s="26" t="inlineStr">
        <is>
          <t>Nos</t>
        </is>
      </c>
      <c r="AC40" s="26" t="n">
        <v>36</v>
      </c>
      <c r="AD40" s="166">
        <f>AA40*AC40</f>
        <v/>
      </c>
      <c r="AE40" s="26" t="n">
        <v>36</v>
      </c>
      <c r="AG40" s="167" t="n">
        <v>36</v>
      </c>
      <c r="AH40" s="26" t="inlineStr">
        <is>
          <t>Star Coupling L -95</t>
        </is>
      </c>
      <c r="AI40" s="26" t="n">
        <v>2</v>
      </c>
      <c r="AJ40" s="26" t="inlineStr">
        <is>
          <t>Nos</t>
        </is>
      </c>
      <c r="AK40" s="26" t="n">
        <v>300</v>
      </c>
      <c r="AL40" s="166">
        <f>AI40*AK40</f>
        <v/>
      </c>
      <c r="AM40" s="26" t="n">
        <v>2</v>
      </c>
      <c r="AN40" s="26" t="inlineStr">
        <is>
          <t>Nos</t>
        </is>
      </c>
      <c r="AO40" s="26" t="n">
        <v>300</v>
      </c>
      <c r="AP40" s="33">
        <f>AM40*AO40</f>
        <v/>
      </c>
      <c r="AQ40" s="26" t="n">
        <v>1</v>
      </c>
      <c r="AR40" s="26" t="inlineStr">
        <is>
          <t>Nos</t>
        </is>
      </c>
      <c r="AS40" s="26" t="n">
        <v>300</v>
      </c>
      <c r="AT40" s="166">
        <f>AQ40*AS40</f>
        <v/>
      </c>
      <c r="AU40" s="26" t="n">
        <v>300</v>
      </c>
      <c r="AW40" s="167" t="n">
        <v>36</v>
      </c>
      <c r="AX40" s="26" t="inlineStr">
        <is>
          <t>Star Coupling L -95</t>
        </is>
      </c>
      <c r="AY40" s="26" t="n">
        <v>2</v>
      </c>
      <c r="AZ40" s="26" t="inlineStr">
        <is>
          <t>Nos</t>
        </is>
      </c>
      <c r="BA40" s="26" t="n">
        <v>300</v>
      </c>
      <c r="BB40" s="166">
        <f>AY40*BA40</f>
        <v/>
      </c>
      <c r="BC40" s="26" t="n">
        <v>2</v>
      </c>
      <c r="BD40" s="26" t="inlineStr">
        <is>
          <t>Nos</t>
        </is>
      </c>
      <c r="BE40" s="26" t="n">
        <v>300</v>
      </c>
      <c r="BF40" s="33">
        <f>BC40*BE40</f>
        <v/>
      </c>
      <c r="BG40" s="26" t="n">
        <v>1</v>
      </c>
      <c r="BH40" s="26" t="inlineStr">
        <is>
          <t>Nos</t>
        </is>
      </c>
      <c r="BI40" s="26" t="n">
        <v>300</v>
      </c>
      <c r="BJ40" s="166">
        <f>BG40*BI40</f>
        <v/>
      </c>
      <c r="BK40" s="26" t="n">
        <v>300</v>
      </c>
      <c r="BM40" s="167" t="n">
        <v>36</v>
      </c>
      <c r="BN40" s="26" t="inlineStr">
        <is>
          <t>Star Coupling L -95</t>
        </is>
      </c>
      <c r="BO40" s="26" t="n">
        <v>2</v>
      </c>
      <c r="BP40" s="26" t="inlineStr">
        <is>
          <t>Nos</t>
        </is>
      </c>
      <c r="BQ40" s="26" t="n">
        <v>300</v>
      </c>
      <c r="BR40" s="166">
        <f>BO40*BQ40</f>
        <v/>
      </c>
      <c r="BS40" s="26" t="n">
        <v>2</v>
      </c>
      <c r="BT40" s="26" t="inlineStr">
        <is>
          <t>Nos</t>
        </is>
      </c>
      <c r="BU40" s="26" t="n">
        <v>300</v>
      </c>
      <c r="BV40" s="33">
        <f>BS40*BU40</f>
        <v/>
      </c>
      <c r="BW40" s="26" t="n">
        <v>1</v>
      </c>
      <c r="BX40" s="26" t="inlineStr">
        <is>
          <t>Nos</t>
        </is>
      </c>
      <c r="BY40" s="26" t="n">
        <v>300</v>
      </c>
      <c r="BZ40" s="166">
        <f>BW40*BY40</f>
        <v/>
      </c>
      <c r="CA40" s="26" t="n">
        <v>300</v>
      </c>
      <c r="CC40" s="167" t="n">
        <v>36</v>
      </c>
      <c r="CD40" s="26" t="inlineStr">
        <is>
          <t>Star Coupling L -95</t>
        </is>
      </c>
      <c r="CE40" s="26" t="n">
        <v>2</v>
      </c>
      <c r="CF40" s="26" t="inlineStr">
        <is>
          <t>Nos</t>
        </is>
      </c>
      <c r="CG40" s="26" t="n">
        <v>300</v>
      </c>
      <c r="CH40" s="166">
        <f>CE40*CG40</f>
        <v/>
      </c>
      <c r="CI40" s="26" t="n">
        <v>2</v>
      </c>
      <c r="CJ40" s="26" t="inlineStr">
        <is>
          <t>Nos</t>
        </is>
      </c>
      <c r="CK40" s="26" t="n">
        <v>300</v>
      </c>
      <c r="CL40" s="33">
        <f>CI40*CK40</f>
        <v/>
      </c>
      <c r="CM40" s="26" t="n">
        <v>1</v>
      </c>
      <c r="CN40" s="26" t="inlineStr">
        <is>
          <t>Nos</t>
        </is>
      </c>
      <c r="CO40" s="26" t="n">
        <v>300</v>
      </c>
      <c r="CP40" s="166">
        <f>CM40*CO40</f>
        <v/>
      </c>
      <c r="CQ40" s="26" t="n">
        <v>300</v>
      </c>
      <c r="CS40" s="167" t="n">
        <v>36</v>
      </c>
      <c r="CT40" s="26" t="inlineStr">
        <is>
          <t>Star Coupling L -95</t>
        </is>
      </c>
      <c r="CU40" s="26" t="n">
        <v>2</v>
      </c>
      <c r="CV40" s="26" t="inlineStr">
        <is>
          <t>Nos</t>
        </is>
      </c>
      <c r="CW40" s="26" t="n">
        <v>300</v>
      </c>
      <c r="CX40" s="166">
        <f>CU40*CW40</f>
        <v/>
      </c>
      <c r="CY40" s="26" t="n">
        <v>2</v>
      </c>
      <c r="CZ40" s="26" t="inlineStr">
        <is>
          <t>Nos</t>
        </is>
      </c>
      <c r="DA40" s="26" t="n">
        <v>300</v>
      </c>
      <c r="DB40" s="33">
        <f>CY40*DA40</f>
        <v/>
      </c>
      <c r="DC40" s="26" t="n">
        <v>1</v>
      </c>
      <c r="DD40" s="26" t="inlineStr">
        <is>
          <t>Nos</t>
        </is>
      </c>
      <c r="DE40" s="26" t="n">
        <v>300</v>
      </c>
      <c r="DF40" s="166">
        <f>DC40*DE40</f>
        <v/>
      </c>
      <c r="DG40" s="26">
        <f>DF40-CP40</f>
        <v/>
      </c>
      <c r="DH40" s="167" t="n">
        <v>36</v>
      </c>
      <c r="DI40" s="26" t="inlineStr">
        <is>
          <t>Star Coupling L - 110</t>
        </is>
      </c>
      <c r="DJ40" s="26" t="n">
        <v>2</v>
      </c>
      <c r="DK40" s="26" t="inlineStr">
        <is>
          <t>Nos</t>
        </is>
      </c>
      <c r="DL40" s="168" t="n">
        <v>800</v>
      </c>
      <c r="DM40" s="166">
        <f>DJ40*DL40</f>
        <v/>
      </c>
      <c r="DN40" s="26" t="n">
        <v>2</v>
      </c>
      <c r="DO40" s="26" t="inlineStr">
        <is>
          <t>Nos</t>
        </is>
      </c>
      <c r="DP40" s="26" t="n">
        <v>600</v>
      </c>
      <c r="DQ40" s="33">
        <f>DN40*DP40</f>
        <v/>
      </c>
      <c r="DR40" s="26" t="n">
        <v>1</v>
      </c>
      <c r="DS40" s="26" t="inlineStr">
        <is>
          <t>Nos</t>
        </is>
      </c>
      <c r="DT40" s="26" t="n">
        <v>600</v>
      </c>
      <c r="DU40" s="166">
        <f>DR40*DT40</f>
        <v/>
      </c>
      <c r="DV40" s="26" t="n">
        <v>600</v>
      </c>
      <c r="DX40" s="167" t="n">
        <v>36</v>
      </c>
      <c r="DY40" s="26" t="inlineStr">
        <is>
          <t>Star Coupling L - 110</t>
        </is>
      </c>
      <c r="DZ40" s="26" t="n">
        <v>2</v>
      </c>
      <c r="EA40" s="26" t="inlineStr">
        <is>
          <t>Nos</t>
        </is>
      </c>
      <c r="EB40" s="168" t="n">
        <v>800</v>
      </c>
      <c r="EC40" s="166">
        <f>DZ40*EB40</f>
        <v/>
      </c>
      <c r="ED40" s="26" t="n">
        <v>2</v>
      </c>
      <c r="EE40" s="26" t="inlineStr">
        <is>
          <t>Nos</t>
        </is>
      </c>
      <c r="EF40" s="26" t="n">
        <v>600</v>
      </c>
      <c r="EG40" s="33">
        <f>ED40*EF40</f>
        <v/>
      </c>
      <c r="EH40" s="26" t="n">
        <v>1</v>
      </c>
      <c r="EI40" s="26" t="inlineStr">
        <is>
          <t>Nos</t>
        </is>
      </c>
      <c r="EJ40" s="26" t="n">
        <v>600</v>
      </c>
      <c r="EK40" s="166">
        <f>EH40*EJ40</f>
        <v/>
      </c>
      <c r="EL40" s="26" t="n">
        <v>600</v>
      </c>
      <c r="EN40" s="167" t="n">
        <v>36</v>
      </c>
      <c r="EO40" s="26" t="inlineStr">
        <is>
          <t>Star Coupling L - 110</t>
        </is>
      </c>
      <c r="EP40" s="26" t="n">
        <v>2</v>
      </c>
      <c r="EQ40" s="26" t="inlineStr">
        <is>
          <t>Nos</t>
        </is>
      </c>
      <c r="ER40" s="168" t="n">
        <v>800</v>
      </c>
      <c r="ES40" s="166">
        <f>EP40*ER40</f>
        <v/>
      </c>
      <c r="ET40" s="26" t="n">
        <v>2</v>
      </c>
      <c r="EU40" s="26" t="inlineStr">
        <is>
          <t>Nos</t>
        </is>
      </c>
      <c r="EV40" s="26" t="n">
        <v>600</v>
      </c>
      <c r="EW40" s="33">
        <f>ET40*EV40</f>
        <v/>
      </c>
      <c r="EX40" s="26" t="n">
        <v>1</v>
      </c>
      <c r="EY40" s="26" t="inlineStr">
        <is>
          <t>Nos</t>
        </is>
      </c>
      <c r="EZ40" s="26" t="n">
        <v>600</v>
      </c>
      <c r="FA40" s="166">
        <f>EX40*EZ40</f>
        <v/>
      </c>
      <c r="FB40" s="26" t="n">
        <v>600</v>
      </c>
    </row>
    <row r="41" ht="15.75" customHeight="1" s="307">
      <c r="A41" s="26" t="n">
        <v>37</v>
      </c>
      <c r="B41" s="26" t="inlineStr">
        <is>
          <t>Teflon Tape 3/4"</t>
        </is>
      </c>
      <c r="C41" s="30" t="n">
        <v>5</v>
      </c>
      <c r="D41" s="30" t="inlineStr">
        <is>
          <t>Nos</t>
        </is>
      </c>
      <c r="E41" s="30" t="n">
        <v>37</v>
      </c>
      <c r="F41" s="159">
        <f>C41*E41</f>
        <v/>
      </c>
      <c r="G41" s="30" t="n">
        <v>6</v>
      </c>
      <c r="H41" s="30" t="inlineStr">
        <is>
          <t>Nos</t>
        </is>
      </c>
      <c r="I41" s="30" t="n">
        <v>37</v>
      </c>
      <c r="J41" s="34">
        <f>G41*I41</f>
        <v/>
      </c>
      <c r="K41" s="30" t="n">
        <v>5</v>
      </c>
      <c r="L41" s="30" t="inlineStr">
        <is>
          <t>Nos</t>
        </is>
      </c>
      <c r="M41" s="30" t="n">
        <v>37</v>
      </c>
      <c r="N41" s="159">
        <f>K41*M41</f>
        <v/>
      </c>
      <c r="O41" s="30" t="n">
        <v>37</v>
      </c>
      <c r="Q41" s="26" t="n">
        <v>37</v>
      </c>
      <c r="R41" s="26" t="inlineStr">
        <is>
          <t>Nut / Bolt 3/8x1/2'',5/16x1/2''</t>
        </is>
      </c>
      <c r="S41" s="26" t="n">
        <v>2</v>
      </c>
      <c r="T41" s="26" t="inlineStr">
        <is>
          <t>kg</t>
        </is>
      </c>
      <c r="U41" s="26" t="n">
        <v>100</v>
      </c>
      <c r="V41" s="166">
        <f>S41*U41</f>
        <v/>
      </c>
      <c r="W41" s="26" t="n">
        <v>1.5</v>
      </c>
      <c r="X41" s="26" t="inlineStr">
        <is>
          <t>kg</t>
        </is>
      </c>
      <c r="Y41" s="26" t="n">
        <v>100</v>
      </c>
      <c r="Z41" s="33">
        <f>W41*Y41</f>
        <v/>
      </c>
      <c r="AA41" s="26" t="n">
        <v>2</v>
      </c>
      <c r="AB41" s="26" t="inlineStr">
        <is>
          <t>kg</t>
        </is>
      </c>
      <c r="AC41" s="26" t="n">
        <v>100</v>
      </c>
      <c r="AD41" s="166">
        <f>AA41*AC41</f>
        <v/>
      </c>
      <c r="AE41" s="26" t="n">
        <v>100</v>
      </c>
      <c r="AG41" s="167" t="n">
        <v>37</v>
      </c>
      <c r="AH41" s="26" t="inlineStr">
        <is>
          <t>Teflon Tape 3/4"</t>
        </is>
      </c>
      <c r="AI41" s="26" t="n">
        <v>5</v>
      </c>
      <c r="AJ41" s="26" t="inlineStr">
        <is>
          <t>Nos</t>
        </is>
      </c>
      <c r="AK41" s="26" t="n">
        <v>36</v>
      </c>
      <c r="AL41" s="166">
        <f>AI41*AK41</f>
        <v/>
      </c>
      <c r="AM41" s="26" t="n">
        <v>6</v>
      </c>
      <c r="AN41" s="26" t="inlineStr">
        <is>
          <t>Nos</t>
        </is>
      </c>
      <c r="AO41" s="26" t="n">
        <v>36</v>
      </c>
      <c r="AP41" s="33">
        <f>AM41*AO41</f>
        <v/>
      </c>
      <c r="AQ41" s="26" t="n">
        <v>5</v>
      </c>
      <c r="AR41" s="26" t="inlineStr">
        <is>
          <t>Nos</t>
        </is>
      </c>
      <c r="AS41" s="26" t="n">
        <v>36</v>
      </c>
      <c r="AT41" s="166">
        <f>AQ41*AS41</f>
        <v/>
      </c>
      <c r="AU41" s="26" t="n">
        <v>36</v>
      </c>
      <c r="AW41" s="167" t="n">
        <v>37</v>
      </c>
      <c r="AX41" s="26" t="inlineStr">
        <is>
          <t>Teflon Tape 3/4"</t>
        </is>
      </c>
      <c r="AY41" s="26" t="n">
        <v>5</v>
      </c>
      <c r="AZ41" s="26" t="inlineStr">
        <is>
          <t>Nos</t>
        </is>
      </c>
      <c r="BA41" s="26" t="n">
        <v>36</v>
      </c>
      <c r="BB41" s="166">
        <f>AY41*BA41</f>
        <v/>
      </c>
      <c r="BC41" s="26" t="n">
        <v>6</v>
      </c>
      <c r="BD41" s="26" t="inlineStr">
        <is>
          <t>Nos</t>
        </is>
      </c>
      <c r="BE41" s="26" t="n">
        <v>36</v>
      </c>
      <c r="BF41" s="33">
        <f>BC41*BE41</f>
        <v/>
      </c>
      <c r="BG41" s="26" t="n">
        <v>5</v>
      </c>
      <c r="BH41" s="26" t="inlineStr">
        <is>
          <t>Nos</t>
        </is>
      </c>
      <c r="BI41" s="26" t="n">
        <v>36</v>
      </c>
      <c r="BJ41" s="166">
        <f>BG41*BI41</f>
        <v/>
      </c>
      <c r="BK41" s="26" t="n">
        <v>36</v>
      </c>
      <c r="BM41" s="167" t="n">
        <v>37</v>
      </c>
      <c r="BN41" s="26" t="inlineStr">
        <is>
          <t>Teflon Tape 3/4"</t>
        </is>
      </c>
      <c r="BO41" s="26" t="n">
        <v>5</v>
      </c>
      <c r="BP41" s="26" t="inlineStr">
        <is>
          <t>Nos</t>
        </is>
      </c>
      <c r="BQ41" s="26" t="n">
        <v>36</v>
      </c>
      <c r="BR41" s="166">
        <f>BO41*BQ41</f>
        <v/>
      </c>
      <c r="BS41" s="26" t="n">
        <v>6</v>
      </c>
      <c r="BT41" s="26" t="inlineStr">
        <is>
          <t>Nos</t>
        </is>
      </c>
      <c r="BU41" s="26" t="n">
        <v>36</v>
      </c>
      <c r="BV41" s="33">
        <f>BS41*BU41</f>
        <v/>
      </c>
      <c r="BW41" s="26" t="n">
        <v>5</v>
      </c>
      <c r="BX41" s="26" t="inlineStr">
        <is>
          <t>Nos</t>
        </is>
      </c>
      <c r="BY41" s="26" t="n">
        <v>36</v>
      </c>
      <c r="BZ41" s="166">
        <f>BW41*BY41</f>
        <v/>
      </c>
      <c r="CA41" s="26" t="n">
        <v>36</v>
      </c>
      <c r="CC41" s="167" t="n">
        <v>37</v>
      </c>
      <c r="CD41" s="26" t="inlineStr">
        <is>
          <t>Teflon Tape 3/4"</t>
        </is>
      </c>
      <c r="CE41" s="26" t="n">
        <v>5</v>
      </c>
      <c r="CF41" s="26" t="inlineStr">
        <is>
          <t>Nos</t>
        </is>
      </c>
      <c r="CG41" s="26" t="n">
        <v>36</v>
      </c>
      <c r="CH41" s="166">
        <f>CE41*CG41</f>
        <v/>
      </c>
      <c r="CI41" s="26" t="n">
        <v>6</v>
      </c>
      <c r="CJ41" s="26" t="inlineStr">
        <is>
          <t>Nos</t>
        </is>
      </c>
      <c r="CK41" s="26" t="n">
        <v>36</v>
      </c>
      <c r="CL41" s="33">
        <f>CI41*CK41</f>
        <v/>
      </c>
      <c r="CM41" s="26" t="n">
        <v>5</v>
      </c>
      <c r="CN41" s="26" t="inlineStr">
        <is>
          <t>Nos</t>
        </is>
      </c>
      <c r="CO41" s="26" t="n">
        <v>36</v>
      </c>
      <c r="CP41" s="166">
        <f>CM41*CO41</f>
        <v/>
      </c>
      <c r="CQ41" s="26" t="n">
        <v>36</v>
      </c>
      <c r="CS41" s="167" t="n">
        <v>37</v>
      </c>
      <c r="CT41" s="26" t="inlineStr">
        <is>
          <t>Teflon Tape 3/4"</t>
        </is>
      </c>
      <c r="CU41" s="26" t="n">
        <v>5</v>
      </c>
      <c r="CV41" s="26" t="inlineStr">
        <is>
          <t>Nos</t>
        </is>
      </c>
      <c r="CW41" s="26" t="n">
        <v>36</v>
      </c>
      <c r="CX41" s="166">
        <f>CU41*CW41</f>
        <v/>
      </c>
      <c r="CY41" s="26" t="n">
        <v>6</v>
      </c>
      <c r="CZ41" s="26" t="inlineStr">
        <is>
          <t>Nos</t>
        </is>
      </c>
      <c r="DA41" s="26" t="n">
        <v>36</v>
      </c>
      <c r="DB41" s="33">
        <f>CY41*DA41</f>
        <v/>
      </c>
      <c r="DC41" s="26" t="n">
        <v>5</v>
      </c>
      <c r="DD41" s="26" t="inlineStr">
        <is>
          <t>Nos</t>
        </is>
      </c>
      <c r="DE41" s="26" t="n">
        <v>36</v>
      </c>
      <c r="DF41" s="166">
        <f>DC41*DE41</f>
        <v/>
      </c>
      <c r="DG41" s="26">
        <f>DF41-CP41</f>
        <v/>
      </c>
      <c r="DH41" s="167" t="n">
        <v>37</v>
      </c>
      <c r="DI41" s="26" t="inlineStr">
        <is>
          <t>Teflon Tape 3/4"</t>
        </is>
      </c>
      <c r="DJ41" s="26" t="n">
        <v>5</v>
      </c>
      <c r="DK41" s="26" t="inlineStr">
        <is>
          <t>Nos</t>
        </is>
      </c>
      <c r="DL41" s="26" t="n">
        <v>36</v>
      </c>
      <c r="DM41" s="166">
        <f>DJ41*DL41</f>
        <v/>
      </c>
      <c r="DN41" s="26" t="n">
        <v>6</v>
      </c>
      <c r="DO41" s="26" t="inlineStr">
        <is>
          <t>Nos</t>
        </is>
      </c>
      <c r="DP41" s="26" t="n">
        <v>36</v>
      </c>
      <c r="DQ41" s="33">
        <f>DN41*DP41</f>
        <v/>
      </c>
      <c r="DR41" s="26" t="n">
        <v>5</v>
      </c>
      <c r="DS41" s="26" t="inlineStr">
        <is>
          <t>Nos</t>
        </is>
      </c>
      <c r="DT41" s="26" t="n">
        <v>36</v>
      </c>
      <c r="DU41" s="166">
        <f>DR41*DT41</f>
        <v/>
      </c>
      <c r="DV41" s="26" t="n">
        <v>36</v>
      </c>
      <c r="DX41" s="167" t="n">
        <v>37</v>
      </c>
      <c r="DY41" s="26" t="inlineStr">
        <is>
          <t>Teflon Tape 3/4"</t>
        </is>
      </c>
      <c r="DZ41" s="26" t="n">
        <v>5</v>
      </c>
      <c r="EA41" s="26" t="inlineStr">
        <is>
          <t>Nos</t>
        </is>
      </c>
      <c r="EB41" s="26" t="n">
        <v>36</v>
      </c>
      <c r="EC41" s="166">
        <f>DZ41*EB41</f>
        <v/>
      </c>
      <c r="ED41" s="26" t="n">
        <v>6</v>
      </c>
      <c r="EE41" s="26" t="inlineStr">
        <is>
          <t>Nos</t>
        </is>
      </c>
      <c r="EF41" s="26" t="n">
        <v>36</v>
      </c>
      <c r="EG41" s="33">
        <f>ED41*EF41</f>
        <v/>
      </c>
      <c r="EH41" s="26" t="n">
        <v>5</v>
      </c>
      <c r="EI41" s="26" t="inlineStr">
        <is>
          <t>Nos</t>
        </is>
      </c>
      <c r="EJ41" s="26" t="n">
        <v>36</v>
      </c>
      <c r="EK41" s="166">
        <f>EH41*EJ41</f>
        <v/>
      </c>
      <c r="EL41" s="26" t="n">
        <v>36</v>
      </c>
      <c r="EN41" s="167" t="n">
        <v>37</v>
      </c>
      <c r="EO41" s="26" t="inlineStr">
        <is>
          <t>Teflon Tape 3/4"</t>
        </is>
      </c>
      <c r="EP41" s="26" t="n">
        <v>5</v>
      </c>
      <c r="EQ41" s="26" t="inlineStr">
        <is>
          <t>Nos</t>
        </is>
      </c>
      <c r="ER41" s="26" t="n">
        <v>36</v>
      </c>
      <c r="ES41" s="166">
        <f>EP41*ER41</f>
        <v/>
      </c>
      <c r="ET41" s="26" t="n">
        <v>6</v>
      </c>
      <c r="EU41" s="26" t="inlineStr">
        <is>
          <t>Nos</t>
        </is>
      </c>
      <c r="EV41" s="26" t="n">
        <v>36</v>
      </c>
      <c r="EW41" s="33">
        <f>ET41*EV41</f>
        <v/>
      </c>
      <c r="EX41" s="26" t="n">
        <v>5</v>
      </c>
      <c r="EY41" s="26" t="inlineStr">
        <is>
          <t>Nos</t>
        </is>
      </c>
      <c r="EZ41" s="26" t="n">
        <v>36</v>
      </c>
      <c r="FA41" s="166">
        <f>EX41*EZ41</f>
        <v/>
      </c>
      <c r="FB41" s="26" t="n">
        <v>36</v>
      </c>
    </row>
    <row r="42" ht="15.75" customHeight="1" s="307">
      <c r="A42" s="26" t="n">
        <v>38</v>
      </c>
      <c r="B42" s="26" t="inlineStr">
        <is>
          <t>Nut / Bolt 3/8x1/2'',5/16x1/2''</t>
        </is>
      </c>
      <c r="C42" s="30" t="n">
        <v>2</v>
      </c>
      <c r="D42" s="30" t="inlineStr">
        <is>
          <t>kg</t>
        </is>
      </c>
      <c r="E42" s="30" t="n">
        <v>100</v>
      </c>
      <c r="F42" s="159">
        <f>C42*E42</f>
        <v/>
      </c>
      <c r="G42" s="30" t="n">
        <v>1.5</v>
      </c>
      <c r="H42" s="30" t="inlineStr">
        <is>
          <t>kg</t>
        </is>
      </c>
      <c r="I42" s="30" t="n">
        <v>100</v>
      </c>
      <c r="J42" s="34">
        <f>G42*I42</f>
        <v/>
      </c>
      <c r="K42" s="30" t="n">
        <v>2</v>
      </c>
      <c r="L42" s="30" t="inlineStr">
        <is>
          <t>kg</t>
        </is>
      </c>
      <c r="M42" s="30" t="n">
        <v>100</v>
      </c>
      <c r="N42" s="159">
        <f>K42*M42</f>
        <v/>
      </c>
      <c r="O42" s="30" t="n">
        <v>100</v>
      </c>
      <c r="Q42" s="26" t="n">
        <v>38</v>
      </c>
      <c r="R42" s="26" t="inlineStr">
        <is>
          <t>Red Oxide</t>
        </is>
      </c>
      <c r="S42" s="26" t="n">
        <v>1</v>
      </c>
      <c r="T42" s="26" t="inlineStr">
        <is>
          <t>Ltr.</t>
        </is>
      </c>
      <c r="U42" s="26" t="n">
        <v>150</v>
      </c>
      <c r="V42" s="166">
        <f>S42*U42</f>
        <v/>
      </c>
      <c r="W42" s="26" t="n">
        <v>1</v>
      </c>
      <c r="X42" s="26" t="inlineStr">
        <is>
          <t>Ltr.</t>
        </is>
      </c>
      <c r="Y42" s="26" t="n">
        <v>150</v>
      </c>
      <c r="Z42" s="33">
        <f>W42*Y42</f>
        <v/>
      </c>
      <c r="AA42" s="26" t="n">
        <v>1</v>
      </c>
      <c r="AB42" s="26" t="inlineStr">
        <is>
          <t>Ltr.</t>
        </is>
      </c>
      <c r="AC42" s="26" t="n">
        <v>150</v>
      </c>
      <c r="AD42" s="166">
        <f>AA42*AC42</f>
        <v/>
      </c>
      <c r="AE42" s="26" t="n">
        <v>150</v>
      </c>
      <c r="AG42" s="167" t="n">
        <v>38</v>
      </c>
      <c r="AH42" s="26" t="inlineStr">
        <is>
          <t>Nut / Bolt 3/8x1/2'',5/16x1/2''</t>
        </is>
      </c>
      <c r="AI42" s="26" t="n">
        <v>2</v>
      </c>
      <c r="AJ42" s="26" t="inlineStr">
        <is>
          <t>kg</t>
        </is>
      </c>
      <c r="AK42" s="26" t="n">
        <v>100</v>
      </c>
      <c r="AL42" s="166">
        <f>AI42*AK42</f>
        <v/>
      </c>
      <c r="AM42" s="26" t="n">
        <v>1.5</v>
      </c>
      <c r="AN42" s="26" t="inlineStr">
        <is>
          <t>kg</t>
        </is>
      </c>
      <c r="AO42" s="26" t="n">
        <v>100</v>
      </c>
      <c r="AP42" s="33">
        <f>AM42*AO42</f>
        <v/>
      </c>
      <c r="AQ42" s="26" t="n">
        <v>2</v>
      </c>
      <c r="AR42" s="26" t="inlineStr">
        <is>
          <t>kg</t>
        </is>
      </c>
      <c r="AS42" s="26" t="n">
        <v>100</v>
      </c>
      <c r="AT42" s="166">
        <f>AQ42*AS42</f>
        <v/>
      </c>
      <c r="AU42" s="26" t="n">
        <v>100</v>
      </c>
      <c r="AW42" s="167" t="n">
        <v>38</v>
      </c>
      <c r="AX42" s="26" t="inlineStr">
        <is>
          <t>Nut / Bolt 3/8x1/2'',5/16x1/2''</t>
        </is>
      </c>
      <c r="AY42" s="26" t="n">
        <v>2</v>
      </c>
      <c r="AZ42" s="26" t="inlineStr">
        <is>
          <t>kg</t>
        </is>
      </c>
      <c r="BA42" s="26" t="n">
        <v>100</v>
      </c>
      <c r="BB42" s="166">
        <f>AY42*BA42</f>
        <v/>
      </c>
      <c r="BC42" s="26" t="n">
        <v>1.5</v>
      </c>
      <c r="BD42" s="26" t="inlineStr">
        <is>
          <t>kg</t>
        </is>
      </c>
      <c r="BE42" s="26" t="n">
        <v>100</v>
      </c>
      <c r="BF42" s="33">
        <f>BC42*BE42</f>
        <v/>
      </c>
      <c r="BG42" s="26" t="n">
        <v>2</v>
      </c>
      <c r="BH42" s="26" t="inlineStr">
        <is>
          <t>kg</t>
        </is>
      </c>
      <c r="BI42" s="26" t="n">
        <v>100</v>
      </c>
      <c r="BJ42" s="166">
        <f>BG42*BI42</f>
        <v/>
      </c>
      <c r="BK42" s="26" t="n">
        <v>100</v>
      </c>
      <c r="BM42" s="167" t="n">
        <v>38</v>
      </c>
      <c r="BN42" s="26" t="inlineStr">
        <is>
          <t>Nut / Bolt 3/8x1/2'',5/16x1/2''</t>
        </is>
      </c>
      <c r="BO42" s="26" t="n">
        <v>2</v>
      </c>
      <c r="BP42" s="26" t="inlineStr">
        <is>
          <t>kg</t>
        </is>
      </c>
      <c r="BQ42" s="26" t="n">
        <v>100</v>
      </c>
      <c r="BR42" s="166">
        <f>BO42*BQ42</f>
        <v/>
      </c>
      <c r="BS42" s="26" t="n">
        <v>1.5</v>
      </c>
      <c r="BT42" s="26" t="inlineStr">
        <is>
          <t>kg</t>
        </is>
      </c>
      <c r="BU42" s="26" t="n">
        <v>100</v>
      </c>
      <c r="BV42" s="33">
        <f>BS42*BU42</f>
        <v/>
      </c>
      <c r="BW42" s="26" t="n">
        <v>2</v>
      </c>
      <c r="BX42" s="26" t="inlineStr">
        <is>
          <t>kg</t>
        </is>
      </c>
      <c r="BY42" s="26" t="n">
        <v>80</v>
      </c>
      <c r="BZ42" s="166">
        <f>BW42*BY42</f>
        <v/>
      </c>
      <c r="CA42" s="26" t="n">
        <v>100</v>
      </c>
      <c r="CC42" s="167" t="n">
        <v>38</v>
      </c>
      <c r="CD42" s="26" t="inlineStr">
        <is>
          <t>Nut / Bolt 3/8x1/2'',5/16x1/2''</t>
        </is>
      </c>
      <c r="CE42" s="26" t="n">
        <v>2</v>
      </c>
      <c r="CF42" s="26" t="inlineStr">
        <is>
          <t>kg</t>
        </is>
      </c>
      <c r="CG42" s="26" t="n">
        <v>100</v>
      </c>
      <c r="CH42" s="166">
        <f>CE42*CG42</f>
        <v/>
      </c>
      <c r="CI42" s="26" t="n">
        <v>1.5</v>
      </c>
      <c r="CJ42" s="26" t="inlineStr">
        <is>
          <t>kg</t>
        </is>
      </c>
      <c r="CK42" s="26" t="n">
        <v>100</v>
      </c>
      <c r="CL42" s="33">
        <f>CI42*CK42</f>
        <v/>
      </c>
      <c r="CM42" s="26" t="n">
        <v>2</v>
      </c>
      <c r="CN42" s="26" t="inlineStr">
        <is>
          <t>kg</t>
        </is>
      </c>
      <c r="CO42" s="26" t="n">
        <v>100</v>
      </c>
      <c r="CP42" s="166">
        <f>CM42*CO42</f>
        <v/>
      </c>
      <c r="CQ42" s="26" t="n">
        <v>100</v>
      </c>
      <c r="CS42" s="167" t="n">
        <v>38</v>
      </c>
      <c r="CT42" s="26" t="inlineStr">
        <is>
          <t>Nut / Bolt 3/8x1/2'',5/16x1/2''</t>
        </is>
      </c>
      <c r="CU42" s="26" t="n">
        <v>2</v>
      </c>
      <c r="CV42" s="26" t="inlineStr">
        <is>
          <t>kg</t>
        </is>
      </c>
      <c r="CW42" s="26" t="n">
        <v>100</v>
      </c>
      <c r="CX42" s="166">
        <f>CU42*CW42</f>
        <v/>
      </c>
      <c r="CY42" s="26" t="n">
        <v>1.5</v>
      </c>
      <c r="CZ42" s="26" t="inlineStr">
        <is>
          <t>kg</t>
        </is>
      </c>
      <c r="DA42" s="26" t="n">
        <v>100</v>
      </c>
      <c r="DB42" s="33">
        <f>CY42*DA42</f>
        <v/>
      </c>
      <c r="DC42" s="26" t="n">
        <v>2</v>
      </c>
      <c r="DD42" s="26" t="inlineStr">
        <is>
          <t>kg</t>
        </is>
      </c>
      <c r="DE42" s="26" t="n">
        <v>100</v>
      </c>
      <c r="DF42" s="166">
        <f>DC42*DE42</f>
        <v/>
      </c>
      <c r="DG42" s="26">
        <f>DF42-CP42</f>
        <v/>
      </c>
      <c r="DH42" s="167" t="n">
        <v>38</v>
      </c>
      <c r="DI42" s="26" t="inlineStr">
        <is>
          <t>Nut / Bolt 1/2x 2 '',5/16x1/2''</t>
        </is>
      </c>
      <c r="DJ42" s="26" t="n">
        <v>3.5</v>
      </c>
      <c r="DK42" s="26" t="inlineStr">
        <is>
          <t>kg</t>
        </is>
      </c>
      <c r="DL42" s="26" t="n">
        <v>100</v>
      </c>
      <c r="DM42" s="166">
        <f>DJ42*DL42</f>
        <v/>
      </c>
      <c r="DN42" s="26" t="n">
        <v>3.5</v>
      </c>
      <c r="DO42" s="26" t="inlineStr">
        <is>
          <t>kg</t>
        </is>
      </c>
      <c r="DP42" s="26" t="n">
        <v>100</v>
      </c>
      <c r="DQ42" s="33">
        <f>DN42*DP42</f>
        <v/>
      </c>
      <c r="DR42" s="26" t="n">
        <v>3.5</v>
      </c>
      <c r="DS42" s="26" t="inlineStr">
        <is>
          <t>kg</t>
        </is>
      </c>
      <c r="DT42" s="26" t="n">
        <v>100</v>
      </c>
      <c r="DU42" s="166">
        <f>DR42*DT42</f>
        <v/>
      </c>
      <c r="DV42" s="26" t="n">
        <v>100</v>
      </c>
      <c r="DX42" s="167" t="n">
        <v>38</v>
      </c>
      <c r="DY42" s="26" t="inlineStr">
        <is>
          <t>Nut / Bolt 1/2x 2 '',5/16x1/2''</t>
        </is>
      </c>
      <c r="DZ42" s="26" t="n">
        <v>3.5</v>
      </c>
      <c r="EA42" s="26" t="inlineStr">
        <is>
          <t>kg</t>
        </is>
      </c>
      <c r="EB42" s="26" t="n">
        <v>100</v>
      </c>
      <c r="EC42" s="166">
        <f>DZ42*EB42</f>
        <v/>
      </c>
      <c r="ED42" s="26" t="n">
        <v>3.5</v>
      </c>
      <c r="EE42" s="26" t="inlineStr">
        <is>
          <t>kg</t>
        </is>
      </c>
      <c r="EF42" s="26" t="n">
        <v>100</v>
      </c>
      <c r="EG42" s="33">
        <f>ED42*EF42</f>
        <v/>
      </c>
      <c r="EH42" s="26" t="n">
        <v>3.5</v>
      </c>
      <c r="EI42" s="26" t="inlineStr">
        <is>
          <t>kg</t>
        </is>
      </c>
      <c r="EJ42" s="26" t="n">
        <v>100</v>
      </c>
      <c r="EK42" s="166">
        <f>EH42*EJ42</f>
        <v/>
      </c>
      <c r="EL42" s="26" t="n">
        <v>100</v>
      </c>
      <c r="EN42" s="167" t="n">
        <v>38</v>
      </c>
      <c r="EO42" s="26" t="inlineStr">
        <is>
          <t>Nut / Bolt 1/2x 2 '',5/16x1/2''</t>
        </is>
      </c>
      <c r="EP42" s="26" t="n">
        <v>3.5</v>
      </c>
      <c r="EQ42" s="26" t="inlineStr">
        <is>
          <t>kg</t>
        </is>
      </c>
      <c r="ER42" s="26" t="n">
        <v>100</v>
      </c>
      <c r="ES42" s="166">
        <f>EP42*ER42</f>
        <v/>
      </c>
      <c r="ET42" s="26" t="n">
        <v>3.5</v>
      </c>
      <c r="EU42" s="26" t="inlineStr">
        <is>
          <t>kg</t>
        </is>
      </c>
      <c r="EV42" s="26" t="n">
        <v>100</v>
      </c>
      <c r="EW42" s="33">
        <f>ET42*EV42</f>
        <v/>
      </c>
      <c r="EX42" s="26" t="n">
        <v>3.5</v>
      </c>
      <c r="EY42" s="26" t="inlineStr">
        <is>
          <t>kg</t>
        </is>
      </c>
      <c r="EZ42" s="26" t="n">
        <v>100</v>
      </c>
      <c r="FA42" s="166">
        <f>EX42*EZ42</f>
        <v/>
      </c>
      <c r="FB42" s="26" t="n">
        <v>100</v>
      </c>
    </row>
    <row r="43" ht="15.75" customHeight="1" s="307">
      <c r="A43" s="26" t="n">
        <v>39</v>
      </c>
      <c r="B43" s="26" t="inlineStr">
        <is>
          <t>Red Oxide</t>
        </is>
      </c>
      <c r="C43" s="30" t="n">
        <v>1</v>
      </c>
      <c r="D43" s="30" t="inlineStr">
        <is>
          <t>Ltr.</t>
        </is>
      </c>
      <c r="E43" s="30" t="n">
        <v>150</v>
      </c>
      <c r="F43" s="159">
        <f>C43*E43</f>
        <v/>
      </c>
      <c r="G43" s="30" t="n">
        <v>1</v>
      </c>
      <c r="H43" s="30" t="inlineStr">
        <is>
          <t>Ltr.</t>
        </is>
      </c>
      <c r="I43" s="30" t="n">
        <v>150</v>
      </c>
      <c r="J43" s="34">
        <f>G43*I43</f>
        <v/>
      </c>
      <c r="K43" s="30" t="n">
        <v>1</v>
      </c>
      <c r="L43" s="30" t="inlineStr">
        <is>
          <t>Ltr.</t>
        </is>
      </c>
      <c r="M43" s="30" t="n">
        <v>150</v>
      </c>
      <c r="N43" s="159">
        <f>K43*M43</f>
        <v/>
      </c>
      <c r="O43" s="30" t="n">
        <v>150</v>
      </c>
      <c r="Q43" s="26" t="n">
        <v>39</v>
      </c>
      <c r="R43" s="26" t="inlineStr">
        <is>
          <t>Hammer Ton Deep Blue</t>
        </is>
      </c>
      <c r="S43" s="26" t="n">
        <v>0.5</v>
      </c>
      <c r="T43" s="26" t="inlineStr">
        <is>
          <t>g</t>
        </is>
      </c>
      <c r="U43" s="26" t="n">
        <v>250</v>
      </c>
      <c r="V43" s="166">
        <f>S43*U43</f>
        <v/>
      </c>
      <c r="W43" s="26" t="n">
        <v>1</v>
      </c>
      <c r="X43" s="26" t="inlineStr">
        <is>
          <t>Ltr.</t>
        </is>
      </c>
      <c r="Y43" s="26" t="n">
        <v>250</v>
      </c>
      <c r="Z43" s="33">
        <f>W43*Y43</f>
        <v/>
      </c>
      <c r="AA43" s="26" t="n">
        <v>0.5</v>
      </c>
      <c r="AB43" s="26" t="inlineStr">
        <is>
          <t>g</t>
        </is>
      </c>
      <c r="AC43" s="26" t="n">
        <v>250</v>
      </c>
      <c r="AD43" s="166">
        <f>AA43*AC43</f>
        <v/>
      </c>
      <c r="AE43" s="26" t="n">
        <v>250</v>
      </c>
      <c r="AG43" s="167" t="n">
        <v>39</v>
      </c>
      <c r="AH43" s="26" t="inlineStr">
        <is>
          <t>Red Oxide</t>
        </is>
      </c>
      <c r="AI43" s="26" t="n">
        <v>1</v>
      </c>
      <c r="AJ43" s="26" t="inlineStr">
        <is>
          <t>Ltr.</t>
        </is>
      </c>
      <c r="AK43" s="26" t="n">
        <v>150</v>
      </c>
      <c r="AL43" s="166">
        <f>AI43*AK43</f>
        <v/>
      </c>
      <c r="AM43" s="26" t="n">
        <v>1</v>
      </c>
      <c r="AN43" s="26" t="inlineStr">
        <is>
          <t>Ltr.</t>
        </is>
      </c>
      <c r="AO43" s="26" t="n">
        <v>150</v>
      </c>
      <c r="AP43" s="33">
        <f>AM43*AO43</f>
        <v/>
      </c>
      <c r="AQ43" s="26" t="n">
        <v>1</v>
      </c>
      <c r="AR43" s="26" t="inlineStr">
        <is>
          <t>Ltr.</t>
        </is>
      </c>
      <c r="AS43" s="26" t="n">
        <v>150</v>
      </c>
      <c r="AT43" s="166">
        <f>AQ43*AS43</f>
        <v/>
      </c>
      <c r="AU43" s="26" t="n">
        <v>150</v>
      </c>
      <c r="AW43" s="167" t="n">
        <v>39</v>
      </c>
      <c r="AX43" s="26" t="inlineStr">
        <is>
          <t>Red Oxide</t>
        </is>
      </c>
      <c r="AY43" s="26" t="n">
        <v>1</v>
      </c>
      <c r="AZ43" s="26" t="inlineStr">
        <is>
          <t>Ltr.</t>
        </is>
      </c>
      <c r="BA43" s="26" t="n">
        <v>150</v>
      </c>
      <c r="BB43" s="166">
        <f>AY43*BA43</f>
        <v/>
      </c>
      <c r="BC43" s="26" t="n">
        <v>1</v>
      </c>
      <c r="BD43" s="26" t="inlineStr">
        <is>
          <t>Ltr.</t>
        </is>
      </c>
      <c r="BE43" s="26" t="n">
        <v>150</v>
      </c>
      <c r="BF43" s="33">
        <f>BC43*BE43</f>
        <v/>
      </c>
      <c r="BG43" s="26" t="n">
        <v>1</v>
      </c>
      <c r="BH43" s="26" t="inlineStr">
        <is>
          <t>Ltr.</t>
        </is>
      </c>
      <c r="BI43" s="26" t="n">
        <v>150</v>
      </c>
      <c r="BJ43" s="166">
        <f>BG43*BI43</f>
        <v/>
      </c>
      <c r="BK43" s="26" t="n">
        <v>150</v>
      </c>
      <c r="BM43" s="167" t="n">
        <v>39</v>
      </c>
      <c r="BN43" s="26" t="inlineStr">
        <is>
          <t>Red Oxide</t>
        </is>
      </c>
      <c r="BO43" s="26" t="n">
        <v>1</v>
      </c>
      <c r="BP43" s="26" t="inlineStr">
        <is>
          <t>Ltr.</t>
        </is>
      </c>
      <c r="BQ43" s="26" t="n">
        <v>150</v>
      </c>
      <c r="BR43" s="166">
        <f>BO43*BQ43</f>
        <v/>
      </c>
      <c r="BS43" s="26" t="n">
        <v>1</v>
      </c>
      <c r="BT43" s="26" t="inlineStr">
        <is>
          <t>Ltr.</t>
        </is>
      </c>
      <c r="BU43" s="26" t="n">
        <v>150</v>
      </c>
      <c r="BV43" s="33">
        <f>BS43*BU43</f>
        <v/>
      </c>
      <c r="BW43" s="26" t="n">
        <v>1</v>
      </c>
      <c r="BX43" s="26" t="inlineStr">
        <is>
          <t>Ltr.</t>
        </is>
      </c>
      <c r="BY43" s="26" t="n">
        <v>150</v>
      </c>
      <c r="BZ43" s="166">
        <f>BW43*BY43</f>
        <v/>
      </c>
      <c r="CA43" s="26" t="n">
        <v>150</v>
      </c>
      <c r="CC43" s="167" t="n">
        <v>39</v>
      </c>
      <c r="CD43" s="26" t="inlineStr">
        <is>
          <t>Red Oxide</t>
        </is>
      </c>
      <c r="CE43" s="26" t="n">
        <v>1</v>
      </c>
      <c r="CF43" s="26" t="inlineStr">
        <is>
          <t>Ltr.</t>
        </is>
      </c>
      <c r="CG43" s="26" t="n">
        <v>150</v>
      </c>
      <c r="CH43" s="166">
        <f>CE43*CG43</f>
        <v/>
      </c>
      <c r="CI43" s="26" t="n">
        <v>1</v>
      </c>
      <c r="CJ43" s="26" t="inlineStr">
        <is>
          <t>Ltr.</t>
        </is>
      </c>
      <c r="CK43" s="26" t="n">
        <v>150</v>
      </c>
      <c r="CL43" s="33">
        <f>CI43*CK43</f>
        <v/>
      </c>
      <c r="CM43" s="26" t="n">
        <v>1</v>
      </c>
      <c r="CN43" s="26" t="inlineStr">
        <is>
          <t>Ltr.</t>
        </is>
      </c>
      <c r="CO43" s="26" t="n">
        <v>150</v>
      </c>
      <c r="CP43" s="166">
        <f>CM43*CO43</f>
        <v/>
      </c>
      <c r="CQ43" s="26" t="n">
        <v>150</v>
      </c>
      <c r="CS43" s="167" t="n">
        <v>39</v>
      </c>
      <c r="CT43" s="26" t="inlineStr">
        <is>
          <t>Red Oxide</t>
        </is>
      </c>
      <c r="CU43" s="26" t="n">
        <v>1</v>
      </c>
      <c r="CV43" s="26" t="inlineStr">
        <is>
          <t>Ltr.</t>
        </is>
      </c>
      <c r="CW43" s="26" t="n">
        <v>150</v>
      </c>
      <c r="CX43" s="166">
        <f>CU43*CW43</f>
        <v/>
      </c>
      <c r="CY43" s="26" t="n">
        <v>1</v>
      </c>
      <c r="CZ43" s="26" t="inlineStr">
        <is>
          <t>Ltr.</t>
        </is>
      </c>
      <c r="DA43" s="26" t="n">
        <v>150</v>
      </c>
      <c r="DB43" s="33">
        <f>CY43*DA43</f>
        <v/>
      </c>
      <c r="DC43" s="26" t="n">
        <v>1</v>
      </c>
      <c r="DD43" s="26" t="inlineStr">
        <is>
          <t>Ltr.</t>
        </is>
      </c>
      <c r="DE43" s="26" t="n">
        <v>150</v>
      </c>
      <c r="DF43" s="166">
        <f>DC43*DE43</f>
        <v/>
      </c>
      <c r="DG43" s="26">
        <f>DF43-CP43</f>
        <v/>
      </c>
      <c r="DH43" s="167" t="n">
        <v>39</v>
      </c>
      <c r="DI43" s="26" t="inlineStr">
        <is>
          <t>Red Oxide</t>
        </is>
      </c>
      <c r="DJ43" s="26" t="n">
        <v>2</v>
      </c>
      <c r="DK43" s="26" t="inlineStr">
        <is>
          <t>Ltr.</t>
        </is>
      </c>
      <c r="DL43" s="26" t="n">
        <v>150</v>
      </c>
      <c r="DM43" s="166">
        <f>DJ43*DL43</f>
        <v/>
      </c>
      <c r="DN43" s="26" t="n">
        <v>2</v>
      </c>
      <c r="DO43" s="26" t="inlineStr">
        <is>
          <t>Ltr.</t>
        </is>
      </c>
      <c r="DP43" s="26" t="n">
        <v>150</v>
      </c>
      <c r="DQ43" s="33">
        <f>DN43*DP43</f>
        <v/>
      </c>
      <c r="DR43" s="26" t="n">
        <v>2</v>
      </c>
      <c r="DS43" s="26" t="inlineStr">
        <is>
          <t>Ltr.</t>
        </is>
      </c>
      <c r="DT43" s="26" t="n">
        <v>150</v>
      </c>
      <c r="DU43" s="166">
        <f>DR43*DT43</f>
        <v/>
      </c>
      <c r="DV43" s="26" t="n">
        <v>150</v>
      </c>
      <c r="DX43" s="167" t="n">
        <v>39</v>
      </c>
      <c r="DY43" s="26" t="inlineStr">
        <is>
          <t>Red Oxide</t>
        </is>
      </c>
      <c r="DZ43" s="26" t="n">
        <v>2</v>
      </c>
      <c r="EA43" s="26" t="inlineStr">
        <is>
          <t>Ltr.</t>
        </is>
      </c>
      <c r="EB43" s="26" t="n">
        <v>150</v>
      </c>
      <c r="EC43" s="166">
        <f>DZ43*EB43</f>
        <v/>
      </c>
      <c r="ED43" s="26" t="n">
        <v>2</v>
      </c>
      <c r="EE43" s="26" t="inlineStr">
        <is>
          <t>Ltr.</t>
        </is>
      </c>
      <c r="EF43" s="26" t="n">
        <v>150</v>
      </c>
      <c r="EG43" s="33">
        <f>ED43*EF43</f>
        <v/>
      </c>
      <c r="EH43" s="26" t="n">
        <v>2</v>
      </c>
      <c r="EI43" s="26" t="inlineStr">
        <is>
          <t>Ltr.</t>
        </is>
      </c>
      <c r="EJ43" s="26" t="n">
        <v>150</v>
      </c>
      <c r="EK43" s="166">
        <f>EH43*EJ43</f>
        <v/>
      </c>
      <c r="EL43" s="26" t="n">
        <v>150</v>
      </c>
      <c r="EN43" s="167" t="n">
        <v>39</v>
      </c>
      <c r="EO43" s="26" t="inlineStr">
        <is>
          <t>Red Oxide</t>
        </is>
      </c>
      <c r="EP43" s="26" t="n">
        <v>2</v>
      </c>
      <c r="EQ43" s="26" t="inlineStr">
        <is>
          <t>Ltr.</t>
        </is>
      </c>
      <c r="ER43" s="26" t="n">
        <v>150</v>
      </c>
      <c r="ES43" s="166">
        <f>EP43*ER43</f>
        <v/>
      </c>
      <c r="ET43" s="26" t="n">
        <v>2</v>
      </c>
      <c r="EU43" s="26" t="inlineStr">
        <is>
          <t>Ltr.</t>
        </is>
      </c>
      <c r="EV43" s="26" t="n">
        <v>150</v>
      </c>
      <c r="EW43" s="33">
        <f>ET43*EV43</f>
        <v/>
      </c>
      <c r="EX43" s="26" t="n">
        <v>2</v>
      </c>
      <c r="EY43" s="26" t="inlineStr">
        <is>
          <t>Ltr.</t>
        </is>
      </c>
      <c r="EZ43" s="26" t="n">
        <v>150</v>
      </c>
      <c r="FA43" s="166">
        <f>EX43*EZ43</f>
        <v/>
      </c>
      <c r="FB43" s="26" t="n">
        <v>150</v>
      </c>
    </row>
    <row r="44" ht="15.75" customHeight="1" s="307">
      <c r="A44" s="26" t="n">
        <v>40</v>
      </c>
      <c r="B44" s="26" t="inlineStr">
        <is>
          <t>Hammer Ton Deep Blue</t>
        </is>
      </c>
      <c r="C44" s="30" t="n">
        <v>0.5</v>
      </c>
      <c r="D44" s="30" t="inlineStr">
        <is>
          <t>g</t>
        </is>
      </c>
      <c r="E44" s="30" t="n">
        <v>250</v>
      </c>
      <c r="F44" s="159">
        <f>C44*E44</f>
        <v/>
      </c>
      <c r="G44" s="30" t="n">
        <v>1</v>
      </c>
      <c r="H44" s="30" t="inlineStr">
        <is>
          <t>Ltr.</t>
        </is>
      </c>
      <c r="I44" s="30" t="n">
        <v>180</v>
      </c>
      <c r="J44" s="34">
        <f>G44*I44</f>
        <v/>
      </c>
      <c r="K44" s="30" t="n">
        <v>0.5</v>
      </c>
      <c r="L44" s="30" t="inlineStr">
        <is>
          <t>g</t>
        </is>
      </c>
      <c r="M44" s="30" t="n">
        <v>200</v>
      </c>
      <c r="N44" s="159">
        <f>K44*M44</f>
        <v/>
      </c>
      <c r="O44" s="30" t="n">
        <v>250</v>
      </c>
      <c r="Q44" s="26" t="n">
        <v>40</v>
      </c>
      <c r="R44" s="26" t="inlineStr">
        <is>
          <t xml:space="preserve">Alluminium Paint </t>
        </is>
      </c>
      <c r="S44" s="26" t="n">
        <v>1</v>
      </c>
      <c r="T44" s="26" t="inlineStr">
        <is>
          <t>Ltr.</t>
        </is>
      </c>
      <c r="U44" s="26" t="n">
        <v>350</v>
      </c>
      <c r="V44" s="166">
        <f>S44*U44</f>
        <v/>
      </c>
      <c r="W44" s="26" t="n">
        <v>1</v>
      </c>
      <c r="X44" s="26" t="inlineStr">
        <is>
          <t>Ltr.</t>
        </is>
      </c>
      <c r="Y44" s="26" t="n">
        <v>280</v>
      </c>
      <c r="Z44" s="33">
        <f>W44*Y44</f>
        <v/>
      </c>
      <c r="AA44" s="26" t="n">
        <v>1</v>
      </c>
      <c r="AB44" s="26" t="inlineStr">
        <is>
          <t>Ltr.</t>
        </is>
      </c>
      <c r="AC44" s="26" t="n">
        <v>280</v>
      </c>
      <c r="AD44" s="166">
        <f>AA44*AC44</f>
        <v/>
      </c>
      <c r="AE44" s="26" t="n">
        <v>280</v>
      </c>
      <c r="AG44" s="167" t="n">
        <v>40</v>
      </c>
      <c r="AH44" s="26" t="inlineStr">
        <is>
          <t>Hammer Ton Deep Blue</t>
        </is>
      </c>
      <c r="AI44" s="26" t="n">
        <v>0.5</v>
      </c>
      <c r="AJ44" s="26" t="inlineStr">
        <is>
          <t>g</t>
        </is>
      </c>
      <c r="AK44" s="26" t="n">
        <v>250</v>
      </c>
      <c r="AL44" s="166">
        <f>AI44*AK44</f>
        <v/>
      </c>
      <c r="AM44" s="26" t="n">
        <v>1</v>
      </c>
      <c r="AN44" s="26" t="inlineStr">
        <is>
          <t>Ltr.</t>
        </is>
      </c>
      <c r="AO44" s="26" t="n">
        <v>250</v>
      </c>
      <c r="AP44" s="33">
        <f>AM44*AO44</f>
        <v/>
      </c>
      <c r="AQ44" s="26" t="n">
        <v>0.5</v>
      </c>
      <c r="AR44" s="26" t="inlineStr">
        <is>
          <t>g</t>
        </is>
      </c>
      <c r="AS44" s="26" t="n">
        <v>250</v>
      </c>
      <c r="AT44" s="166">
        <f>AQ44*AS44</f>
        <v/>
      </c>
      <c r="AU44" s="26" t="n">
        <v>250</v>
      </c>
      <c r="AW44" s="167" t="n">
        <v>40</v>
      </c>
      <c r="AX44" s="26" t="inlineStr">
        <is>
          <t>Hammer Ton Deep Blue</t>
        </is>
      </c>
      <c r="AY44" s="26" t="n">
        <v>0.5</v>
      </c>
      <c r="AZ44" s="26" t="inlineStr">
        <is>
          <t>g</t>
        </is>
      </c>
      <c r="BA44" s="26" t="n">
        <v>250</v>
      </c>
      <c r="BB44" s="166">
        <f>AY44*BA44</f>
        <v/>
      </c>
      <c r="BC44" s="26" t="n">
        <v>1</v>
      </c>
      <c r="BD44" s="26" t="inlineStr">
        <is>
          <t>Ltr.</t>
        </is>
      </c>
      <c r="BE44" s="26" t="n">
        <v>250</v>
      </c>
      <c r="BF44" s="33">
        <f>BC44*BE44</f>
        <v/>
      </c>
      <c r="BG44" s="26" t="n">
        <v>0.5</v>
      </c>
      <c r="BH44" s="26" t="inlineStr">
        <is>
          <t>g</t>
        </is>
      </c>
      <c r="BI44" s="26" t="n">
        <v>250</v>
      </c>
      <c r="BJ44" s="166">
        <f>BG44*BI44</f>
        <v/>
      </c>
      <c r="BK44" s="26" t="n">
        <v>250</v>
      </c>
      <c r="BM44" s="167" t="n">
        <v>40</v>
      </c>
      <c r="BN44" s="26" t="inlineStr">
        <is>
          <t>Hammer Ton Deep Blue</t>
        </is>
      </c>
      <c r="BO44" s="26" t="n">
        <v>0.5</v>
      </c>
      <c r="BP44" s="26" t="inlineStr">
        <is>
          <t>g</t>
        </is>
      </c>
      <c r="BQ44" s="26" t="n">
        <v>250</v>
      </c>
      <c r="BR44" s="166">
        <f>BO44*BQ44</f>
        <v/>
      </c>
      <c r="BS44" s="26" t="n">
        <v>1</v>
      </c>
      <c r="BT44" s="26" t="inlineStr">
        <is>
          <t>Ltr.</t>
        </is>
      </c>
      <c r="BU44" s="26" t="n">
        <v>250</v>
      </c>
      <c r="BV44" s="33">
        <f>BS44*BU44</f>
        <v/>
      </c>
      <c r="BW44" s="26" t="n">
        <v>0.5</v>
      </c>
      <c r="BX44" s="26" t="inlineStr">
        <is>
          <t>g</t>
        </is>
      </c>
      <c r="BY44" s="26" t="n">
        <v>250</v>
      </c>
      <c r="BZ44" s="166">
        <f>BW44*BY44</f>
        <v/>
      </c>
      <c r="CA44" s="26" t="n">
        <v>250</v>
      </c>
      <c r="CC44" s="167" t="n">
        <v>40</v>
      </c>
      <c r="CD44" s="26" t="inlineStr">
        <is>
          <t>Hammer Ton Deep Blue</t>
        </is>
      </c>
      <c r="CE44" s="26" t="n">
        <v>0.5</v>
      </c>
      <c r="CF44" s="26" t="inlineStr">
        <is>
          <t>g</t>
        </is>
      </c>
      <c r="CG44" s="26" t="n">
        <v>250</v>
      </c>
      <c r="CH44" s="166">
        <f>CE44*CG44</f>
        <v/>
      </c>
      <c r="CI44" s="26" t="n">
        <v>1</v>
      </c>
      <c r="CJ44" s="26" t="inlineStr">
        <is>
          <t>Ltr.</t>
        </is>
      </c>
      <c r="CK44" s="26" t="n">
        <v>250</v>
      </c>
      <c r="CL44" s="33">
        <f>CI44*CK44</f>
        <v/>
      </c>
      <c r="CM44" s="26" t="n">
        <v>0.5</v>
      </c>
      <c r="CN44" s="26" t="inlineStr">
        <is>
          <t>g</t>
        </is>
      </c>
      <c r="CO44" s="26" t="n">
        <v>250</v>
      </c>
      <c r="CP44" s="166">
        <f>CM44*CO44</f>
        <v/>
      </c>
      <c r="CQ44" s="26" t="n">
        <v>250</v>
      </c>
      <c r="CS44" s="167" t="n">
        <v>40</v>
      </c>
      <c r="CT44" s="26" t="inlineStr">
        <is>
          <t>Hammer Ton Deep Blue</t>
        </is>
      </c>
      <c r="CU44" s="26" t="n">
        <v>0.5</v>
      </c>
      <c r="CV44" s="26" t="inlineStr">
        <is>
          <t>g</t>
        </is>
      </c>
      <c r="CW44" s="26" t="n">
        <v>250</v>
      </c>
      <c r="CX44" s="166">
        <f>CU44*CW44</f>
        <v/>
      </c>
      <c r="CY44" s="26" t="n">
        <v>1</v>
      </c>
      <c r="CZ44" s="26" t="inlineStr">
        <is>
          <t>Ltr.</t>
        </is>
      </c>
      <c r="DA44" s="26" t="n">
        <v>250</v>
      </c>
      <c r="DB44" s="33">
        <f>CY44*DA44</f>
        <v/>
      </c>
      <c r="DC44" s="26" t="n">
        <v>0.5</v>
      </c>
      <c r="DD44" s="26" t="inlineStr">
        <is>
          <t>g</t>
        </is>
      </c>
      <c r="DE44" s="26" t="n">
        <v>250</v>
      </c>
      <c r="DF44" s="166">
        <f>DC44*DE44</f>
        <v/>
      </c>
      <c r="DG44" s="26">
        <f>DF44-CP44</f>
        <v/>
      </c>
      <c r="DH44" s="167" t="n">
        <v>40</v>
      </c>
      <c r="DI44" s="26" t="inlineStr">
        <is>
          <t>Hammer Ton Deep Blue</t>
        </is>
      </c>
      <c r="DJ44" s="26" t="n">
        <v>1</v>
      </c>
      <c r="DK44" s="26" t="inlineStr">
        <is>
          <t>Kg</t>
        </is>
      </c>
      <c r="DL44" s="26" t="n">
        <v>250</v>
      </c>
      <c r="DM44" s="166">
        <f>DJ44*DL44</f>
        <v/>
      </c>
      <c r="DN44" s="26" t="n">
        <v>1</v>
      </c>
      <c r="DO44" s="26" t="inlineStr">
        <is>
          <t>Ltr.</t>
        </is>
      </c>
      <c r="DP44" s="26" t="n">
        <v>250</v>
      </c>
      <c r="DQ44" s="33">
        <f>DN44*DP44</f>
        <v/>
      </c>
      <c r="DR44" s="26" t="n">
        <v>1</v>
      </c>
      <c r="DS44" s="26" t="inlineStr">
        <is>
          <t>Kg</t>
        </is>
      </c>
      <c r="DT44" s="26" t="n">
        <v>250</v>
      </c>
      <c r="DU44" s="166">
        <f>DR44*DT44</f>
        <v/>
      </c>
      <c r="DV44" s="26" t="n">
        <v>250</v>
      </c>
      <c r="DX44" s="167" t="n">
        <v>40</v>
      </c>
      <c r="DY44" s="26" t="inlineStr">
        <is>
          <t>Hammer Ton Deep Blue</t>
        </is>
      </c>
      <c r="DZ44" s="26" t="n">
        <v>1</v>
      </c>
      <c r="EA44" s="26" t="inlineStr">
        <is>
          <t>Kg</t>
        </is>
      </c>
      <c r="EB44" s="26" t="n">
        <v>250</v>
      </c>
      <c r="EC44" s="166">
        <f>DZ44*EB44</f>
        <v/>
      </c>
      <c r="ED44" s="26" t="n">
        <v>1</v>
      </c>
      <c r="EE44" s="26" t="inlineStr">
        <is>
          <t>Ltr.</t>
        </is>
      </c>
      <c r="EF44" s="26" t="n">
        <v>250</v>
      </c>
      <c r="EG44" s="33">
        <f>ED44*EF44</f>
        <v/>
      </c>
      <c r="EH44" s="26" t="n">
        <v>1</v>
      </c>
      <c r="EI44" s="26" t="inlineStr">
        <is>
          <t>Kg</t>
        </is>
      </c>
      <c r="EJ44" s="26" t="n">
        <v>250</v>
      </c>
      <c r="EK44" s="166">
        <f>EH44*EJ44</f>
        <v/>
      </c>
      <c r="EL44" s="26" t="n">
        <v>250</v>
      </c>
      <c r="EN44" s="167" t="n">
        <v>40</v>
      </c>
      <c r="EO44" s="26" t="inlineStr">
        <is>
          <t>Hammer Ton Deep Blue</t>
        </is>
      </c>
      <c r="EP44" s="26" t="n">
        <v>1</v>
      </c>
      <c r="EQ44" s="26" t="inlineStr">
        <is>
          <t>Kg</t>
        </is>
      </c>
      <c r="ER44" s="26" t="n">
        <v>250</v>
      </c>
      <c r="ES44" s="166">
        <f>EP44*ER44</f>
        <v/>
      </c>
      <c r="ET44" s="26" t="n">
        <v>1</v>
      </c>
      <c r="EU44" s="26" t="inlineStr">
        <is>
          <t>Ltr.</t>
        </is>
      </c>
      <c r="EV44" s="26" t="n">
        <v>250</v>
      </c>
      <c r="EW44" s="33">
        <f>ET44*EV44</f>
        <v/>
      </c>
      <c r="EX44" s="26" t="n">
        <v>1</v>
      </c>
      <c r="EY44" s="26" t="inlineStr">
        <is>
          <t>Kg</t>
        </is>
      </c>
      <c r="EZ44" s="26" t="n">
        <v>250</v>
      </c>
      <c r="FA44" s="166">
        <f>EX44*EZ44</f>
        <v/>
      </c>
      <c r="FB44" s="26" t="n">
        <v>250</v>
      </c>
    </row>
    <row r="45" ht="15.75" customHeight="1" s="307">
      <c r="A45" s="26" t="n">
        <v>41</v>
      </c>
      <c r="B45" s="26" t="inlineStr">
        <is>
          <t xml:space="preserve">Alluminium Paint </t>
        </is>
      </c>
      <c r="C45" s="30" t="n">
        <v>1</v>
      </c>
      <c r="D45" s="30" t="inlineStr">
        <is>
          <t>Ltr.</t>
        </is>
      </c>
      <c r="E45" s="30" t="n">
        <v>350</v>
      </c>
      <c r="F45" s="159">
        <f>C45*E45</f>
        <v/>
      </c>
      <c r="G45" s="30" t="n">
        <v>1</v>
      </c>
      <c r="H45" s="30" t="inlineStr">
        <is>
          <t>Ltr.</t>
        </is>
      </c>
      <c r="I45" s="30" t="n">
        <v>280</v>
      </c>
      <c r="J45" s="34">
        <f>G45*I45</f>
        <v/>
      </c>
      <c r="K45" s="30" t="n">
        <v>1</v>
      </c>
      <c r="L45" s="30" t="inlineStr">
        <is>
          <t>Ltr.</t>
        </is>
      </c>
      <c r="M45" s="30" t="n">
        <v>280</v>
      </c>
      <c r="N45" s="159">
        <f>K45*M45</f>
        <v/>
      </c>
      <c r="O45" s="30" t="n">
        <v>280</v>
      </c>
      <c r="Q45" s="26" t="n">
        <v>41</v>
      </c>
      <c r="R45" s="26" t="inlineStr">
        <is>
          <t>Gurb Screw</t>
        </is>
      </c>
      <c r="S45" s="26" t="n">
        <v>2</v>
      </c>
      <c r="T45" s="26" t="inlineStr">
        <is>
          <t>Nos</t>
        </is>
      </c>
      <c r="U45" s="26" t="n">
        <v>5</v>
      </c>
      <c r="V45" s="166">
        <f>S45*U45</f>
        <v/>
      </c>
      <c r="W45" s="26" t="n">
        <v>2</v>
      </c>
      <c r="X45" s="26" t="inlineStr">
        <is>
          <t>Nos</t>
        </is>
      </c>
      <c r="Y45" s="26" t="n">
        <v>5</v>
      </c>
      <c r="Z45" s="33">
        <f>W45*Y45</f>
        <v/>
      </c>
      <c r="AA45" s="26" t="n">
        <v>2</v>
      </c>
      <c r="AB45" s="26" t="inlineStr">
        <is>
          <t>Nos</t>
        </is>
      </c>
      <c r="AC45" s="26" t="n">
        <v>5</v>
      </c>
      <c r="AD45" s="166">
        <f>AA45*AC45</f>
        <v/>
      </c>
      <c r="AE45" s="26" t="n">
        <v>5</v>
      </c>
      <c r="AG45" s="167" t="n">
        <v>41</v>
      </c>
      <c r="AH45" s="26" t="inlineStr">
        <is>
          <t xml:space="preserve">Alluminium Paint </t>
        </is>
      </c>
      <c r="AI45" s="26" t="n">
        <v>1</v>
      </c>
      <c r="AJ45" s="26" t="inlineStr">
        <is>
          <t>Ltr.</t>
        </is>
      </c>
      <c r="AK45" s="26" t="n">
        <v>350</v>
      </c>
      <c r="AL45" s="166">
        <f>AI45*AK45</f>
        <v/>
      </c>
      <c r="AM45" s="26" t="n">
        <v>1</v>
      </c>
      <c r="AN45" s="26" t="inlineStr">
        <is>
          <t>Ltr.</t>
        </is>
      </c>
      <c r="AO45" s="26" t="n">
        <v>250</v>
      </c>
      <c r="AP45" s="33" t="n">
        <v>280</v>
      </c>
      <c r="AQ45" s="26" t="n">
        <v>1</v>
      </c>
      <c r="AR45" s="26" t="inlineStr">
        <is>
          <t>Ltr.</t>
        </is>
      </c>
      <c r="AS45" s="26" t="n">
        <v>280</v>
      </c>
      <c r="AT45" s="166">
        <f>AQ45*AS45</f>
        <v/>
      </c>
      <c r="AU45" s="26" t="n">
        <v>280</v>
      </c>
      <c r="AW45" s="167" t="n">
        <v>41</v>
      </c>
      <c r="AX45" s="26" t="inlineStr">
        <is>
          <t xml:space="preserve">Alluminium Paint </t>
        </is>
      </c>
      <c r="AY45" s="26" t="n">
        <v>1</v>
      </c>
      <c r="AZ45" s="26" t="inlineStr">
        <is>
          <t>Ltr.</t>
        </is>
      </c>
      <c r="BA45" s="26" t="n">
        <v>350</v>
      </c>
      <c r="BB45" s="166">
        <f>AY45*BA45</f>
        <v/>
      </c>
      <c r="BC45" s="26" t="n">
        <v>1</v>
      </c>
      <c r="BD45" s="26" t="inlineStr">
        <is>
          <t>Ltr.</t>
        </is>
      </c>
      <c r="BE45" s="26" t="n">
        <v>280</v>
      </c>
      <c r="BF45" s="33">
        <f>BC45*BE45</f>
        <v/>
      </c>
      <c r="BG45" s="26" t="n">
        <v>1</v>
      </c>
      <c r="BH45" s="26" t="inlineStr">
        <is>
          <t>Ltr.</t>
        </is>
      </c>
      <c r="BI45" s="26" t="n">
        <v>280</v>
      </c>
      <c r="BJ45" s="166">
        <f>BG45*BI45</f>
        <v/>
      </c>
      <c r="BK45" s="26" t="n">
        <v>280</v>
      </c>
      <c r="BM45" s="167" t="n">
        <v>41</v>
      </c>
      <c r="BN45" s="26" t="inlineStr">
        <is>
          <t xml:space="preserve">Alluminium Paint </t>
        </is>
      </c>
      <c r="BO45" s="26" t="n">
        <v>1</v>
      </c>
      <c r="BP45" s="26" t="inlineStr">
        <is>
          <t>Ltr.</t>
        </is>
      </c>
      <c r="BQ45" s="26" t="n">
        <v>350</v>
      </c>
      <c r="BR45" s="166">
        <f>BO45*BQ45</f>
        <v/>
      </c>
      <c r="BS45" s="26" t="n">
        <v>1</v>
      </c>
      <c r="BT45" s="26" t="inlineStr">
        <is>
          <t>Ltr.</t>
        </is>
      </c>
      <c r="BU45" s="26" t="n">
        <v>250</v>
      </c>
      <c r="BV45" s="33" t="n">
        <v>280</v>
      </c>
      <c r="BW45" s="26" t="n">
        <v>1</v>
      </c>
      <c r="BX45" s="26" t="inlineStr">
        <is>
          <t>Ltr.</t>
        </is>
      </c>
      <c r="BY45" s="26" t="n">
        <v>280</v>
      </c>
      <c r="BZ45" s="166">
        <f>BW45*BY45</f>
        <v/>
      </c>
      <c r="CA45" s="26" t="n">
        <v>280</v>
      </c>
      <c r="CC45" s="167" t="n">
        <v>41</v>
      </c>
      <c r="CD45" s="26" t="inlineStr">
        <is>
          <t xml:space="preserve">Alluminium Paint </t>
        </is>
      </c>
      <c r="CE45" s="26" t="n">
        <v>1</v>
      </c>
      <c r="CF45" s="26" t="inlineStr">
        <is>
          <t>Ltr.</t>
        </is>
      </c>
      <c r="CG45" s="26" t="n">
        <v>350</v>
      </c>
      <c r="CH45" s="166">
        <f>CE45*CG45</f>
        <v/>
      </c>
      <c r="CI45" s="26" t="n">
        <v>1</v>
      </c>
      <c r="CJ45" s="26" t="inlineStr">
        <is>
          <t>Ltr.</t>
        </is>
      </c>
      <c r="CK45" s="26" t="n">
        <v>280</v>
      </c>
      <c r="CL45" s="33">
        <f>CI45*CK45</f>
        <v/>
      </c>
      <c r="CM45" s="26" t="n">
        <v>1</v>
      </c>
      <c r="CN45" s="26" t="inlineStr">
        <is>
          <t>Ltr.</t>
        </is>
      </c>
      <c r="CO45" s="26" t="n">
        <v>280</v>
      </c>
      <c r="CP45" s="166">
        <f>CM45*CO45</f>
        <v/>
      </c>
      <c r="CQ45" s="26" t="n">
        <v>280</v>
      </c>
      <c r="CS45" s="167" t="n">
        <v>41</v>
      </c>
      <c r="CT45" s="26" t="inlineStr">
        <is>
          <t xml:space="preserve">Alluminium Paint </t>
        </is>
      </c>
      <c r="CU45" s="26" t="n">
        <v>1</v>
      </c>
      <c r="CV45" s="26" t="inlineStr">
        <is>
          <t>Ltr.</t>
        </is>
      </c>
      <c r="CW45" s="26" t="n">
        <v>350</v>
      </c>
      <c r="CX45" s="166">
        <f>CU45*CW45</f>
        <v/>
      </c>
      <c r="CY45" s="26" t="n">
        <v>1</v>
      </c>
      <c r="CZ45" s="26" t="inlineStr">
        <is>
          <t>Ltr.</t>
        </is>
      </c>
      <c r="DA45" s="26" t="n">
        <v>280</v>
      </c>
      <c r="DB45" s="33">
        <f>CY45*DA45</f>
        <v/>
      </c>
      <c r="DC45" s="26" t="n">
        <v>1</v>
      </c>
      <c r="DD45" s="26" t="inlineStr">
        <is>
          <t>Ltr.</t>
        </is>
      </c>
      <c r="DE45" s="26" t="n">
        <v>280</v>
      </c>
      <c r="DF45" s="166">
        <f>DC45*DE45</f>
        <v/>
      </c>
      <c r="DG45" s="26">
        <f>DF45-CP45</f>
        <v/>
      </c>
      <c r="DH45" s="167" t="n">
        <v>41</v>
      </c>
      <c r="DI45" s="26" t="inlineStr">
        <is>
          <t xml:space="preserve">Alluminium Paint </t>
        </is>
      </c>
      <c r="DJ45" s="26" t="n">
        <v>2</v>
      </c>
      <c r="DK45" s="26" t="inlineStr">
        <is>
          <t>Ltr.</t>
        </is>
      </c>
      <c r="DL45" s="26" t="n">
        <v>350</v>
      </c>
      <c r="DM45" s="166">
        <f>DJ45*DL45</f>
        <v/>
      </c>
      <c r="DN45" s="26" t="n">
        <v>2</v>
      </c>
      <c r="DO45" s="26" t="inlineStr">
        <is>
          <t>Ltr.</t>
        </is>
      </c>
      <c r="DP45" s="26" t="n">
        <v>280</v>
      </c>
      <c r="DQ45" s="33">
        <f>DN45*DP45</f>
        <v/>
      </c>
      <c r="DR45" s="26" t="n">
        <v>2</v>
      </c>
      <c r="DS45" s="26" t="inlineStr">
        <is>
          <t>Ltr.</t>
        </is>
      </c>
      <c r="DT45" s="26" t="n">
        <v>280</v>
      </c>
      <c r="DU45" s="166">
        <f>DR45*DT45</f>
        <v/>
      </c>
      <c r="DV45" s="26" t="n">
        <v>280</v>
      </c>
      <c r="DX45" s="167" t="n">
        <v>41</v>
      </c>
      <c r="DY45" s="26" t="inlineStr">
        <is>
          <t xml:space="preserve">Alluminium Paint </t>
        </is>
      </c>
      <c r="DZ45" s="26" t="n">
        <v>2</v>
      </c>
      <c r="EA45" s="26" t="inlineStr">
        <is>
          <t>Ltr.</t>
        </is>
      </c>
      <c r="EB45" s="26" t="n">
        <v>350</v>
      </c>
      <c r="EC45" s="166">
        <f>DZ45*EB45</f>
        <v/>
      </c>
      <c r="ED45" s="26" t="n">
        <v>2</v>
      </c>
      <c r="EE45" s="26" t="inlineStr">
        <is>
          <t>Ltr.</t>
        </is>
      </c>
      <c r="EF45" s="26" t="n">
        <v>280</v>
      </c>
      <c r="EG45" s="33">
        <f>ED45*EF45</f>
        <v/>
      </c>
      <c r="EH45" s="26" t="n">
        <v>2</v>
      </c>
      <c r="EI45" s="26" t="inlineStr">
        <is>
          <t>Ltr.</t>
        </is>
      </c>
      <c r="EJ45" s="26" t="n">
        <v>280</v>
      </c>
      <c r="EK45" s="166">
        <f>EH45*EJ45</f>
        <v/>
      </c>
      <c r="EL45" s="26" t="n">
        <v>280</v>
      </c>
      <c r="EN45" s="167" t="n">
        <v>41</v>
      </c>
      <c r="EO45" s="26" t="inlineStr">
        <is>
          <t xml:space="preserve">Alluminium Paint </t>
        </is>
      </c>
      <c r="EP45" s="26" t="n">
        <v>2</v>
      </c>
      <c r="EQ45" s="26" t="inlineStr">
        <is>
          <t>Ltr.</t>
        </is>
      </c>
      <c r="ER45" s="26" t="n">
        <v>350</v>
      </c>
      <c r="ES45" s="166">
        <f>EP45*ER45</f>
        <v/>
      </c>
      <c r="ET45" s="26" t="n">
        <v>2</v>
      </c>
      <c r="EU45" s="26" t="inlineStr">
        <is>
          <t>Ltr.</t>
        </is>
      </c>
      <c r="EV45" s="26" t="n">
        <v>280</v>
      </c>
      <c r="EW45" s="33">
        <f>ET45*EV45</f>
        <v/>
      </c>
      <c r="EX45" s="26" t="n">
        <v>2</v>
      </c>
      <c r="EY45" s="26" t="inlineStr">
        <is>
          <t>Ltr.</t>
        </is>
      </c>
      <c r="EZ45" s="26" t="n">
        <v>280</v>
      </c>
      <c r="FA45" s="166">
        <f>EX45*EZ45</f>
        <v/>
      </c>
      <c r="FB45" s="26" t="n">
        <v>280</v>
      </c>
    </row>
    <row r="46" ht="15.75" customHeight="1" s="307">
      <c r="A46" s="26" t="n">
        <v>42</v>
      </c>
      <c r="B46" s="26" t="inlineStr">
        <is>
          <t>Gurb Screw</t>
        </is>
      </c>
      <c r="C46" s="30" t="n">
        <v>2</v>
      </c>
      <c r="D46" s="30" t="inlineStr">
        <is>
          <t>Nos</t>
        </is>
      </c>
      <c r="E46" s="30" t="n">
        <v>5</v>
      </c>
      <c r="F46" s="159">
        <f>C46*E46</f>
        <v/>
      </c>
      <c r="G46" s="30" t="n">
        <v>2</v>
      </c>
      <c r="H46" s="30" t="inlineStr">
        <is>
          <t>Nos</t>
        </is>
      </c>
      <c r="I46" s="30" t="n">
        <v>5</v>
      </c>
      <c r="J46" s="34">
        <f>G46*I46</f>
        <v/>
      </c>
      <c r="K46" s="30" t="n">
        <v>2</v>
      </c>
      <c r="L46" s="30" t="inlineStr">
        <is>
          <t>Nos</t>
        </is>
      </c>
      <c r="M46" s="30" t="n">
        <v>5</v>
      </c>
      <c r="N46" s="159">
        <f>K46*M46</f>
        <v/>
      </c>
      <c r="O46" s="30" t="n">
        <v>5</v>
      </c>
      <c r="Q46" s="26" t="n">
        <v>42</v>
      </c>
      <c r="R46" s="26" t="inlineStr">
        <is>
          <t>Gaskit (300x300x3 mm)</t>
        </is>
      </c>
      <c r="S46" s="26" t="n">
        <v>2</v>
      </c>
      <c r="T46" s="26" t="inlineStr">
        <is>
          <t>kg</t>
        </is>
      </c>
      <c r="U46" s="26" t="n">
        <v>120</v>
      </c>
      <c r="V46" s="166">
        <f>S46*U46</f>
        <v/>
      </c>
      <c r="W46" s="26" t="n">
        <v>2</v>
      </c>
      <c r="X46" s="26" t="inlineStr">
        <is>
          <t>kg</t>
        </is>
      </c>
      <c r="Y46" s="26" t="n">
        <v>120</v>
      </c>
      <c r="Z46" s="33">
        <f>W46*Y46</f>
        <v/>
      </c>
      <c r="AA46" s="26" t="n">
        <v>2</v>
      </c>
      <c r="AB46" s="26" t="inlineStr">
        <is>
          <t>kg</t>
        </is>
      </c>
      <c r="AC46" s="26" t="n">
        <v>120</v>
      </c>
      <c r="AD46" s="166">
        <f>AA46*AC46</f>
        <v/>
      </c>
      <c r="AE46" s="26" t="n">
        <v>120</v>
      </c>
      <c r="AG46" s="167" t="n">
        <v>42</v>
      </c>
      <c r="AH46" s="26" t="inlineStr">
        <is>
          <t>Gurb Screw</t>
        </is>
      </c>
      <c r="AI46" s="26" t="n">
        <v>2</v>
      </c>
      <c r="AJ46" s="26" t="inlineStr">
        <is>
          <t>Nos</t>
        </is>
      </c>
      <c r="AK46" s="26" t="n">
        <v>5</v>
      </c>
      <c r="AL46" s="166">
        <f>AI46*AK46</f>
        <v/>
      </c>
      <c r="AM46" s="26" t="n">
        <v>2</v>
      </c>
      <c r="AN46" s="26" t="inlineStr">
        <is>
          <t>Nos</t>
        </is>
      </c>
      <c r="AO46" s="26" t="n">
        <v>5</v>
      </c>
      <c r="AP46" s="33">
        <f>AM46*AO46</f>
        <v/>
      </c>
      <c r="AQ46" s="26" t="n">
        <v>2</v>
      </c>
      <c r="AR46" s="26" t="inlineStr">
        <is>
          <t>Nos</t>
        </is>
      </c>
      <c r="AS46" s="26" t="n">
        <v>5</v>
      </c>
      <c r="AT46" s="166">
        <f>AQ46*AS46</f>
        <v/>
      </c>
      <c r="AU46" s="26" t="n">
        <v>5</v>
      </c>
      <c r="AW46" s="167" t="n">
        <v>42</v>
      </c>
      <c r="AX46" s="26" t="inlineStr">
        <is>
          <t>Gurb Screw</t>
        </is>
      </c>
      <c r="AY46" s="26" t="n">
        <v>2</v>
      </c>
      <c r="AZ46" s="26" t="inlineStr">
        <is>
          <t>Nos</t>
        </is>
      </c>
      <c r="BA46" s="26" t="n">
        <v>5</v>
      </c>
      <c r="BB46" s="166">
        <f>AY46*BA46</f>
        <v/>
      </c>
      <c r="BC46" s="26" t="n">
        <v>2</v>
      </c>
      <c r="BD46" s="26" t="inlineStr">
        <is>
          <t>Nos</t>
        </is>
      </c>
      <c r="BE46" s="26" t="n">
        <v>5</v>
      </c>
      <c r="BF46" s="33">
        <f>BC46*BE46</f>
        <v/>
      </c>
      <c r="BG46" s="26" t="n">
        <v>2</v>
      </c>
      <c r="BH46" s="26" t="inlineStr">
        <is>
          <t>Nos</t>
        </is>
      </c>
      <c r="BI46" s="26" t="n">
        <v>5</v>
      </c>
      <c r="BJ46" s="166">
        <f>BG46*BI46</f>
        <v/>
      </c>
      <c r="BK46" s="26" t="n">
        <v>5</v>
      </c>
      <c r="BM46" s="167" t="n">
        <v>42</v>
      </c>
      <c r="BN46" s="26" t="inlineStr">
        <is>
          <t>Gurb Screw</t>
        </is>
      </c>
      <c r="BO46" s="26" t="n">
        <v>2</v>
      </c>
      <c r="BP46" s="26" t="inlineStr">
        <is>
          <t>Nos</t>
        </is>
      </c>
      <c r="BQ46" s="26" t="n">
        <v>5</v>
      </c>
      <c r="BR46" s="166">
        <f>BO46*BQ46</f>
        <v/>
      </c>
      <c r="BS46" s="26" t="n">
        <v>2</v>
      </c>
      <c r="BT46" s="26" t="inlineStr">
        <is>
          <t>Nos</t>
        </is>
      </c>
      <c r="BU46" s="26" t="n">
        <v>5</v>
      </c>
      <c r="BV46" s="33">
        <f>BS46*BU46</f>
        <v/>
      </c>
      <c r="BW46" s="26" t="n">
        <v>2</v>
      </c>
      <c r="BX46" s="26" t="inlineStr">
        <is>
          <t>Nos</t>
        </is>
      </c>
      <c r="BY46" s="26" t="n">
        <v>5</v>
      </c>
      <c r="BZ46" s="166">
        <f>BW46*BY46</f>
        <v/>
      </c>
      <c r="CA46" s="26" t="n">
        <v>5</v>
      </c>
      <c r="CC46" s="167" t="n">
        <v>42</v>
      </c>
      <c r="CD46" s="26" t="inlineStr">
        <is>
          <t>Gurb Screw</t>
        </is>
      </c>
      <c r="CE46" s="26" t="n">
        <v>2</v>
      </c>
      <c r="CF46" s="26" t="inlineStr">
        <is>
          <t>Nos</t>
        </is>
      </c>
      <c r="CG46" s="26" t="n">
        <v>5</v>
      </c>
      <c r="CH46" s="166">
        <f>CE46*CG46</f>
        <v/>
      </c>
      <c r="CI46" s="26" t="n">
        <v>2</v>
      </c>
      <c r="CJ46" s="26" t="inlineStr">
        <is>
          <t>Nos</t>
        </is>
      </c>
      <c r="CK46" s="26" t="n">
        <v>5</v>
      </c>
      <c r="CL46" s="33">
        <f>CI46*CK46</f>
        <v/>
      </c>
      <c r="CM46" s="26" t="n">
        <v>2</v>
      </c>
      <c r="CN46" s="26" t="inlineStr">
        <is>
          <t>Nos</t>
        </is>
      </c>
      <c r="CO46" s="26" t="n">
        <v>5</v>
      </c>
      <c r="CP46" s="166">
        <f>CM46*CO46</f>
        <v/>
      </c>
      <c r="CQ46" s="26" t="n">
        <v>5</v>
      </c>
      <c r="CS46" s="167" t="n">
        <v>42</v>
      </c>
      <c r="CT46" s="26" t="inlineStr">
        <is>
          <t>Gurb Screw</t>
        </is>
      </c>
      <c r="CU46" s="26" t="n">
        <v>2</v>
      </c>
      <c r="CV46" s="26" t="inlineStr">
        <is>
          <t>Nos</t>
        </is>
      </c>
      <c r="CW46" s="26" t="n">
        <v>5</v>
      </c>
      <c r="CX46" s="166">
        <f>CU46*CW46</f>
        <v/>
      </c>
      <c r="CY46" s="26" t="n">
        <v>2</v>
      </c>
      <c r="CZ46" s="26" t="inlineStr">
        <is>
          <t>Nos</t>
        </is>
      </c>
      <c r="DA46" s="26" t="n">
        <v>5</v>
      </c>
      <c r="DB46" s="33">
        <f>CY46*DA46</f>
        <v/>
      </c>
      <c r="DC46" s="26" t="n">
        <v>2</v>
      </c>
      <c r="DD46" s="26" t="inlineStr">
        <is>
          <t>Nos</t>
        </is>
      </c>
      <c r="DE46" s="26" t="n">
        <v>5</v>
      </c>
      <c r="DF46" s="166">
        <f>DC46*DE46</f>
        <v/>
      </c>
      <c r="DG46" s="26">
        <f>DF46-CP46</f>
        <v/>
      </c>
      <c r="DH46" s="167" t="n">
        <v>42</v>
      </c>
      <c r="DI46" s="26" t="inlineStr">
        <is>
          <t>Gurb Screw</t>
        </is>
      </c>
      <c r="DJ46" s="26" t="n">
        <v>2</v>
      </c>
      <c r="DK46" s="26" t="inlineStr">
        <is>
          <t>Nos</t>
        </is>
      </c>
      <c r="DL46" s="26" t="n">
        <v>5</v>
      </c>
      <c r="DM46" s="166">
        <f>DJ46*DL46</f>
        <v/>
      </c>
      <c r="DN46" s="26" t="n">
        <v>2</v>
      </c>
      <c r="DO46" s="26" t="inlineStr">
        <is>
          <t>Nos</t>
        </is>
      </c>
      <c r="DP46" s="26" t="n">
        <v>5</v>
      </c>
      <c r="DQ46" s="33">
        <f>DN46*DP46</f>
        <v/>
      </c>
      <c r="DR46" s="26" t="n">
        <v>2</v>
      </c>
      <c r="DS46" s="26" t="inlineStr">
        <is>
          <t>Nos</t>
        </is>
      </c>
      <c r="DT46" s="26" t="n">
        <v>5</v>
      </c>
      <c r="DU46" s="166">
        <f>DR46*DT46</f>
        <v/>
      </c>
      <c r="DV46" s="26" t="n">
        <v>5</v>
      </c>
      <c r="DX46" s="167" t="n">
        <v>42</v>
      </c>
      <c r="DY46" s="26" t="inlineStr">
        <is>
          <t>Gurb Screw</t>
        </is>
      </c>
      <c r="DZ46" s="26" t="n">
        <v>2</v>
      </c>
      <c r="EA46" s="26" t="inlineStr">
        <is>
          <t>Nos</t>
        </is>
      </c>
      <c r="EB46" s="26" t="n">
        <v>5</v>
      </c>
      <c r="EC46" s="166">
        <f>DZ46*EB46</f>
        <v/>
      </c>
      <c r="ED46" s="26" t="n">
        <v>2</v>
      </c>
      <c r="EE46" s="26" t="inlineStr">
        <is>
          <t>Nos</t>
        </is>
      </c>
      <c r="EF46" s="26" t="n">
        <v>5</v>
      </c>
      <c r="EG46" s="33">
        <f>ED46*EF46</f>
        <v/>
      </c>
      <c r="EH46" s="26" t="n">
        <v>2</v>
      </c>
      <c r="EI46" s="26" t="inlineStr">
        <is>
          <t>Nos</t>
        </is>
      </c>
      <c r="EJ46" s="26" t="n">
        <v>5</v>
      </c>
      <c r="EK46" s="166">
        <f>EH46*EJ46</f>
        <v/>
      </c>
      <c r="EL46" s="26" t="n">
        <v>5</v>
      </c>
      <c r="EN46" s="167" t="n">
        <v>42</v>
      </c>
      <c r="EO46" s="26" t="inlineStr">
        <is>
          <t>Gurb Screw</t>
        </is>
      </c>
      <c r="EP46" s="26" t="n">
        <v>2</v>
      </c>
      <c r="EQ46" s="26" t="inlineStr">
        <is>
          <t>Nos</t>
        </is>
      </c>
      <c r="ER46" s="26" t="n">
        <v>5</v>
      </c>
      <c r="ES46" s="166">
        <f>EP46*ER46</f>
        <v/>
      </c>
      <c r="ET46" s="26" t="n">
        <v>2</v>
      </c>
      <c r="EU46" s="26" t="inlineStr">
        <is>
          <t>Nos</t>
        </is>
      </c>
      <c r="EV46" s="26" t="n">
        <v>5</v>
      </c>
      <c r="EW46" s="33">
        <f>ET46*EV46</f>
        <v/>
      </c>
      <c r="EX46" s="26" t="n">
        <v>2</v>
      </c>
      <c r="EY46" s="26" t="inlineStr">
        <is>
          <t>Nos</t>
        </is>
      </c>
      <c r="EZ46" s="26" t="n">
        <v>5</v>
      </c>
      <c r="FA46" s="166">
        <f>EX46*EZ46</f>
        <v/>
      </c>
      <c r="FB46" s="26" t="n">
        <v>5</v>
      </c>
    </row>
    <row r="47" ht="15.75" customHeight="1" s="307">
      <c r="A47" s="26" t="n">
        <v>43</v>
      </c>
      <c r="B47" s="26" t="inlineStr">
        <is>
          <t>Gaskit (300x300x3 mm)</t>
        </is>
      </c>
      <c r="C47" s="30" t="n">
        <v>2</v>
      </c>
      <c r="D47" s="30" t="inlineStr">
        <is>
          <t>kg</t>
        </is>
      </c>
      <c r="E47" s="30" t="n">
        <v>120</v>
      </c>
      <c r="F47" s="159">
        <f>C47*E47</f>
        <v/>
      </c>
      <c r="G47" s="30" t="n">
        <v>2</v>
      </c>
      <c r="H47" s="30" t="inlineStr">
        <is>
          <t>kg</t>
        </is>
      </c>
      <c r="I47" s="30" t="n">
        <v>120</v>
      </c>
      <c r="J47" s="34">
        <f>G47*I47</f>
        <v/>
      </c>
      <c r="K47" s="30" t="n">
        <v>2</v>
      </c>
      <c r="L47" s="30" t="inlineStr">
        <is>
          <t>kg</t>
        </is>
      </c>
      <c r="M47" s="30" t="n">
        <v>120</v>
      </c>
      <c r="N47" s="159">
        <f>K47*M47</f>
        <v/>
      </c>
      <c r="O47" s="30" t="n">
        <v>120</v>
      </c>
      <c r="Q47" s="26" t="n">
        <v>43</v>
      </c>
      <c r="R47" s="26" t="inlineStr">
        <is>
          <t>LABOUR CHARGE</t>
        </is>
      </c>
      <c r="S47" s="26" t="n"/>
      <c r="T47" s="26" t="n"/>
      <c r="U47" s="26" t="n"/>
      <c r="V47" s="166" t="n">
        <v>8000</v>
      </c>
      <c r="W47" s="26" t="n"/>
      <c r="X47" s="26" t="n"/>
      <c r="Y47" s="26" t="n"/>
      <c r="Z47" s="33" t="n">
        <v>8000</v>
      </c>
      <c r="AA47" s="26" t="n"/>
      <c r="AB47" s="26" t="n"/>
      <c r="AC47" s="26" t="n"/>
      <c r="AD47" s="166" t="n">
        <v>8000</v>
      </c>
      <c r="AE47" s="26" t="n"/>
      <c r="AG47" s="167" t="n">
        <v>43</v>
      </c>
      <c r="AH47" s="26" t="inlineStr">
        <is>
          <t>Gaskit (300x300x3 mm)</t>
        </is>
      </c>
      <c r="AI47" s="26" t="n">
        <v>2</v>
      </c>
      <c r="AJ47" s="26" t="inlineStr">
        <is>
          <t>kg</t>
        </is>
      </c>
      <c r="AK47" s="26" t="n">
        <v>120</v>
      </c>
      <c r="AL47" s="166">
        <f>AI47*AK47</f>
        <v/>
      </c>
      <c r="AM47" s="26" t="n">
        <v>2</v>
      </c>
      <c r="AN47" s="26" t="inlineStr">
        <is>
          <t>kg</t>
        </is>
      </c>
      <c r="AO47" s="26" t="n">
        <v>120</v>
      </c>
      <c r="AP47" s="33">
        <f>AM47*AO47</f>
        <v/>
      </c>
      <c r="AQ47" s="26" t="n">
        <v>2</v>
      </c>
      <c r="AR47" s="26" t="inlineStr">
        <is>
          <t>kg</t>
        </is>
      </c>
      <c r="AS47" s="26" t="n">
        <v>120</v>
      </c>
      <c r="AT47" s="166">
        <f>AQ47*AS47</f>
        <v/>
      </c>
      <c r="AU47" s="26" t="n">
        <v>120</v>
      </c>
      <c r="AW47" s="167" t="n">
        <v>43</v>
      </c>
      <c r="AX47" s="26" t="inlineStr">
        <is>
          <t>Gaskit (300x300x3 mm)</t>
        </is>
      </c>
      <c r="AY47" s="26" t="n">
        <v>2</v>
      </c>
      <c r="AZ47" s="26" t="inlineStr">
        <is>
          <t>kg</t>
        </is>
      </c>
      <c r="BA47" s="26" t="n">
        <v>120</v>
      </c>
      <c r="BB47" s="166">
        <f>AY47*BA47</f>
        <v/>
      </c>
      <c r="BC47" s="26" t="n">
        <v>2</v>
      </c>
      <c r="BD47" s="26" t="inlineStr">
        <is>
          <t>kg</t>
        </is>
      </c>
      <c r="BE47" s="26" t="n">
        <v>120</v>
      </c>
      <c r="BF47" s="33">
        <f>BC47*BE47</f>
        <v/>
      </c>
      <c r="BG47" s="26" t="n">
        <v>2</v>
      </c>
      <c r="BH47" s="26" t="inlineStr">
        <is>
          <t>kg</t>
        </is>
      </c>
      <c r="BI47" s="26" t="n">
        <v>120</v>
      </c>
      <c r="BJ47" s="166">
        <f>BG47*BI47</f>
        <v/>
      </c>
      <c r="BK47" s="26" t="n">
        <v>120</v>
      </c>
      <c r="BM47" s="167" t="n">
        <v>43</v>
      </c>
      <c r="BN47" s="26" t="inlineStr">
        <is>
          <t>Gaskit (300x300x3 mm)</t>
        </is>
      </c>
      <c r="BO47" s="26" t="n">
        <v>2</v>
      </c>
      <c r="BP47" s="26" t="inlineStr">
        <is>
          <t>kg</t>
        </is>
      </c>
      <c r="BQ47" s="26" t="n">
        <v>120</v>
      </c>
      <c r="BR47" s="166">
        <f>BO47*BQ47</f>
        <v/>
      </c>
      <c r="BS47" s="26" t="n">
        <v>2</v>
      </c>
      <c r="BT47" s="26" t="inlineStr">
        <is>
          <t>kg</t>
        </is>
      </c>
      <c r="BU47" s="26" t="n">
        <v>120</v>
      </c>
      <c r="BV47" s="33">
        <f>BS47*BU47</f>
        <v/>
      </c>
      <c r="BW47" s="26" t="n">
        <v>2</v>
      </c>
      <c r="BX47" s="26" t="inlineStr">
        <is>
          <t>kg</t>
        </is>
      </c>
      <c r="BY47" s="26" t="n">
        <v>120</v>
      </c>
      <c r="BZ47" s="166">
        <f>BW47*BY47</f>
        <v/>
      </c>
      <c r="CA47" s="26" t="n">
        <v>120</v>
      </c>
      <c r="CC47" s="167" t="n">
        <v>43</v>
      </c>
      <c r="CD47" s="26" t="inlineStr">
        <is>
          <t>Gaskit (300x300x3 mm)</t>
        </is>
      </c>
      <c r="CE47" s="26" t="n">
        <v>2</v>
      </c>
      <c r="CF47" s="26" t="inlineStr">
        <is>
          <t>kg</t>
        </is>
      </c>
      <c r="CG47" s="26" t="n">
        <v>120</v>
      </c>
      <c r="CH47" s="166">
        <f>CE47*CG47</f>
        <v/>
      </c>
      <c r="CI47" s="26" t="n">
        <v>2</v>
      </c>
      <c r="CJ47" s="26" t="inlineStr">
        <is>
          <t>kg</t>
        </is>
      </c>
      <c r="CK47" s="26" t="n">
        <v>120</v>
      </c>
      <c r="CL47" s="33">
        <f>CI47*CK47</f>
        <v/>
      </c>
      <c r="CM47" s="26" t="n">
        <v>2</v>
      </c>
      <c r="CN47" s="26" t="inlineStr">
        <is>
          <t>kg</t>
        </is>
      </c>
      <c r="CO47" s="26" t="n">
        <v>120</v>
      </c>
      <c r="CP47" s="166">
        <f>CM47*CO47</f>
        <v/>
      </c>
      <c r="CQ47" s="26" t="n">
        <v>120</v>
      </c>
      <c r="CS47" s="167" t="n">
        <v>43</v>
      </c>
      <c r="CT47" s="26" t="inlineStr">
        <is>
          <t>Gaskit (300x300x3 mm)</t>
        </is>
      </c>
      <c r="CU47" s="26" t="n">
        <v>2</v>
      </c>
      <c r="CV47" s="26" t="inlineStr">
        <is>
          <t>kg</t>
        </is>
      </c>
      <c r="CW47" s="26" t="n">
        <v>120</v>
      </c>
      <c r="CX47" s="166">
        <f>CU47*CW47</f>
        <v/>
      </c>
      <c r="CY47" s="26" t="n">
        <v>2</v>
      </c>
      <c r="CZ47" s="26" t="inlineStr">
        <is>
          <t>kg</t>
        </is>
      </c>
      <c r="DA47" s="26" t="n">
        <v>120</v>
      </c>
      <c r="DB47" s="33">
        <f>CY47*DA47</f>
        <v/>
      </c>
      <c r="DC47" s="26" t="n">
        <v>2</v>
      </c>
      <c r="DD47" s="26" t="inlineStr">
        <is>
          <t>kg</t>
        </is>
      </c>
      <c r="DE47" s="26" t="n">
        <v>120</v>
      </c>
      <c r="DF47" s="166">
        <f>DC47*DE47</f>
        <v/>
      </c>
      <c r="DG47" s="26">
        <f>DF47-CP47</f>
        <v/>
      </c>
      <c r="DH47" s="167" t="n">
        <v>43</v>
      </c>
      <c r="DI47" s="26" t="inlineStr">
        <is>
          <t>Gaskit (600x600x3 mm)</t>
        </is>
      </c>
      <c r="DJ47" s="26" t="n">
        <v>4</v>
      </c>
      <c r="DK47" s="26" t="inlineStr">
        <is>
          <t>kg</t>
        </is>
      </c>
      <c r="DL47" s="26" t="n">
        <v>120</v>
      </c>
      <c r="DM47" s="166">
        <f>DJ47*DL47</f>
        <v/>
      </c>
      <c r="DN47" s="26" t="n">
        <v>4</v>
      </c>
      <c r="DO47" s="26" t="inlineStr">
        <is>
          <t>kg</t>
        </is>
      </c>
      <c r="DP47" s="26" t="n">
        <v>120</v>
      </c>
      <c r="DQ47" s="33">
        <f>DN47*DP47</f>
        <v/>
      </c>
      <c r="DR47" s="26" t="n">
        <v>4</v>
      </c>
      <c r="DS47" s="26" t="inlineStr">
        <is>
          <t>kg</t>
        </is>
      </c>
      <c r="DT47" s="26" t="n">
        <v>120</v>
      </c>
      <c r="DU47" s="166">
        <f>DR47*DT47</f>
        <v/>
      </c>
      <c r="DV47" s="26" t="n">
        <v>120</v>
      </c>
      <c r="DX47" s="167" t="n">
        <v>43</v>
      </c>
      <c r="DY47" s="26" t="inlineStr">
        <is>
          <t>Gaskit (600x600x3 mm)</t>
        </is>
      </c>
      <c r="DZ47" s="26" t="n">
        <v>4</v>
      </c>
      <c r="EA47" s="26" t="inlineStr">
        <is>
          <t>kg</t>
        </is>
      </c>
      <c r="EB47" s="26" t="n">
        <v>120</v>
      </c>
      <c r="EC47" s="166">
        <f>DZ47*EB47</f>
        <v/>
      </c>
      <c r="ED47" s="26" t="n">
        <v>4</v>
      </c>
      <c r="EE47" s="26" t="inlineStr">
        <is>
          <t>kg</t>
        </is>
      </c>
      <c r="EF47" s="26" t="n">
        <v>120</v>
      </c>
      <c r="EG47" s="33">
        <f>ED47*EF47</f>
        <v/>
      </c>
      <c r="EH47" s="26" t="n">
        <v>4</v>
      </c>
      <c r="EI47" s="26" t="inlineStr">
        <is>
          <t>kg</t>
        </is>
      </c>
      <c r="EJ47" s="26" t="n">
        <v>120</v>
      </c>
      <c r="EK47" s="166">
        <f>EH47*EJ47</f>
        <v/>
      </c>
      <c r="EL47" s="26" t="n">
        <v>120</v>
      </c>
      <c r="EN47" s="167" t="n">
        <v>43</v>
      </c>
      <c r="EO47" s="26" t="inlineStr">
        <is>
          <t>Gaskit (700x700x3 mm)</t>
        </is>
      </c>
      <c r="EP47" s="26" t="n">
        <v>5</v>
      </c>
      <c r="EQ47" s="26" t="inlineStr">
        <is>
          <t>kg</t>
        </is>
      </c>
      <c r="ER47" s="26" t="n">
        <v>120</v>
      </c>
      <c r="ES47" s="166">
        <f>EP47*ER47</f>
        <v/>
      </c>
      <c r="ET47" s="26" t="n">
        <v>5</v>
      </c>
      <c r="EU47" s="26" t="inlineStr">
        <is>
          <t>kg</t>
        </is>
      </c>
      <c r="EV47" s="26" t="n">
        <v>120</v>
      </c>
      <c r="EW47" s="33">
        <f>ET47*EV47</f>
        <v/>
      </c>
      <c r="EX47" s="26" t="n">
        <v>5</v>
      </c>
      <c r="EY47" s="26" t="inlineStr">
        <is>
          <t>kg</t>
        </is>
      </c>
      <c r="EZ47" s="26" t="n">
        <v>120</v>
      </c>
      <c r="FA47" s="166">
        <f>EX47*EZ47</f>
        <v/>
      </c>
      <c r="FB47" s="26" t="n">
        <v>120</v>
      </c>
    </row>
    <row r="48" ht="15.75" customHeight="1" s="307">
      <c r="A48" s="26" t="n">
        <v>44</v>
      </c>
      <c r="B48" s="26" t="inlineStr">
        <is>
          <t>LABOUR CHARGE</t>
        </is>
      </c>
      <c r="C48" s="30" t="n"/>
      <c r="D48" s="30" t="n"/>
      <c r="E48" s="30" t="n"/>
      <c r="F48" s="171" t="n">
        <v>8000</v>
      </c>
      <c r="G48" s="30" t="n"/>
      <c r="H48" s="30" t="n"/>
      <c r="I48" s="30" t="n"/>
      <c r="J48" s="34" t="n">
        <v>8000</v>
      </c>
      <c r="K48" s="30" t="n"/>
      <c r="L48" s="30" t="n"/>
      <c r="M48" s="30" t="n"/>
      <c r="N48" s="171" t="n">
        <v>8000</v>
      </c>
      <c r="O48" s="30" t="n"/>
      <c r="Q48" s="26" t="n"/>
      <c r="R48" s="172" t="inlineStr">
        <is>
          <t>Total Amount</t>
        </is>
      </c>
      <c r="S48" s="172" t="n"/>
      <c r="T48" s="172" t="n"/>
      <c r="U48" s="172" t="n"/>
      <c r="V48" s="172">
        <f>SUM(V5:V47)</f>
        <v/>
      </c>
      <c r="W48" s="172" t="n"/>
      <c r="X48" s="172" t="n"/>
      <c r="Y48" s="172" t="n"/>
      <c r="Z48" s="172">
        <f>SUM(Z5:Z47)</f>
        <v/>
      </c>
      <c r="AA48" s="172" t="n"/>
      <c r="AB48" s="172" t="n"/>
      <c r="AC48" s="172" t="n"/>
      <c r="AD48" s="172">
        <f>SUM(AD5:AD47)</f>
        <v/>
      </c>
      <c r="AE48" s="26" t="n"/>
      <c r="AG48" s="167" t="n">
        <v>44</v>
      </c>
      <c r="AH48" s="26" t="inlineStr">
        <is>
          <t>LABOUR CHARGE</t>
        </is>
      </c>
      <c r="AI48" s="26" t="n"/>
      <c r="AJ48" s="26" t="n"/>
      <c r="AK48" s="26" t="n"/>
      <c r="AL48" s="173" t="n">
        <v>8000</v>
      </c>
      <c r="AM48" s="26" t="n"/>
      <c r="AN48" s="26" t="n"/>
      <c r="AO48" s="26" t="n"/>
      <c r="AP48" s="26" t="n">
        <v>8000</v>
      </c>
      <c r="AQ48" s="26" t="n"/>
      <c r="AR48" s="26" t="n"/>
      <c r="AS48" s="26" t="n"/>
      <c r="AT48" s="173" t="n">
        <v>8000</v>
      </c>
      <c r="AU48" s="26" t="n"/>
      <c r="AW48" s="167" t="n">
        <v>44</v>
      </c>
      <c r="AX48" s="26" t="inlineStr">
        <is>
          <t>LABOUR CHARGE</t>
        </is>
      </c>
      <c r="AY48" s="26" t="n"/>
      <c r="AZ48" s="26" t="n"/>
      <c r="BA48" s="26" t="n"/>
      <c r="BB48" s="173" t="n">
        <v>8000</v>
      </c>
      <c r="BC48" s="26" t="n"/>
      <c r="BD48" s="26" t="n"/>
      <c r="BE48" s="26" t="n"/>
      <c r="BF48" s="26" t="n">
        <v>8000</v>
      </c>
      <c r="BG48" s="26" t="n"/>
      <c r="BH48" s="26" t="n"/>
      <c r="BI48" s="26" t="n"/>
      <c r="BJ48" s="173" t="n">
        <v>8000</v>
      </c>
      <c r="BK48" s="26" t="n"/>
      <c r="BM48" s="167" t="n">
        <v>44</v>
      </c>
      <c r="BN48" s="26" t="inlineStr">
        <is>
          <t>LABOUR CHARGE</t>
        </is>
      </c>
      <c r="BO48" s="26" t="n"/>
      <c r="BP48" s="26" t="n"/>
      <c r="BQ48" s="26" t="n"/>
      <c r="BR48" s="173" t="n">
        <v>8000</v>
      </c>
      <c r="BS48" s="26" t="n"/>
      <c r="BT48" s="26" t="n"/>
      <c r="BU48" s="26" t="n"/>
      <c r="BV48" s="26" t="n">
        <v>8000</v>
      </c>
      <c r="BW48" s="26" t="n"/>
      <c r="BX48" s="26" t="n"/>
      <c r="BY48" s="26" t="n"/>
      <c r="BZ48" s="173" t="n">
        <v>8000</v>
      </c>
      <c r="CA48" s="26" t="n"/>
      <c r="CC48" s="167" t="n">
        <v>44</v>
      </c>
      <c r="CD48" s="26" t="inlineStr">
        <is>
          <t>LABOUR CHARGE</t>
        </is>
      </c>
      <c r="CE48" s="26" t="n"/>
      <c r="CF48" s="26" t="n"/>
      <c r="CG48" s="26" t="n"/>
      <c r="CH48" s="173" t="n">
        <v>8000</v>
      </c>
      <c r="CI48" s="26" t="n"/>
      <c r="CJ48" s="26" t="n"/>
      <c r="CK48" s="26" t="n"/>
      <c r="CL48" s="26" t="n">
        <v>8000</v>
      </c>
      <c r="CM48" s="26" t="n"/>
      <c r="CN48" s="26" t="n"/>
      <c r="CO48" s="26" t="n"/>
      <c r="CP48" s="173" t="n">
        <v>8000</v>
      </c>
      <c r="CQ48" s="26" t="n"/>
      <c r="CS48" s="167" t="n">
        <v>44</v>
      </c>
      <c r="CT48" s="26" t="inlineStr">
        <is>
          <t>LABOUR CHARGE</t>
        </is>
      </c>
      <c r="CU48" s="26" t="n"/>
      <c r="CV48" s="26" t="n"/>
      <c r="CW48" s="26" t="n"/>
      <c r="CX48" s="173" t="n">
        <v>8000</v>
      </c>
      <c r="CY48" s="26" t="n"/>
      <c r="CZ48" s="26" t="n"/>
      <c r="DA48" s="26" t="n"/>
      <c r="DB48" s="26" t="n">
        <v>8000</v>
      </c>
      <c r="DC48" s="26" t="n"/>
      <c r="DD48" s="26" t="n"/>
      <c r="DE48" s="26" t="n"/>
      <c r="DF48" s="173" t="n">
        <v>8000</v>
      </c>
      <c r="DG48" s="26">
        <f>DF48-CP48</f>
        <v/>
      </c>
      <c r="DH48" s="167" t="n">
        <v>44</v>
      </c>
      <c r="DI48" s="26" t="inlineStr">
        <is>
          <t>LABOUR CHARGE</t>
        </is>
      </c>
      <c r="DJ48" s="26" t="n"/>
      <c r="DK48" s="26" t="n"/>
      <c r="DL48" s="26" t="n"/>
      <c r="DM48" s="173" t="n">
        <v>8000</v>
      </c>
      <c r="DN48" s="26" t="n"/>
      <c r="DO48" s="26" t="n"/>
      <c r="DP48" s="26" t="n"/>
      <c r="DQ48" s="26" t="n">
        <v>8000</v>
      </c>
      <c r="DR48" s="26" t="n"/>
      <c r="DS48" s="26" t="n"/>
      <c r="DT48" s="26" t="n"/>
      <c r="DU48" s="173" t="n">
        <v>8000</v>
      </c>
      <c r="DV48" s="26" t="n"/>
      <c r="DX48" s="167" t="n">
        <v>44</v>
      </c>
      <c r="DY48" s="26" t="inlineStr">
        <is>
          <t>LABOUR CHARGE</t>
        </is>
      </c>
      <c r="DZ48" s="26" t="n"/>
      <c r="EA48" s="26" t="n"/>
      <c r="EB48" s="26" t="n"/>
      <c r="EC48" s="26" t="n">
        <v>8000</v>
      </c>
      <c r="ED48" s="26" t="n"/>
      <c r="EE48" s="26" t="n"/>
      <c r="EF48" s="26" t="n"/>
      <c r="EG48" s="26" t="n">
        <v>8000</v>
      </c>
      <c r="EH48" s="26" t="n"/>
      <c r="EI48" s="26" t="n"/>
      <c r="EJ48" s="26" t="n"/>
      <c r="EK48" s="26" t="n">
        <v>8000</v>
      </c>
      <c r="EL48" s="26" t="n"/>
      <c r="EN48" s="167" t="n">
        <v>44</v>
      </c>
      <c r="EO48" s="26" t="inlineStr">
        <is>
          <t>LABOUR CHARGE</t>
        </is>
      </c>
      <c r="EP48" s="26" t="n"/>
      <c r="EQ48" s="26" t="n"/>
      <c r="ER48" s="26" t="n"/>
      <c r="ES48" s="166" t="n">
        <v>8000</v>
      </c>
      <c r="ET48" s="26" t="n"/>
      <c r="EU48" s="26" t="n"/>
      <c r="EV48" s="26" t="n"/>
      <c r="EW48" s="33" t="n">
        <v>8000</v>
      </c>
      <c r="EX48" s="26" t="n"/>
      <c r="EY48" s="26" t="n"/>
      <c r="EZ48" s="26" t="n"/>
      <c r="FA48" s="166" t="n">
        <v>8000</v>
      </c>
      <c r="FB48" s="26" t="n"/>
    </row>
    <row r="49" ht="15.75" customHeight="1" s="307">
      <c r="A49" s="26" t="n"/>
      <c r="B49" s="172" t="inlineStr">
        <is>
          <t>Total Amount</t>
        </is>
      </c>
      <c r="C49" s="174" t="n"/>
      <c r="D49" s="174" t="n"/>
      <c r="E49" s="174" t="n"/>
      <c r="F49" s="175">
        <f>SUM(F5:F48)</f>
        <v/>
      </c>
      <c r="G49" s="174" t="n"/>
      <c r="H49" s="174" t="n"/>
      <c r="I49" s="174" t="n"/>
      <c r="J49" s="174">
        <f>SUM(J5:J48)</f>
        <v/>
      </c>
      <c r="K49" s="174" t="n"/>
      <c r="L49" s="174" t="n"/>
      <c r="M49" s="174" t="n"/>
      <c r="N49" s="175">
        <f>SUM(N5:N48)</f>
        <v/>
      </c>
      <c r="O49" s="30" t="n"/>
      <c r="Q49" s="26" t="n"/>
      <c r="R49" s="26" t="n"/>
      <c r="S49" s="26" t="n"/>
      <c r="T49" s="26" t="n"/>
      <c r="U49" s="26" t="n"/>
      <c r="V49" s="26" t="n"/>
      <c r="W49" s="26" t="n"/>
      <c r="X49" s="26" t="n"/>
      <c r="Y49" s="26" t="n"/>
      <c r="Z49" s="26" t="n"/>
      <c r="AA49" s="26" t="n"/>
      <c r="AB49" s="26" t="n"/>
      <c r="AC49" s="26" t="n"/>
      <c r="AD49" s="26" t="n"/>
      <c r="AE49" s="26" t="n"/>
      <c r="AG49" s="167" t="n"/>
      <c r="AH49" s="172" t="inlineStr">
        <is>
          <t>Total Amount</t>
        </is>
      </c>
      <c r="AI49" s="172" t="n"/>
      <c r="AJ49" s="172" t="n"/>
      <c r="AK49" s="172" t="n"/>
      <c r="AL49" s="176">
        <f>SUM(AL5:AL48)</f>
        <v/>
      </c>
      <c r="AM49" s="172" t="n"/>
      <c r="AN49" s="172" t="n"/>
      <c r="AO49" s="172" t="n"/>
      <c r="AP49" s="172">
        <f>SUM(AP5:AP48)</f>
        <v/>
      </c>
      <c r="AQ49" s="172" t="n"/>
      <c r="AR49" s="172" t="n"/>
      <c r="AS49" s="172" t="n"/>
      <c r="AT49" s="176">
        <f>SUM(AT5:AT48)</f>
        <v/>
      </c>
      <c r="AU49" s="26" t="n"/>
      <c r="AW49" s="167" t="n"/>
      <c r="AX49" s="172" t="inlineStr">
        <is>
          <t>Total Amount</t>
        </is>
      </c>
      <c r="AY49" s="172" t="n"/>
      <c r="AZ49" s="172" t="n"/>
      <c r="BA49" s="172" t="n"/>
      <c r="BB49" s="176">
        <f>SUM(BB5:BB48)</f>
        <v/>
      </c>
      <c r="BC49" s="172" t="n"/>
      <c r="BD49" s="172" t="n"/>
      <c r="BE49" s="172" t="n"/>
      <c r="BF49" s="172">
        <f>SUM(BF5:BF48)</f>
        <v/>
      </c>
      <c r="BG49" s="172" t="n"/>
      <c r="BH49" s="172" t="n"/>
      <c r="BI49" s="172" t="n"/>
      <c r="BJ49" s="176">
        <f>SUM(BJ5:BJ48)</f>
        <v/>
      </c>
      <c r="BK49" s="26" t="n"/>
      <c r="BM49" s="167" t="n"/>
      <c r="BN49" s="172" t="inlineStr">
        <is>
          <t>Total Amount</t>
        </is>
      </c>
      <c r="BO49" s="172" t="n"/>
      <c r="BP49" s="172" t="n"/>
      <c r="BQ49" s="172" t="n"/>
      <c r="BR49" s="176">
        <f>SUM(BR5:BR48)</f>
        <v/>
      </c>
      <c r="BS49" s="172" t="n"/>
      <c r="BT49" s="172" t="n"/>
      <c r="BU49" s="172" t="n"/>
      <c r="BV49" s="172">
        <f>SUM(BV5:BV48)</f>
        <v/>
      </c>
      <c r="BW49" s="172" t="n"/>
      <c r="BX49" s="172" t="n"/>
      <c r="BY49" s="172" t="n"/>
      <c r="BZ49" s="176">
        <f>SUM(BZ5:BZ48)</f>
        <v/>
      </c>
      <c r="CA49" s="26" t="n"/>
      <c r="CC49" s="167" t="n"/>
      <c r="CD49" s="172" t="inlineStr">
        <is>
          <t>Total Amount</t>
        </is>
      </c>
      <c r="CE49" s="172" t="n"/>
      <c r="CF49" s="172" t="n"/>
      <c r="CG49" s="172" t="n"/>
      <c r="CH49" s="176">
        <f>SUM(CH5:CH48)</f>
        <v/>
      </c>
      <c r="CI49" s="172" t="n"/>
      <c r="CJ49" s="172" t="n"/>
      <c r="CK49" s="172" t="n"/>
      <c r="CL49" s="172">
        <f>SUM(CL5:CL48)</f>
        <v/>
      </c>
      <c r="CM49" s="172" t="n"/>
      <c r="CN49" s="172" t="n"/>
      <c r="CO49" s="172" t="n"/>
      <c r="CP49" s="176">
        <f>SUM(CP5:CP48)</f>
        <v/>
      </c>
      <c r="CQ49" s="26" t="n"/>
      <c r="CS49" s="167" t="n"/>
      <c r="CT49" s="172" t="inlineStr">
        <is>
          <t>Total Amount</t>
        </is>
      </c>
      <c r="CU49" s="172" t="n"/>
      <c r="CV49" s="172" t="n"/>
      <c r="CW49" s="172" t="n"/>
      <c r="CX49" s="176">
        <f>SUM(CX5:CX48)</f>
        <v/>
      </c>
      <c r="CY49" s="172" t="n"/>
      <c r="CZ49" s="172" t="n"/>
      <c r="DA49" s="172" t="n"/>
      <c r="DB49" s="172">
        <f>SUM(DB5:DB48)</f>
        <v/>
      </c>
      <c r="DC49" s="172" t="n"/>
      <c r="DD49" s="172" t="n"/>
      <c r="DE49" s="172" t="n"/>
      <c r="DF49" s="176">
        <f>SUM(DF5:DF48)</f>
        <v/>
      </c>
      <c r="DG49" s="26">
        <f>DF49-CP49</f>
        <v/>
      </c>
      <c r="DH49" s="167" t="n"/>
      <c r="DI49" s="172" t="inlineStr">
        <is>
          <t>Total Amount</t>
        </is>
      </c>
      <c r="DJ49" s="172" t="n"/>
      <c r="DK49" s="172" t="n"/>
      <c r="DL49" s="172" t="n"/>
      <c r="DM49" s="176">
        <f>SUM(DM5:DM48)</f>
        <v/>
      </c>
      <c r="DN49" s="172" t="n"/>
      <c r="DO49" s="172" t="n"/>
      <c r="DP49" s="172" t="n"/>
      <c r="DQ49" s="172">
        <f>SUM(DQ5:DQ48)</f>
        <v/>
      </c>
      <c r="DR49" s="172" t="n"/>
      <c r="DS49" s="172" t="n"/>
      <c r="DT49" s="172" t="n"/>
      <c r="DU49" s="176">
        <f>SUM(DU5:DU48)</f>
        <v/>
      </c>
      <c r="DV49" s="26" t="n"/>
      <c r="DX49" s="26" t="n"/>
      <c r="DY49" s="172" t="inlineStr">
        <is>
          <t>Total Amount</t>
        </is>
      </c>
      <c r="DZ49" s="172" t="n"/>
      <c r="EA49" s="172" t="n"/>
      <c r="EB49" s="172" t="n"/>
      <c r="EC49" s="172">
        <f>SUM(EC5:EC48)</f>
        <v/>
      </c>
      <c r="ED49" s="172" t="n"/>
      <c r="EE49" s="172" t="n"/>
      <c r="EF49" s="172" t="n"/>
      <c r="EG49" s="172">
        <f>SUM(EG5:EG48)</f>
        <v/>
      </c>
      <c r="EH49" s="172" t="n"/>
      <c r="EI49" s="172" t="n"/>
      <c r="EJ49" s="172" t="n"/>
      <c r="EK49" s="172">
        <f>SUM(EK5:EK48)</f>
        <v/>
      </c>
      <c r="EL49" s="26" t="n"/>
      <c r="EN49" s="26" t="n"/>
      <c r="EO49" s="172" t="inlineStr">
        <is>
          <t>Total Amount</t>
        </is>
      </c>
      <c r="EP49" s="172" t="n"/>
      <c r="EQ49" s="172" t="n"/>
      <c r="ER49" s="172" t="n"/>
      <c r="ES49" s="172">
        <f>SUM(ES5:ES48)</f>
        <v/>
      </c>
      <c r="ET49" s="172" t="n"/>
      <c r="EU49" s="172" t="n"/>
      <c r="EV49" s="172" t="n"/>
      <c r="EW49" s="172">
        <f>SUM(EW5:EW48)</f>
        <v/>
      </c>
      <c r="EX49" s="172" t="n"/>
      <c r="EY49" s="172" t="n"/>
      <c r="EZ49" s="172" t="n"/>
      <c r="FA49" s="172">
        <f>SUM(FA5:FA48)</f>
        <v/>
      </c>
      <c r="FB49" s="26" t="n"/>
    </row>
    <row r="50" ht="15.75" customHeight="1" s="307">
      <c r="A50" s="26" t="n"/>
      <c r="B50" s="26" t="n"/>
      <c r="C50" s="30" t="n"/>
      <c r="D50" s="30" t="n"/>
      <c r="E50" s="30" t="n"/>
      <c r="F50" s="30" t="n"/>
      <c r="G50" s="30" t="n"/>
      <c r="H50" s="30" t="n"/>
      <c r="I50" s="30" t="n"/>
      <c r="J50" s="30" t="n"/>
      <c r="K50" s="30" t="n"/>
      <c r="L50" s="30" t="n"/>
      <c r="M50" s="30" t="n"/>
      <c r="N50" s="30" t="n"/>
      <c r="O50" s="30" t="n"/>
      <c r="AG50" s="26" t="n"/>
      <c r="AH50" s="26" t="n"/>
      <c r="AI50" s="26" t="n"/>
      <c r="AJ50" s="26" t="n"/>
      <c r="AK50" s="26" t="n"/>
      <c r="AL50" s="26" t="n"/>
      <c r="AM50" s="26" t="n"/>
      <c r="AN50" s="26" t="n"/>
      <c r="AO50" s="26" t="n"/>
      <c r="AP50" s="26" t="n"/>
      <c r="AQ50" s="26" t="n"/>
      <c r="AR50" s="26" t="n"/>
      <c r="AS50" s="26" t="n"/>
      <c r="AT50" s="26" t="n"/>
      <c r="AU50" s="26" t="n"/>
      <c r="AW50" s="26" t="n"/>
      <c r="AX50" s="26" t="n"/>
      <c r="AY50" s="26" t="n"/>
      <c r="AZ50" s="26" t="n"/>
      <c r="BA50" s="26" t="n"/>
      <c r="BB50" s="26" t="n"/>
      <c r="BC50" s="26" t="n"/>
      <c r="BD50" s="26" t="n"/>
      <c r="BE50" s="26" t="n"/>
      <c r="BF50" s="26" t="n"/>
      <c r="BG50" s="26" t="n"/>
      <c r="BH50" s="26" t="n"/>
      <c r="BI50" s="26" t="n"/>
      <c r="BJ50" s="26" t="n"/>
      <c r="BK50" s="26" t="n"/>
      <c r="BM50" s="26" t="n"/>
      <c r="BN50" s="26" t="n"/>
      <c r="BO50" s="26" t="n"/>
      <c r="BP50" s="26" t="n"/>
      <c r="BQ50" s="26" t="n"/>
      <c r="BR50" s="26" t="n"/>
      <c r="BS50" s="26" t="n"/>
      <c r="BT50" s="26" t="n"/>
      <c r="BU50" s="26" t="n"/>
      <c r="BV50" s="26" t="n"/>
      <c r="BW50" s="26" t="n"/>
      <c r="BX50" s="26" t="n"/>
      <c r="BY50" s="26" t="n"/>
      <c r="BZ50" s="26" t="n"/>
      <c r="CA50" s="26" t="n"/>
      <c r="CC50" s="26" t="n"/>
      <c r="CD50" s="26" t="n"/>
      <c r="CE50" s="26" t="n"/>
      <c r="CF50" s="26" t="n"/>
      <c r="CG50" s="26" t="n"/>
      <c r="CH50" s="26" t="n"/>
      <c r="CI50" s="26" t="n"/>
      <c r="CJ50" s="26" t="n"/>
      <c r="CK50" s="26" t="n"/>
      <c r="CL50" s="26" t="n"/>
      <c r="CM50" s="26" t="n"/>
      <c r="CN50" s="26" t="n"/>
      <c r="CO50" s="26" t="n"/>
      <c r="CP50" s="26" t="n"/>
      <c r="CQ50" s="26" t="n"/>
      <c r="CS50" s="26" t="n"/>
      <c r="CT50" s="26" t="n"/>
      <c r="CU50" s="26" t="n"/>
      <c r="CV50" s="26" t="n"/>
      <c r="CW50" s="26" t="n"/>
      <c r="CX50" s="26" t="n"/>
      <c r="CY50" s="26" t="n"/>
      <c r="CZ50" s="26" t="n"/>
      <c r="DA50" s="26" t="n"/>
      <c r="DB50" s="26" t="n"/>
      <c r="DC50" s="26" t="n"/>
      <c r="DD50" s="26" t="n"/>
      <c r="DE50" s="26" t="n"/>
      <c r="DF50" s="26" t="n"/>
      <c r="DG50" s="26" t="n"/>
      <c r="DH50" s="26" t="n"/>
      <c r="DI50" s="26" t="n"/>
      <c r="DJ50" s="26" t="n"/>
      <c r="DK50" s="26" t="n"/>
      <c r="DL50" s="26" t="n"/>
      <c r="DM50" s="26" t="n"/>
      <c r="DN50" s="26" t="n"/>
      <c r="DO50" s="26" t="n"/>
      <c r="DP50" s="26" t="n"/>
      <c r="DQ50" s="26" t="n"/>
      <c r="DR50" s="26" t="n"/>
      <c r="DS50" s="26" t="n"/>
      <c r="DT50" s="26" t="n"/>
      <c r="DU50" s="26" t="n"/>
      <c r="DV50" s="26" t="n"/>
      <c r="DX50" s="26" t="n"/>
      <c r="DY50" s="26" t="n"/>
      <c r="DZ50" s="26" t="n"/>
      <c r="EA50" s="26" t="n"/>
      <c r="EB50" s="26" t="n"/>
      <c r="EC50" s="26" t="n"/>
      <c r="ED50" s="26" t="n"/>
      <c r="EE50" s="26" t="n"/>
      <c r="EF50" s="26" t="n"/>
      <c r="EG50" s="26" t="n"/>
      <c r="EH50" s="26" t="n"/>
      <c r="EI50" s="26" t="n"/>
      <c r="EJ50" s="26" t="n"/>
      <c r="EK50" s="26" t="n"/>
      <c r="EL50" s="26" t="n"/>
      <c r="EN50" s="26" t="n"/>
      <c r="EO50" s="26" t="n"/>
      <c r="EP50" s="26" t="n"/>
      <c r="EQ50" s="26" t="n"/>
      <c r="ER50" s="26" t="n"/>
      <c r="ES50" s="26" t="n"/>
      <c r="ET50" s="26" t="n"/>
      <c r="EU50" s="26" t="n"/>
      <c r="EV50" s="26" t="n"/>
      <c r="EW50" s="26" t="n"/>
      <c r="EX50" s="26" t="n"/>
      <c r="EY50" s="26" t="n"/>
      <c r="EZ50" s="26" t="n"/>
      <c r="FA50" s="26" t="n"/>
      <c r="FB50" s="26" t="n"/>
    </row>
    <row r="51" ht="15.75" customHeight="1" s="307">
      <c r="O51" s="44" t="n"/>
    </row>
    <row r="52" ht="15.75" customHeight="1" s="307">
      <c r="E52" s="1" t="n">
        <v>1.8</v>
      </c>
      <c r="F52" s="1">
        <f>F49*$E$52</f>
        <v/>
      </c>
      <c r="J52" s="1">
        <f>J49*$E$52</f>
        <v/>
      </c>
      <c r="N52" s="3">
        <f>N49*$E$52</f>
        <v/>
      </c>
      <c r="O52" s="44" t="n"/>
      <c r="V52" s="3">
        <f>V48*$E$52</f>
        <v/>
      </c>
      <c r="W52" s="3" t="n"/>
      <c r="X52" s="3" t="n"/>
      <c r="Y52" s="3" t="n"/>
      <c r="Z52" s="3">
        <f>Z48*$E$52</f>
        <v/>
      </c>
      <c r="AA52" s="3" t="n"/>
      <c r="AB52" s="3" t="n"/>
      <c r="AC52" s="3" t="n"/>
      <c r="AD52" s="3">
        <f>AD48*$E$52</f>
        <v/>
      </c>
      <c r="AL52" s="3">
        <f>AL49*$E$52</f>
        <v/>
      </c>
      <c r="AP52" s="3">
        <f>AP49*$E$52</f>
        <v/>
      </c>
      <c r="AT52" s="3">
        <f>AT49*$E$52</f>
        <v/>
      </c>
      <c r="BB52" s="3">
        <f>BB49*$E$52</f>
        <v/>
      </c>
      <c r="BF52" s="3">
        <f>BF49*$E$52</f>
        <v/>
      </c>
      <c r="BJ52" s="3">
        <f>BJ49*$E$52</f>
        <v/>
      </c>
      <c r="BR52" s="3">
        <f>BR49*$E$52</f>
        <v/>
      </c>
      <c r="BV52" s="3">
        <f>BV49*$E$52</f>
        <v/>
      </c>
      <c r="BZ52" s="3">
        <f>BZ49*$E$52</f>
        <v/>
      </c>
      <c r="CH52" s="3">
        <f>CH49*$E$52</f>
        <v/>
      </c>
      <c r="CL52" s="3">
        <f>CL49*$E$52</f>
        <v/>
      </c>
      <c r="CP52" s="3">
        <f>CP49*$E$52</f>
        <v/>
      </c>
      <c r="CX52" s="3">
        <f>CX49*$E$52</f>
        <v/>
      </c>
      <c r="DB52" s="3">
        <f>DB49*$E$52</f>
        <v/>
      </c>
      <c r="DF52" s="3">
        <f>DF49*$E$52</f>
        <v/>
      </c>
      <c r="DM52" s="3">
        <f>DM49*$E$52</f>
        <v/>
      </c>
      <c r="DQ52" s="3">
        <f>DQ49*$E$52</f>
        <v/>
      </c>
      <c r="DU52" s="3">
        <f>DU49*$E$52</f>
        <v/>
      </c>
      <c r="EC52" s="3">
        <f>EC49*$E$52</f>
        <v/>
      </c>
      <c r="EG52" s="3">
        <f>EG49*$E$52</f>
        <v/>
      </c>
      <c r="EK52" s="3">
        <f>EK49*$E$52</f>
        <v/>
      </c>
      <c r="ES52" s="3">
        <f>ES49*$E$52</f>
        <v/>
      </c>
      <c r="EW52" s="3">
        <f>EW49*$E$52</f>
        <v/>
      </c>
      <c r="FA52" s="3">
        <f>FA49*$E$52</f>
        <v/>
      </c>
    </row>
    <row r="53" ht="15.75" customHeight="1" s="307">
      <c r="F53" s="3" t="n"/>
      <c r="J53" s="3" t="n"/>
      <c r="N53" s="3" t="n"/>
      <c r="O53" s="44" t="n"/>
      <c r="V53" s="1">
        <f>V52/V48</f>
        <v/>
      </c>
      <c r="Z53" s="3">
        <f>Z52/Z48</f>
        <v/>
      </c>
      <c r="AD53" s="3">
        <f>AD52/AD48</f>
        <v/>
      </c>
    </row>
    <row r="54" ht="15.75" customHeight="1" s="307">
      <c r="O54" s="44" t="n"/>
    </row>
    <row r="55" ht="15.75" customHeight="1" s="307">
      <c r="O55" s="44" t="n"/>
    </row>
    <row r="56" ht="15.75" customHeight="1" s="307">
      <c r="O56" s="44" t="n"/>
    </row>
    <row r="57" ht="15.75" customHeight="1" s="307">
      <c r="O57" s="44" t="n"/>
    </row>
    <row r="58" ht="15.75" customHeight="1" s="307">
      <c r="O58" s="44" t="n"/>
    </row>
    <row r="59" ht="15.75" customHeight="1" s="307">
      <c r="O59" s="44" t="n"/>
    </row>
    <row r="60" ht="15.75" customHeight="1" s="307">
      <c r="O60" s="44" t="n"/>
    </row>
    <row r="61" ht="15.75" customHeight="1" s="307">
      <c r="O61" s="44" t="n"/>
    </row>
    <row r="62" ht="15.75" customHeight="1" s="307">
      <c r="O62" s="44" t="n"/>
    </row>
    <row r="63" ht="15.75" customHeight="1" s="307">
      <c r="O63" s="44" t="n"/>
    </row>
    <row r="64" ht="15.75" customHeight="1" s="307">
      <c r="O64" s="44" t="n"/>
    </row>
    <row r="65" ht="15.75" customHeight="1" s="307">
      <c r="O65" s="44" t="n"/>
    </row>
    <row r="66" ht="15.75" customHeight="1" s="307">
      <c r="O66" s="44" t="n"/>
    </row>
    <row r="67" ht="15.75" customHeight="1" s="307">
      <c r="O67" s="44" t="n"/>
    </row>
    <row r="68" ht="15.75" customHeight="1" s="307">
      <c r="O68" s="44" t="n"/>
    </row>
    <row r="69" ht="15.75" customHeight="1" s="307">
      <c r="O69" s="44" t="n"/>
    </row>
    <row r="70" ht="15.75" customHeight="1" s="307">
      <c r="O70" s="44" t="n"/>
    </row>
    <row r="71" ht="15.75" customHeight="1" s="307">
      <c r="O71" s="44" t="n"/>
    </row>
    <row r="72" ht="15.75" customHeight="1" s="307">
      <c r="O72" s="44" t="n"/>
    </row>
    <row r="73" ht="15.75" customHeight="1" s="307">
      <c r="O73" s="44" t="n"/>
    </row>
    <row r="74" ht="15.75" customHeight="1" s="307">
      <c r="O74" s="44" t="n"/>
    </row>
    <row r="75" ht="15.75" customHeight="1" s="307">
      <c r="O75" s="44" t="n"/>
    </row>
    <row r="76" ht="15.75" customHeight="1" s="307">
      <c r="O76" s="44" t="n"/>
    </row>
    <row r="77" ht="15.75" customHeight="1" s="307">
      <c r="O77" s="44" t="n"/>
    </row>
    <row r="78" ht="15.75" customHeight="1" s="307">
      <c r="O78" s="44" t="n"/>
    </row>
    <row r="79" ht="15.75" customHeight="1" s="307">
      <c r="O79" s="44" t="n"/>
    </row>
    <row r="80" ht="15.75" customHeight="1" s="307">
      <c r="O80" s="44" t="n"/>
    </row>
    <row r="81" ht="15.75" customHeight="1" s="307">
      <c r="O81" s="44" t="n"/>
    </row>
    <row r="82" ht="15.75" customHeight="1" s="307">
      <c r="O82" s="44" t="n"/>
    </row>
    <row r="83" ht="15.75" customHeight="1" s="307">
      <c r="O83" s="44" t="n"/>
    </row>
    <row r="84" ht="15.75" customHeight="1" s="307">
      <c r="O84" s="44" t="n"/>
    </row>
    <row r="85" ht="15.75" customHeight="1" s="307">
      <c r="O85" s="44" t="n"/>
    </row>
    <row r="86" ht="15.75" customHeight="1" s="307">
      <c r="O86" s="44" t="n"/>
    </row>
    <row r="87" ht="15.75" customHeight="1" s="307">
      <c r="O87" s="44" t="n"/>
    </row>
    <row r="88" ht="15.75" customHeight="1" s="307">
      <c r="O88" s="44" t="n"/>
    </row>
    <row r="89" ht="15.75" customHeight="1" s="307">
      <c r="O89" s="44" t="n"/>
    </row>
    <row r="90" ht="15.75" customHeight="1" s="307">
      <c r="O90" s="44" t="n"/>
    </row>
    <row r="91" ht="15.75" customHeight="1" s="307">
      <c r="O91" s="44" t="n"/>
    </row>
    <row r="92" ht="15.75" customHeight="1" s="307">
      <c r="O92" s="44" t="n"/>
    </row>
    <row r="93" ht="15.75" customHeight="1" s="307">
      <c r="O93" s="44" t="n"/>
    </row>
    <row r="94" ht="15.75" customHeight="1" s="307">
      <c r="O94" s="44" t="n"/>
    </row>
    <row r="95" ht="15.75" customHeight="1" s="307">
      <c r="O95" s="44" t="n"/>
    </row>
    <row r="96" ht="15.75" customHeight="1" s="307">
      <c r="O96" s="44" t="n"/>
    </row>
    <row r="97" ht="15.75" customHeight="1" s="307">
      <c r="O97" s="44" t="n"/>
    </row>
    <row r="98" ht="15.75" customHeight="1" s="307">
      <c r="O98" s="44" t="n"/>
    </row>
    <row r="99" ht="15.75" customHeight="1" s="307">
      <c r="O99" s="44" t="n"/>
    </row>
    <row r="100" ht="15.75" customHeight="1" s="307">
      <c r="O100" s="44" t="n"/>
    </row>
    <row r="101" ht="15.75" customHeight="1" s="307">
      <c r="O101" s="44" t="n"/>
    </row>
    <row r="102" ht="15.75" customHeight="1" s="307">
      <c r="O102" s="44" t="n"/>
    </row>
    <row r="103" ht="15.75" customHeight="1" s="307">
      <c r="O103" s="44" t="n"/>
    </row>
    <row r="104" ht="15.75" customHeight="1" s="307">
      <c r="O104" s="44" t="n"/>
    </row>
    <row r="105" ht="15.75" customHeight="1" s="307">
      <c r="O105" s="44" t="n"/>
    </row>
    <row r="106" ht="15.75" customHeight="1" s="307">
      <c r="O106" s="44" t="n"/>
    </row>
    <row r="107" ht="15.75" customHeight="1" s="307">
      <c r="O107" s="44" t="n"/>
    </row>
    <row r="108" ht="15.75" customHeight="1" s="307">
      <c r="O108" s="44" t="n"/>
    </row>
    <row r="109" ht="15.75" customHeight="1" s="307">
      <c r="O109" s="44" t="n"/>
    </row>
    <row r="110" ht="15.75" customHeight="1" s="307">
      <c r="O110" s="44" t="n"/>
    </row>
    <row r="111" ht="15.75" customHeight="1" s="307">
      <c r="O111" s="44" t="n"/>
    </row>
    <row r="112" ht="15.75" customHeight="1" s="307">
      <c r="O112" s="44" t="n"/>
    </row>
    <row r="113" ht="15.75" customHeight="1" s="307">
      <c r="O113" s="44" t="n"/>
    </row>
    <row r="114" ht="15.75" customHeight="1" s="307">
      <c r="O114" s="44" t="n"/>
    </row>
    <row r="115" ht="15.75" customHeight="1" s="307">
      <c r="O115" s="44" t="n"/>
    </row>
    <row r="116" ht="15.75" customHeight="1" s="307">
      <c r="O116" s="44" t="n"/>
    </row>
    <row r="117" ht="15.75" customHeight="1" s="307">
      <c r="O117" s="44" t="n"/>
    </row>
    <row r="118" ht="15.75" customHeight="1" s="307">
      <c r="O118" s="44" t="n"/>
    </row>
    <row r="119" ht="15.75" customHeight="1" s="307">
      <c r="O119" s="44" t="n"/>
    </row>
    <row r="120" ht="15.75" customHeight="1" s="307">
      <c r="O120" s="44" t="n"/>
    </row>
    <row r="121" ht="15.75" customHeight="1" s="307">
      <c r="O121" s="44" t="n"/>
    </row>
    <row r="122" ht="15.75" customHeight="1" s="307">
      <c r="O122" s="44" t="n"/>
    </row>
    <row r="123" ht="15.75" customHeight="1" s="307">
      <c r="O123" s="44" t="n"/>
    </row>
    <row r="124" ht="15.75" customHeight="1" s="307">
      <c r="O124" s="44" t="n"/>
    </row>
    <row r="125" ht="15.75" customHeight="1" s="307">
      <c r="O125" s="44" t="n"/>
    </row>
    <row r="126" ht="15.75" customHeight="1" s="307">
      <c r="O126" s="44" t="n"/>
    </row>
    <row r="127" ht="15.75" customHeight="1" s="307">
      <c r="O127" s="44" t="n"/>
    </row>
    <row r="128" ht="15.75" customHeight="1" s="307">
      <c r="O128" s="44" t="n"/>
    </row>
    <row r="129" ht="15.75" customHeight="1" s="307">
      <c r="O129" s="44" t="n"/>
    </row>
    <row r="130" ht="15.75" customHeight="1" s="307">
      <c r="O130" s="44" t="n"/>
    </row>
    <row r="131" ht="15.75" customHeight="1" s="307">
      <c r="O131" s="44" t="n"/>
    </row>
    <row r="132" ht="15.75" customHeight="1" s="307">
      <c r="O132" s="44" t="n"/>
    </row>
    <row r="133" ht="15.75" customHeight="1" s="307">
      <c r="O133" s="44" t="n"/>
    </row>
    <row r="134" ht="15.75" customHeight="1" s="307">
      <c r="O134" s="44" t="n"/>
    </row>
    <row r="135" ht="15.75" customHeight="1" s="307">
      <c r="O135" s="44" t="n"/>
    </row>
    <row r="136" ht="15.75" customHeight="1" s="307">
      <c r="O136" s="44" t="n"/>
    </row>
    <row r="137" ht="15.75" customHeight="1" s="307">
      <c r="O137" s="44" t="n"/>
    </row>
    <row r="138" ht="15.75" customHeight="1" s="307">
      <c r="O138" s="44" t="n"/>
    </row>
    <row r="139" ht="15.75" customHeight="1" s="307">
      <c r="O139" s="44" t="n"/>
    </row>
    <row r="140" ht="15.75" customHeight="1" s="307">
      <c r="O140" s="44" t="n"/>
    </row>
    <row r="141" ht="15.75" customHeight="1" s="307">
      <c r="O141" s="44" t="n"/>
    </row>
    <row r="142" ht="15.75" customHeight="1" s="307">
      <c r="O142" s="44" t="n"/>
    </row>
    <row r="143" ht="15.75" customHeight="1" s="307">
      <c r="O143" s="44" t="n"/>
    </row>
    <row r="144" ht="15.75" customHeight="1" s="307">
      <c r="O144" s="44" t="n"/>
    </row>
    <row r="145" ht="15.75" customHeight="1" s="307">
      <c r="O145" s="44" t="n"/>
    </row>
    <row r="146" ht="15.75" customHeight="1" s="307">
      <c r="O146" s="44" t="n"/>
    </row>
    <row r="147" ht="15.75" customHeight="1" s="307">
      <c r="O147" s="44" t="n"/>
    </row>
    <row r="148" ht="15.75" customHeight="1" s="307">
      <c r="O148" s="44" t="n"/>
    </row>
    <row r="149" ht="15.75" customHeight="1" s="307">
      <c r="O149" s="44" t="n"/>
    </row>
    <row r="150" ht="15.75" customHeight="1" s="307">
      <c r="O150" s="44" t="n"/>
    </row>
    <row r="151" ht="15.75" customHeight="1" s="307">
      <c r="O151" s="44" t="n"/>
    </row>
    <row r="152" ht="15.75" customHeight="1" s="307">
      <c r="O152" s="44" t="n"/>
    </row>
    <row r="153" ht="15.75" customHeight="1" s="307">
      <c r="O153" s="44" t="n"/>
    </row>
    <row r="154" ht="15.75" customHeight="1" s="307">
      <c r="O154" s="44" t="n"/>
    </row>
    <row r="155" ht="15.75" customHeight="1" s="307">
      <c r="O155" s="44" t="n"/>
    </row>
    <row r="156" ht="15.75" customHeight="1" s="307">
      <c r="O156" s="44" t="n"/>
    </row>
    <row r="157" ht="15.75" customHeight="1" s="307">
      <c r="O157" s="44" t="n"/>
    </row>
    <row r="158" ht="15.75" customHeight="1" s="307">
      <c r="O158" s="44" t="n"/>
    </row>
    <row r="159" ht="15.75" customHeight="1" s="307">
      <c r="O159" s="44" t="n"/>
    </row>
    <row r="160" ht="15.75" customHeight="1" s="307">
      <c r="O160" s="44" t="n"/>
    </row>
    <row r="161" ht="15.75" customHeight="1" s="307">
      <c r="O161" s="44" t="n"/>
    </row>
    <row r="162" ht="15.75" customHeight="1" s="307">
      <c r="O162" s="44" t="n"/>
    </row>
    <row r="163" ht="15.75" customHeight="1" s="307">
      <c r="O163" s="44" t="n"/>
    </row>
    <row r="164" ht="15.75" customHeight="1" s="307">
      <c r="O164" s="44" t="n"/>
    </row>
    <row r="165" ht="15.75" customHeight="1" s="307">
      <c r="O165" s="44" t="n"/>
    </row>
    <row r="166" ht="15.75" customHeight="1" s="307">
      <c r="O166" s="44" t="n"/>
    </row>
    <row r="167" ht="15.75" customHeight="1" s="307">
      <c r="O167" s="44" t="n"/>
    </row>
    <row r="168" ht="15.75" customHeight="1" s="307">
      <c r="O168" s="44" t="n"/>
    </row>
    <row r="169" ht="15.75" customHeight="1" s="307">
      <c r="O169" s="44" t="n"/>
    </row>
    <row r="170" ht="15.75" customHeight="1" s="307">
      <c r="O170" s="44" t="n"/>
    </row>
    <row r="171" ht="15.75" customHeight="1" s="307">
      <c r="O171" s="44" t="n"/>
    </row>
    <row r="172" ht="15.75" customHeight="1" s="307">
      <c r="O172" s="44" t="n"/>
    </row>
    <row r="173" ht="15.75" customHeight="1" s="307">
      <c r="O173" s="44" t="n"/>
    </row>
    <row r="174" ht="15.75" customHeight="1" s="307">
      <c r="O174" s="44" t="n"/>
    </row>
    <row r="175" ht="15.75" customHeight="1" s="307">
      <c r="O175" s="44" t="n"/>
    </row>
    <row r="176" ht="15.75" customHeight="1" s="307">
      <c r="O176" s="44" t="n"/>
    </row>
    <row r="177" ht="15.75" customHeight="1" s="307">
      <c r="O177" s="44" t="n"/>
    </row>
    <row r="178" ht="15.75" customHeight="1" s="307">
      <c r="O178" s="44" t="n"/>
    </row>
    <row r="179" ht="15.75" customHeight="1" s="307">
      <c r="O179" s="44" t="n"/>
    </row>
    <row r="180" ht="15.75" customHeight="1" s="307">
      <c r="O180" s="44" t="n"/>
    </row>
    <row r="181" ht="15.75" customHeight="1" s="307">
      <c r="O181" s="44" t="n"/>
    </row>
    <row r="182" ht="15.75" customHeight="1" s="307">
      <c r="O182" s="44" t="n"/>
    </row>
    <row r="183" ht="15.75" customHeight="1" s="307">
      <c r="O183" s="44" t="n"/>
    </row>
    <row r="184" ht="15.75" customHeight="1" s="307">
      <c r="O184" s="44" t="n"/>
    </row>
    <row r="185" ht="15.75" customHeight="1" s="307">
      <c r="O185" s="44" t="n"/>
    </row>
    <row r="186" ht="15.75" customHeight="1" s="307">
      <c r="O186" s="44" t="n"/>
    </row>
    <row r="187" ht="15.75" customHeight="1" s="307">
      <c r="O187" s="44" t="n"/>
    </row>
    <row r="188" ht="15.75" customHeight="1" s="307">
      <c r="O188" s="44" t="n"/>
    </row>
    <row r="189" ht="15.75" customHeight="1" s="307">
      <c r="O189" s="44" t="n"/>
    </row>
    <row r="190" ht="15.75" customHeight="1" s="307">
      <c r="O190" s="44" t="n"/>
    </row>
    <row r="191" ht="15.75" customHeight="1" s="307">
      <c r="O191" s="44" t="n"/>
    </row>
    <row r="192" ht="15.75" customHeight="1" s="307">
      <c r="O192" s="44" t="n"/>
    </row>
    <row r="193" ht="15.75" customHeight="1" s="307">
      <c r="O193" s="44" t="n"/>
    </row>
    <row r="194" ht="15.75" customHeight="1" s="307">
      <c r="O194" s="44" t="n"/>
    </row>
    <row r="195" ht="15.75" customHeight="1" s="307">
      <c r="O195" s="44" t="n"/>
    </row>
    <row r="196" ht="15.75" customHeight="1" s="307">
      <c r="O196" s="44" t="n"/>
    </row>
    <row r="197" ht="15.75" customHeight="1" s="307">
      <c r="O197" s="44" t="n"/>
    </row>
    <row r="198" ht="15.75" customHeight="1" s="307">
      <c r="O198" s="44" t="n"/>
    </row>
    <row r="199" ht="15.75" customHeight="1" s="307">
      <c r="O199" s="44" t="n"/>
    </row>
    <row r="200" ht="15.75" customHeight="1" s="307">
      <c r="O200" s="44" t="n"/>
    </row>
    <row r="201" ht="15.75" customHeight="1" s="307">
      <c r="O201" s="44" t="n"/>
    </row>
    <row r="202" ht="15.75" customHeight="1" s="307">
      <c r="O202" s="44" t="n"/>
    </row>
    <row r="203" ht="15.75" customHeight="1" s="307">
      <c r="O203" s="44" t="n"/>
    </row>
    <row r="204" ht="15.75" customHeight="1" s="307">
      <c r="O204" s="44" t="n"/>
    </row>
    <row r="205" ht="15.75" customHeight="1" s="307">
      <c r="O205" s="44" t="n"/>
    </row>
    <row r="206" ht="15.75" customHeight="1" s="307">
      <c r="O206" s="44" t="n"/>
    </row>
    <row r="207" ht="15.75" customHeight="1" s="307">
      <c r="O207" s="44" t="n"/>
    </row>
    <row r="208" ht="15.75" customHeight="1" s="307">
      <c r="O208" s="44" t="n"/>
    </row>
    <row r="209" ht="15.75" customHeight="1" s="307">
      <c r="O209" s="44" t="n"/>
    </row>
    <row r="210" ht="15.75" customHeight="1" s="307">
      <c r="O210" s="44" t="n"/>
    </row>
    <row r="211" ht="15.75" customHeight="1" s="307">
      <c r="O211" s="44" t="n"/>
    </row>
    <row r="212" ht="15.75" customHeight="1" s="307">
      <c r="O212" s="44" t="n"/>
    </row>
    <row r="213" ht="15.75" customHeight="1" s="307">
      <c r="O213" s="44" t="n"/>
    </row>
    <row r="214" ht="15.75" customHeight="1" s="307">
      <c r="O214" s="44" t="n"/>
    </row>
    <row r="215" ht="15.75" customHeight="1" s="307">
      <c r="O215" s="44" t="n"/>
    </row>
    <row r="216" ht="15.75" customHeight="1" s="307">
      <c r="O216" s="44" t="n"/>
    </row>
    <row r="217" ht="15.75" customHeight="1" s="307">
      <c r="O217" s="44" t="n"/>
    </row>
    <row r="218" ht="15.75" customHeight="1" s="307">
      <c r="O218" s="44" t="n"/>
    </row>
    <row r="219" ht="15.75" customHeight="1" s="307">
      <c r="O219" s="44" t="n"/>
    </row>
    <row r="220" ht="15.75" customHeight="1" s="307">
      <c r="O220" s="44" t="n"/>
    </row>
    <row r="221" ht="15.75" customHeight="1" s="307">
      <c r="O221" s="44" t="n"/>
    </row>
    <row r="222" ht="15.75" customHeight="1" s="307">
      <c r="O222" s="44" t="n"/>
    </row>
    <row r="223" ht="15.75" customHeight="1" s="307">
      <c r="O223" s="44" t="n"/>
    </row>
    <row r="224" ht="15.75" customHeight="1" s="307">
      <c r="O224" s="44" t="n"/>
    </row>
    <row r="225" ht="15.75" customHeight="1" s="307">
      <c r="O225" s="44" t="n"/>
    </row>
    <row r="226" ht="15.75" customHeight="1" s="307">
      <c r="O226" s="44" t="n"/>
    </row>
    <row r="227" ht="15.75" customHeight="1" s="307">
      <c r="O227" s="44" t="n"/>
    </row>
    <row r="228" ht="15.75" customHeight="1" s="307">
      <c r="O228" s="44" t="n"/>
    </row>
    <row r="229" ht="15.75" customHeight="1" s="307">
      <c r="O229" s="44" t="n"/>
    </row>
    <row r="230" ht="15.75" customHeight="1" s="307">
      <c r="O230" s="44" t="n"/>
    </row>
    <row r="231" ht="15.75" customHeight="1" s="307">
      <c r="O231" s="44" t="n"/>
    </row>
    <row r="232" ht="15.75" customHeight="1" s="307">
      <c r="O232" s="44" t="n"/>
    </row>
    <row r="233" ht="15.75" customHeight="1" s="307">
      <c r="O233" s="44" t="n"/>
    </row>
    <row r="234" ht="15.75" customHeight="1" s="307">
      <c r="O234" s="44" t="n"/>
    </row>
    <row r="235" ht="15.75" customHeight="1" s="307">
      <c r="O235" s="44" t="n"/>
    </row>
    <row r="236" ht="15.75" customHeight="1" s="307">
      <c r="O236" s="44" t="n"/>
    </row>
    <row r="237" ht="15.75" customHeight="1" s="307">
      <c r="O237" s="44" t="n"/>
    </row>
    <row r="238" ht="15.75" customHeight="1" s="307">
      <c r="O238" s="44" t="n"/>
    </row>
    <row r="239" ht="15.75" customHeight="1" s="307">
      <c r="O239" s="44" t="n"/>
    </row>
    <row r="240" ht="15.75" customHeight="1" s="307">
      <c r="O240" s="44" t="n"/>
    </row>
    <row r="241" ht="15.75" customHeight="1" s="307">
      <c r="O241" s="44" t="n"/>
    </row>
    <row r="242" ht="15.75" customHeight="1" s="307">
      <c r="O242" s="44" t="n"/>
    </row>
    <row r="243" ht="15.75" customHeight="1" s="307">
      <c r="O243" s="44" t="n"/>
    </row>
    <row r="244" ht="15.75" customHeight="1" s="307">
      <c r="O244" s="44" t="n"/>
    </row>
    <row r="245" ht="15.75" customHeight="1" s="307">
      <c r="O245" s="44" t="n"/>
    </row>
    <row r="246" ht="15.75" customHeight="1" s="307">
      <c r="O246" s="44" t="n"/>
    </row>
    <row r="247" ht="15.75" customHeight="1" s="307">
      <c r="O247" s="44" t="n"/>
    </row>
    <row r="248" ht="15.75" customHeight="1" s="307">
      <c r="O248" s="44" t="n"/>
    </row>
    <row r="249" ht="15.75" customHeight="1" s="307">
      <c r="O249" s="44" t="n"/>
    </row>
    <row r="250" ht="15.75" customHeight="1" s="307">
      <c r="O250" s="44" t="n"/>
    </row>
    <row r="251" ht="15.75" customHeight="1" s="307">
      <c r="O251" s="44" t="n"/>
    </row>
    <row r="252" ht="15.75" customHeight="1" s="307">
      <c r="O252" s="44" t="n"/>
    </row>
    <row r="253" ht="15.75" customHeight="1" s="307">
      <c r="O253" s="44" t="n"/>
    </row>
    <row r="254" ht="15.75" customHeight="1" s="307">
      <c r="O254" s="44" t="n"/>
    </row>
    <row r="255" ht="15.75" customHeight="1" s="307">
      <c r="O255" s="44" t="n"/>
    </row>
    <row r="256" ht="15.75" customHeight="1" s="307">
      <c r="O256" s="44" t="n"/>
    </row>
    <row r="257" ht="15.75" customHeight="1" s="307">
      <c r="O257" s="44" t="n"/>
    </row>
    <row r="258" ht="15.75" customHeight="1" s="307">
      <c r="O258" s="44" t="n"/>
    </row>
    <row r="259" ht="15.75" customHeight="1" s="307">
      <c r="O259" s="44" t="n"/>
    </row>
    <row r="260" ht="15.75" customHeight="1" s="307">
      <c r="O260" s="44" t="n"/>
    </row>
    <row r="261" ht="15.75" customHeight="1" s="307">
      <c r="O261" s="44" t="n"/>
    </row>
    <row r="262" ht="15.75" customHeight="1" s="307">
      <c r="O262" s="44" t="n"/>
    </row>
    <row r="263" ht="15.75" customHeight="1" s="307">
      <c r="O263" s="44" t="n"/>
    </row>
    <row r="264" ht="15.75" customHeight="1" s="307">
      <c r="O264" s="44" t="n"/>
    </row>
    <row r="265" ht="15.75" customHeight="1" s="307">
      <c r="O265" s="44" t="n"/>
    </row>
    <row r="266" ht="15.75" customHeight="1" s="307">
      <c r="O266" s="44" t="n"/>
    </row>
    <row r="267" ht="15.75" customHeight="1" s="307">
      <c r="O267" s="44" t="n"/>
    </row>
    <row r="268" ht="15.75" customHeight="1" s="307">
      <c r="O268" s="44" t="n"/>
    </row>
    <row r="269" ht="15.75" customHeight="1" s="307">
      <c r="O269" s="44" t="n"/>
    </row>
    <row r="270" ht="15.75" customHeight="1" s="307">
      <c r="O270" s="44" t="n"/>
    </row>
    <row r="271" ht="15.75" customHeight="1" s="307">
      <c r="O271" s="44" t="n"/>
    </row>
    <row r="272" ht="15.75" customHeight="1" s="307">
      <c r="O272" s="44" t="n"/>
    </row>
    <row r="273" ht="15.75" customHeight="1" s="307">
      <c r="O273" s="44" t="n"/>
    </row>
    <row r="274" ht="15.75" customHeight="1" s="307">
      <c r="O274" s="44" t="n"/>
    </row>
    <row r="275" ht="15.75" customHeight="1" s="307">
      <c r="O275" s="44" t="n"/>
    </row>
    <row r="276" ht="15.75" customHeight="1" s="307">
      <c r="O276" s="44" t="n"/>
    </row>
    <row r="277" ht="15.75" customHeight="1" s="307">
      <c r="O277" s="44" t="n"/>
    </row>
    <row r="278" ht="15.75" customHeight="1" s="307">
      <c r="O278" s="44" t="n"/>
    </row>
    <row r="279" ht="15.75" customHeight="1" s="307">
      <c r="O279" s="44" t="n"/>
    </row>
    <row r="280" ht="15.75" customHeight="1" s="307">
      <c r="O280" s="44" t="n"/>
    </row>
    <row r="281" ht="15.75" customHeight="1" s="307">
      <c r="O281" s="44" t="n"/>
    </row>
    <row r="282" ht="15.75" customHeight="1" s="307">
      <c r="O282" s="44" t="n"/>
    </row>
    <row r="283" ht="15.75" customHeight="1" s="307">
      <c r="O283" s="44" t="n"/>
    </row>
    <row r="284" ht="15.75" customHeight="1" s="307">
      <c r="O284" s="44" t="n"/>
    </row>
    <row r="285" ht="15.75" customHeight="1" s="307">
      <c r="O285" s="44" t="n"/>
    </row>
    <row r="286" ht="15.75" customHeight="1" s="307">
      <c r="O286" s="44" t="n"/>
    </row>
    <row r="287" ht="15.75" customHeight="1" s="307">
      <c r="O287" s="44" t="n"/>
    </row>
    <row r="288" ht="15.75" customHeight="1" s="307">
      <c r="O288" s="44" t="n"/>
    </row>
    <row r="289" ht="15.75" customHeight="1" s="307">
      <c r="O289" s="44" t="n"/>
    </row>
    <row r="290" ht="15.75" customHeight="1" s="307">
      <c r="O290" s="44" t="n"/>
    </row>
    <row r="291" ht="15.75" customHeight="1" s="307">
      <c r="O291" s="44" t="n"/>
    </row>
    <row r="292" ht="15.75" customHeight="1" s="307">
      <c r="O292" s="44" t="n"/>
    </row>
    <row r="293" ht="15.75" customHeight="1" s="307">
      <c r="O293" s="44" t="n"/>
    </row>
    <row r="294" ht="15.75" customHeight="1" s="307">
      <c r="O294" s="44" t="n"/>
    </row>
    <row r="295" ht="15.75" customHeight="1" s="307">
      <c r="O295" s="44" t="n"/>
    </row>
    <row r="296" ht="15.75" customHeight="1" s="307">
      <c r="O296" s="44" t="n"/>
    </row>
    <row r="297" ht="15.75" customHeight="1" s="307">
      <c r="O297" s="44" t="n"/>
    </row>
    <row r="298" ht="15.75" customHeight="1" s="307">
      <c r="O298" s="44" t="n"/>
    </row>
    <row r="299" ht="15.75" customHeight="1" s="307">
      <c r="O299" s="44" t="n"/>
    </row>
    <row r="300" ht="15.75" customHeight="1" s="307">
      <c r="O300" s="44" t="n"/>
    </row>
    <row r="301" ht="15.75" customHeight="1" s="307">
      <c r="O301" s="44" t="n"/>
    </row>
    <row r="302" ht="15.75" customHeight="1" s="307">
      <c r="O302" s="44" t="n"/>
    </row>
    <row r="303" ht="15.75" customHeight="1" s="307">
      <c r="O303" s="44" t="n"/>
    </row>
    <row r="304" ht="15.75" customHeight="1" s="307">
      <c r="O304" s="44" t="n"/>
    </row>
    <row r="305" ht="15.75" customHeight="1" s="307">
      <c r="O305" s="44" t="n"/>
    </row>
    <row r="306" ht="15.75" customHeight="1" s="307">
      <c r="O306" s="44" t="n"/>
    </row>
    <row r="307" ht="15.75" customHeight="1" s="307">
      <c r="O307" s="44" t="n"/>
    </row>
    <row r="308" ht="15.75" customHeight="1" s="307">
      <c r="O308" s="44" t="n"/>
    </row>
    <row r="309" ht="15.75" customHeight="1" s="307">
      <c r="O309" s="44" t="n"/>
    </row>
    <row r="310" ht="15.75" customHeight="1" s="307">
      <c r="O310" s="44" t="n"/>
    </row>
    <row r="311" ht="15.75" customHeight="1" s="307">
      <c r="O311" s="44" t="n"/>
    </row>
    <row r="312" ht="15.75" customHeight="1" s="307">
      <c r="O312" s="44" t="n"/>
    </row>
    <row r="313" ht="15.75" customHeight="1" s="307">
      <c r="O313" s="44" t="n"/>
    </row>
    <row r="314" ht="15.75" customHeight="1" s="307">
      <c r="O314" s="44" t="n"/>
    </row>
    <row r="315" ht="15.75" customHeight="1" s="307">
      <c r="O315" s="44" t="n"/>
    </row>
    <row r="316" ht="15.75" customHeight="1" s="307">
      <c r="O316" s="44" t="n"/>
    </row>
    <row r="317" ht="15.75" customHeight="1" s="307">
      <c r="O317" s="44" t="n"/>
    </row>
    <row r="318" ht="15.75" customHeight="1" s="307">
      <c r="O318" s="44" t="n"/>
    </row>
    <row r="319" ht="15.75" customHeight="1" s="307">
      <c r="O319" s="44" t="n"/>
    </row>
    <row r="320" ht="15.75" customHeight="1" s="307">
      <c r="O320" s="44" t="n"/>
    </row>
    <row r="321" ht="15.75" customHeight="1" s="307">
      <c r="O321" s="44" t="n"/>
    </row>
    <row r="322" ht="15.75" customHeight="1" s="307">
      <c r="O322" s="44" t="n"/>
    </row>
    <row r="323" ht="15.75" customHeight="1" s="307">
      <c r="O323" s="44" t="n"/>
    </row>
    <row r="324" ht="15.75" customHeight="1" s="307">
      <c r="O324" s="44" t="n"/>
    </row>
    <row r="325" ht="15.75" customHeight="1" s="307">
      <c r="O325" s="44" t="n"/>
    </row>
    <row r="326" ht="15.75" customHeight="1" s="307">
      <c r="O326" s="44" t="n"/>
    </row>
    <row r="327" ht="15.75" customHeight="1" s="307">
      <c r="O327" s="44" t="n"/>
    </row>
    <row r="328" ht="15.75" customHeight="1" s="307">
      <c r="O328" s="44" t="n"/>
    </row>
    <row r="329" ht="15.75" customHeight="1" s="307">
      <c r="O329" s="44" t="n"/>
    </row>
    <row r="330" ht="15.75" customHeight="1" s="307">
      <c r="O330" s="44" t="n"/>
    </row>
    <row r="331" ht="15.75" customHeight="1" s="307">
      <c r="O331" s="44" t="n"/>
    </row>
    <row r="332" ht="15.75" customHeight="1" s="307">
      <c r="O332" s="44" t="n"/>
    </row>
    <row r="333" ht="15.75" customHeight="1" s="307">
      <c r="O333" s="44" t="n"/>
    </row>
    <row r="334" ht="15.75" customHeight="1" s="307">
      <c r="O334" s="44" t="n"/>
    </row>
    <row r="335" ht="15.75" customHeight="1" s="307">
      <c r="O335" s="44" t="n"/>
    </row>
    <row r="336" ht="15.75" customHeight="1" s="307">
      <c r="O336" s="44" t="n"/>
    </row>
    <row r="337" ht="15.75" customHeight="1" s="307">
      <c r="O337" s="44" t="n"/>
    </row>
    <row r="338" ht="15.75" customHeight="1" s="307">
      <c r="O338" s="44" t="n"/>
    </row>
    <row r="339" ht="15.75" customHeight="1" s="307">
      <c r="O339" s="44" t="n"/>
    </row>
    <row r="340" ht="15.75" customHeight="1" s="307">
      <c r="O340" s="44" t="n"/>
    </row>
    <row r="341" ht="15.75" customHeight="1" s="307">
      <c r="O341" s="44" t="n"/>
    </row>
    <row r="342" ht="15.75" customHeight="1" s="307">
      <c r="O342" s="44" t="n"/>
    </row>
    <row r="343" ht="15.75" customHeight="1" s="307">
      <c r="O343" s="44" t="n"/>
    </row>
    <row r="344" ht="15.75" customHeight="1" s="307">
      <c r="O344" s="44" t="n"/>
    </row>
    <row r="345" ht="15.75" customHeight="1" s="307">
      <c r="O345" s="44" t="n"/>
    </row>
    <row r="346" ht="15.75" customHeight="1" s="307">
      <c r="O346" s="44" t="n"/>
    </row>
    <row r="347" ht="15.75" customHeight="1" s="307">
      <c r="O347" s="44" t="n"/>
    </row>
    <row r="348" ht="15.75" customHeight="1" s="307">
      <c r="O348" s="44" t="n"/>
    </row>
    <row r="349" ht="15.75" customHeight="1" s="307">
      <c r="O349" s="44" t="n"/>
    </row>
    <row r="350" ht="15.75" customHeight="1" s="307">
      <c r="O350" s="44" t="n"/>
    </row>
    <row r="351" ht="15.75" customHeight="1" s="307">
      <c r="O351" s="44" t="n"/>
    </row>
    <row r="352" ht="15.75" customHeight="1" s="307">
      <c r="O352" s="44" t="n"/>
    </row>
    <row r="353" ht="15.75" customHeight="1" s="307">
      <c r="O353" s="44" t="n"/>
    </row>
    <row r="354" ht="15.75" customHeight="1" s="307">
      <c r="O354" s="44" t="n"/>
    </row>
    <row r="355" ht="15.75" customHeight="1" s="307">
      <c r="O355" s="44" t="n"/>
    </row>
    <row r="356" ht="15.75" customHeight="1" s="307">
      <c r="O356" s="44" t="n"/>
    </row>
    <row r="357" ht="15.75" customHeight="1" s="307">
      <c r="O357" s="44" t="n"/>
    </row>
    <row r="358" ht="15.75" customHeight="1" s="307">
      <c r="O358" s="44" t="n"/>
    </row>
    <row r="359" ht="15.75" customHeight="1" s="307">
      <c r="O359" s="44" t="n"/>
    </row>
    <row r="360" ht="15.75" customHeight="1" s="307">
      <c r="O360" s="44" t="n"/>
    </row>
    <row r="361" ht="15.75" customHeight="1" s="307">
      <c r="O361" s="44" t="n"/>
    </row>
    <row r="362" ht="15.75" customHeight="1" s="307">
      <c r="O362" s="44" t="n"/>
    </row>
    <row r="363" ht="15.75" customHeight="1" s="307">
      <c r="O363" s="44" t="n"/>
    </row>
    <row r="364" ht="15.75" customHeight="1" s="307">
      <c r="O364" s="44" t="n"/>
    </row>
    <row r="365" ht="15.75" customHeight="1" s="307">
      <c r="O365" s="44" t="n"/>
    </row>
    <row r="366" ht="15.75" customHeight="1" s="307">
      <c r="O366" s="44" t="n"/>
    </row>
    <row r="367" ht="15.75" customHeight="1" s="307">
      <c r="O367" s="44" t="n"/>
    </row>
    <row r="368" ht="15.75" customHeight="1" s="307">
      <c r="O368" s="44" t="n"/>
    </row>
    <row r="369" ht="15.75" customHeight="1" s="307">
      <c r="O369" s="44" t="n"/>
    </row>
    <row r="370" ht="15.75" customHeight="1" s="307">
      <c r="O370" s="44" t="n"/>
    </row>
    <row r="371" ht="15.75" customHeight="1" s="307">
      <c r="O371" s="44" t="n"/>
    </row>
    <row r="372" ht="15.75" customHeight="1" s="307">
      <c r="O372" s="44" t="n"/>
    </row>
    <row r="373" ht="15.75" customHeight="1" s="307">
      <c r="O373" s="44" t="n"/>
    </row>
    <row r="374" ht="15.75" customHeight="1" s="307">
      <c r="O374" s="44" t="n"/>
    </row>
    <row r="375" ht="15.75" customHeight="1" s="307">
      <c r="O375" s="44" t="n"/>
    </row>
    <row r="376" ht="15.75" customHeight="1" s="307">
      <c r="O376" s="44" t="n"/>
    </row>
    <row r="377" ht="15.75" customHeight="1" s="307">
      <c r="O377" s="44" t="n"/>
    </row>
    <row r="378" ht="15.75" customHeight="1" s="307">
      <c r="O378" s="44" t="n"/>
    </row>
    <row r="379" ht="15.75" customHeight="1" s="307">
      <c r="O379" s="44" t="n"/>
    </row>
    <row r="380" ht="15.75" customHeight="1" s="307">
      <c r="O380" s="44" t="n"/>
    </row>
    <row r="381" ht="15.75" customHeight="1" s="307">
      <c r="O381" s="44" t="n"/>
    </row>
    <row r="382" ht="15.75" customHeight="1" s="307">
      <c r="O382" s="44" t="n"/>
    </row>
    <row r="383" ht="15.75" customHeight="1" s="307">
      <c r="O383" s="44" t="n"/>
    </row>
    <row r="384" ht="15.75" customHeight="1" s="307">
      <c r="O384" s="44" t="n"/>
    </row>
    <row r="385" ht="15.75" customHeight="1" s="307">
      <c r="O385" s="44" t="n"/>
    </row>
    <row r="386" ht="15.75" customHeight="1" s="307">
      <c r="O386" s="44" t="n"/>
    </row>
    <row r="387" ht="15.75" customHeight="1" s="307">
      <c r="O387" s="44" t="n"/>
    </row>
    <row r="388" ht="15.75" customHeight="1" s="307">
      <c r="O388" s="44" t="n"/>
    </row>
    <row r="389" ht="15.75" customHeight="1" s="307">
      <c r="O389" s="44" t="n"/>
    </row>
    <row r="390" ht="15.75" customHeight="1" s="307">
      <c r="O390" s="44" t="n"/>
    </row>
    <row r="391" ht="15.75" customHeight="1" s="307">
      <c r="O391" s="44" t="n"/>
    </row>
    <row r="392" ht="15.75" customHeight="1" s="307">
      <c r="O392" s="44" t="n"/>
    </row>
    <row r="393" ht="15.75" customHeight="1" s="307">
      <c r="O393" s="44" t="n"/>
    </row>
    <row r="394" ht="15.75" customHeight="1" s="307">
      <c r="O394" s="44" t="n"/>
    </row>
    <row r="395" ht="15.75" customHeight="1" s="307">
      <c r="O395" s="44" t="n"/>
    </row>
    <row r="396" ht="15.75" customHeight="1" s="307">
      <c r="O396" s="44" t="n"/>
    </row>
    <row r="397" ht="15.75" customHeight="1" s="307">
      <c r="O397" s="44" t="n"/>
    </row>
    <row r="398" ht="15.75" customHeight="1" s="307">
      <c r="O398" s="44" t="n"/>
    </row>
    <row r="399" ht="15.75" customHeight="1" s="307">
      <c r="O399" s="44" t="n"/>
    </row>
    <row r="400" ht="15.75" customHeight="1" s="307">
      <c r="O400" s="44" t="n"/>
    </row>
    <row r="401" ht="15.75" customHeight="1" s="307">
      <c r="O401" s="44" t="n"/>
    </row>
    <row r="402" ht="15.75" customHeight="1" s="307">
      <c r="O402" s="44" t="n"/>
    </row>
    <row r="403" ht="15.75" customHeight="1" s="307">
      <c r="O403" s="44" t="n"/>
    </row>
    <row r="404" ht="15.75" customHeight="1" s="307">
      <c r="O404" s="44" t="n"/>
    </row>
    <row r="405" ht="15.75" customHeight="1" s="307">
      <c r="O405" s="44" t="n"/>
    </row>
    <row r="406" ht="15.75" customHeight="1" s="307">
      <c r="O406" s="44" t="n"/>
    </row>
    <row r="407" ht="15.75" customHeight="1" s="307">
      <c r="O407" s="44" t="n"/>
    </row>
    <row r="408" ht="15.75" customHeight="1" s="307">
      <c r="O408" s="44" t="n"/>
    </row>
    <row r="409" ht="15.75" customHeight="1" s="307">
      <c r="O409" s="44" t="n"/>
    </row>
    <row r="410" ht="15.75" customHeight="1" s="307">
      <c r="O410" s="44" t="n"/>
    </row>
    <row r="411" ht="15.75" customHeight="1" s="307">
      <c r="O411" s="44" t="n"/>
    </row>
    <row r="412" ht="15.75" customHeight="1" s="307">
      <c r="O412" s="44" t="n"/>
    </row>
    <row r="413" ht="15.75" customHeight="1" s="307">
      <c r="O413" s="44" t="n"/>
    </row>
    <row r="414" ht="15.75" customHeight="1" s="307">
      <c r="O414" s="44" t="n"/>
    </row>
    <row r="415" ht="15.75" customHeight="1" s="307">
      <c r="O415" s="44" t="n"/>
    </row>
    <row r="416" ht="15.75" customHeight="1" s="307">
      <c r="O416" s="44" t="n"/>
    </row>
    <row r="417" ht="15.75" customHeight="1" s="307">
      <c r="O417" s="44" t="n"/>
    </row>
    <row r="418" ht="15.75" customHeight="1" s="307">
      <c r="O418" s="44" t="n"/>
    </row>
    <row r="419" ht="15.75" customHeight="1" s="307">
      <c r="O419" s="44" t="n"/>
    </row>
    <row r="420" ht="15.75" customHeight="1" s="307">
      <c r="O420" s="44" t="n"/>
    </row>
    <row r="421" ht="15.75" customHeight="1" s="307">
      <c r="O421" s="44" t="n"/>
    </row>
    <row r="422" ht="15.75" customHeight="1" s="307">
      <c r="O422" s="44" t="n"/>
    </row>
    <row r="423" ht="15.75" customHeight="1" s="307">
      <c r="O423" s="44" t="n"/>
    </row>
    <row r="424" ht="15.75" customHeight="1" s="307">
      <c r="O424" s="44" t="n"/>
    </row>
    <row r="425" ht="15.75" customHeight="1" s="307">
      <c r="O425" s="44" t="n"/>
    </row>
    <row r="426" ht="15.75" customHeight="1" s="307">
      <c r="O426" s="44" t="n"/>
    </row>
    <row r="427" ht="15.75" customHeight="1" s="307">
      <c r="O427" s="44" t="n"/>
    </row>
    <row r="428" ht="15.75" customHeight="1" s="307">
      <c r="O428" s="44" t="n"/>
    </row>
    <row r="429" ht="15.75" customHeight="1" s="307">
      <c r="O429" s="44" t="n"/>
    </row>
    <row r="430" ht="15.75" customHeight="1" s="307">
      <c r="O430" s="44" t="n"/>
    </row>
    <row r="431" ht="15.75" customHeight="1" s="307">
      <c r="O431" s="44" t="n"/>
    </row>
    <row r="432" ht="15.75" customHeight="1" s="307">
      <c r="O432" s="44" t="n"/>
    </row>
    <row r="433" ht="15.75" customHeight="1" s="307">
      <c r="O433" s="44" t="n"/>
    </row>
    <row r="434" ht="15.75" customHeight="1" s="307">
      <c r="O434" s="44" t="n"/>
    </row>
    <row r="435" ht="15.75" customHeight="1" s="307">
      <c r="O435" s="44" t="n"/>
    </row>
    <row r="436" ht="15.75" customHeight="1" s="307">
      <c r="O436" s="44" t="n"/>
    </row>
    <row r="437" ht="15.75" customHeight="1" s="307">
      <c r="O437" s="44" t="n"/>
    </row>
    <row r="438" ht="15.75" customHeight="1" s="307">
      <c r="O438" s="44" t="n"/>
    </row>
    <row r="439" ht="15.75" customHeight="1" s="307">
      <c r="O439" s="44" t="n"/>
    </row>
    <row r="440" ht="15.75" customHeight="1" s="307">
      <c r="O440" s="44" t="n"/>
    </row>
    <row r="441" ht="15.75" customHeight="1" s="307">
      <c r="O441" s="44" t="n"/>
    </row>
    <row r="442" ht="15.75" customHeight="1" s="307">
      <c r="O442" s="44" t="n"/>
    </row>
    <row r="443" ht="15.75" customHeight="1" s="307">
      <c r="O443" s="44" t="n"/>
    </row>
    <row r="444" ht="15.75" customHeight="1" s="307">
      <c r="O444" s="44" t="n"/>
    </row>
    <row r="445" ht="15.75" customHeight="1" s="307">
      <c r="O445" s="44" t="n"/>
    </row>
    <row r="446" ht="15.75" customHeight="1" s="307">
      <c r="O446" s="44" t="n"/>
    </row>
    <row r="447" ht="15.75" customHeight="1" s="307">
      <c r="O447" s="44" t="n"/>
    </row>
    <row r="448" ht="15.75" customHeight="1" s="307">
      <c r="O448" s="44" t="n"/>
    </row>
    <row r="449" ht="15.75" customHeight="1" s="307">
      <c r="O449" s="44" t="n"/>
    </row>
    <row r="450" ht="15.75" customHeight="1" s="307">
      <c r="O450" s="44" t="n"/>
    </row>
    <row r="451" ht="15.75" customHeight="1" s="307">
      <c r="O451" s="44" t="n"/>
    </row>
    <row r="452" ht="15.75" customHeight="1" s="307">
      <c r="O452" s="44" t="n"/>
    </row>
    <row r="453" ht="15.75" customHeight="1" s="307">
      <c r="O453" s="44" t="n"/>
    </row>
    <row r="454" ht="15.75" customHeight="1" s="307">
      <c r="O454" s="44" t="n"/>
    </row>
    <row r="455" ht="15.75" customHeight="1" s="307">
      <c r="O455" s="44" t="n"/>
    </row>
    <row r="456" ht="15.75" customHeight="1" s="307">
      <c r="O456" s="44" t="n"/>
    </row>
    <row r="457" ht="15.75" customHeight="1" s="307">
      <c r="O457" s="44" t="n"/>
    </row>
    <row r="458" ht="15.75" customHeight="1" s="307">
      <c r="O458" s="44" t="n"/>
    </row>
    <row r="459" ht="15.75" customHeight="1" s="307">
      <c r="O459" s="44" t="n"/>
    </row>
    <row r="460" ht="15.75" customHeight="1" s="307">
      <c r="O460" s="44" t="n"/>
    </row>
    <row r="461" ht="15.75" customHeight="1" s="307">
      <c r="O461" s="44" t="n"/>
    </row>
    <row r="462" ht="15.75" customHeight="1" s="307">
      <c r="O462" s="44" t="n"/>
    </row>
    <row r="463" ht="15.75" customHeight="1" s="307">
      <c r="O463" s="44" t="n"/>
    </row>
    <row r="464" ht="15.75" customHeight="1" s="307">
      <c r="O464" s="44" t="n"/>
    </row>
    <row r="465" ht="15.75" customHeight="1" s="307">
      <c r="O465" s="44" t="n"/>
    </row>
    <row r="466" ht="15.75" customHeight="1" s="307">
      <c r="O466" s="44" t="n"/>
    </row>
    <row r="467" ht="15.75" customHeight="1" s="307">
      <c r="O467" s="44" t="n"/>
    </row>
    <row r="468" ht="15.75" customHeight="1" s="307">
      <c r="O468" s="44" t="n"/>
    </row>
    <row r="469" ht="15.75" customHeight="1" s="307">
      <c r="O469" s="44" t="n"/>
    </row>
    <row r="470" ht="15.75" customHeight="1" s="307">
      <c r="O470" s="44" t="n"/>
    </row>
    <row r="471" ht="15.75" customHeight="1" s="307">
      <c r="O471" s="44" t="n"/>
    </row>
    <row r="472" ht="15.75" customHeight="1" s="307">
      <c r="O472" s="44" t="n"/>
    </row>
    <row r="473" ht="15.75" customHeight="1" s="307">
      <c r="O473" s="44" t="n"/>
    </row>
    <row r="474" ht="15.75" customHeight="1" s="307">
      <c r="O474" s="44" t="n"/>
    </row>
    <row r="475" ht="15.75" customHeight="1" s="307">
      <c r="O475" s="44" t="n"/>
    </row>
    <row r="476" ht="15.75" customHeight="1" s="307">
      <c r="O476" s="44" t="n"/>
    </row>
    <row r="477" ht="15.75" customHeight="1" s="307">
      <c r="O477" s="44" t="n"/>
    </row>
    <row r="478" ht="15.75" customHeight="1" s="307">
      <c r="O478" s="44" t="n"/>
    </row>
    <row r="479" ht="15.75" customHeight="1" s="307">
      <c r="O479" s="44" t="n"/>
    </row>
    <row r="480" ht="15.75" customHeight="1" s="307">
      <c r="O480" s="44" t="n"/>
    </row>
    <row r="481" ht="15.75" customHeight="1" s="307">
      <c r="O481" s="44" t="n"/>
    </row>
    <row r="482" ht="15.75" customHeight="1" s="307">
      <c r="O482" s="44" t="n"/>
    </row>
    <row r="483" ht="15.75" customHeight="1" s="307">
      <c r="O483" s="44" t="n"/>
    </row>
    <row r="484" ht="15.75" customHeight="1" s="307">
      <c r="O484" s="44" t="n"/>
    </row>
    <row r="485" ht="15.75" customHeight="1" s="307">
      <c r="O485" s="44" t="n"/>
    </row>
    <row r="486" ht="15.75" customHeight="1" s="307">
      <c r="O486" s="44" t="n"/>
    </row>
    <row r="487" ht="15.75" customHeight="1" s="307">
      <c r="O487" s="44" t="n"/>
    </row>
    <row r="488" ht="15.75" customHeight="1" s="307">
      <c r="O488" s="44" t="n"/>
    </row>
    <row r="489" ht="15.75" customHeight="1" s="307">
      <c r="O489" s="44" t="n"/>
    </row>
    <row r="490" ht="15.75" customHeight="1" s="307">
      <c r="O490" s="44" t="n"/>
    </row>
    <row r="491" ht="15.75" customHeight="1" s="307">
      <c r="O491" s="44" t="n"/>
    </row>
    <row r="492" ht="15.75" customHeight="1" s="307">
      <c r="O492" s="44" t="n"/>
    </row>
    <row r="493" ht="15.75" customHeight="1" s="307">
      <c r="O493" s="44" t="n"/>
    </row>
    <row r="494" ht="15.75" customHeight="1" s="307">
      <c r="O494" s="44" t="n"/>
    </row>
    <row r="495" ht="15.75" customHeight="1" s="307">
      <c r="O495" s="44" t="n"/>
    </row>
    <row r="496" ht="15.75" customHeight="1" s="307">
      <c r="O496" s="44" t="n"/>
    </row>
    <row r="497" ht="15.75" customHeight="1" s="307">
      <c r="O497" s="44" t="n"/>
    </row>
    <row r="498" ht="15.75" customHeight="1" s="307">
      <c r="O498" s="44" t="n"/>
    </row>
    <row r="499" ht="15.75" customHeight="1" s="307">
      <c r="O499" s="44" t="n"/>
    </row>
    <row r="500" ht="15.75" customHeight="1" s="307">
      <c r="O500" s="44" t="n"/>
    </row>
    <row r="501" ht="15.75" customHeight="1" s="307">
      <c r="O501" s="44" t="n"/>
    </row>
    <row r="502" ht="15.75" customHeight="1" s="307">
      <c r="O502" s="44" t="n"/>
    </row>
    <row r="503" ht="15.75" customHeight="1" s="307">
      <c r="O503" s="44" t="n"/>
    </row>
    <row r="504" ht="15.75" customHeight="1" s="307">
      <c r="O504" s="44" t="n"/>
    </row>
    <row r="505" ht="15.75" customHeight="1" s="307">
      <c r="O505" s="44" t="n"/>
    </row>
    <row r="506" ht="15.75" customHeight="1" s="307">
      <c r="O506" s="44" t="n"/>
    </row>
    <row r="507" ht="15.75" customHeight="1" s="307">
      <c r="O507" s="44" t="n"/>
    </row>
    <row r="508" ht="15.75" customHeight="1" s="307">
      <c r="O508" s="44" t="n"/>
    </row>
    <row r="509" ht="15.75" customHeight="1" s="307">
      <c r="O509" s="44" t="n"/>
    </row>
    <row r="510" ht="15.75" customHeight="1" s="307">
      <c r="O510" s="44" t="n"/>
    </row>
    <row r="511" ht="15.75" customHeight="1" s="307">
      <c r="O511" s="44" t="n"/>
    </row>
    <row r="512" ht="15.75" customHeight="1" s="307">
      <c r="O512" s="44" t="n"/>
    </row>
    <row r="513" ht="15.75" customHeight="1" s="307">
      <c r="O513" s="44" t="n"/>
    </row>
    <row r="514" ht="15.75" customHeight="1" s="307">
      <c r="O514" s="44" t="n"/>
    </row>
    <row r="515" ht="15.75" customHeight="1" s="307">
      <c r="O515" s="44" t="n"/>
    </row>
    <row r="516" ht="15.75" customHeight="1" s="307">
      <c r="O516" s="44" t="n"/>
    </row>
    <row r="517" ht="15.75" customHeight="1" s="307">
      <c r="O517" s="44" t="n"/>
    </row>
    <row r="518" ht="15.75" customHeight="1" s="307">
      <c r="O518" s="44" t="n"/>
    </row>
    <row r="519" ht="15.75" customHeight="1" s="307">
      <c r="O519" s="44" t="n"/>
    </row>
    <row r="520" ht="15.75" customHeight="1" s="307">
      <c r="O520" s="44" t="n"/>
    </row>
    <row r="521" ht="15.75" customHeight="1" s="307">
      <c r="O521" s="44" t="n"/>
    </row>
    <row r="522" ht="15.75" customHeight="1" s="307">
      <c r="O522" s="44" t="n"/>
    </row>
    <row r="523" ht="15.75" customHeight="1" s="307">
      <c r="O523" s="44" t="n"/>
    </row>
    <row r="524" ht="15.75" customHeight="1" s="307">
      <c r="O524" s="44" t="n"/>
    </row>
    <row r="525" ht="15.75" customHeight="1" s="307">
      <c r="O525" s="44" t="n"/>
    </row>
    <row r="526" ht="15.75" customHeight="1" s="307">
      <c r="O526" s="44" t="n"/>
    </row>
    <row r="527" ht="15.75" customHeight="1" s="307">
      <c r="O527" s="44" t="n"/>
    </row>
    <row r="528" ht="15.75" customHeight="1" s="307">
      <c r="O528" s="44" t="n"/>
    </row>
    <row r="529" ht="15.75" customHeight="1" s="307">
      <c r="O529" s="44" t="n"/>
    </row>
    <row r="530" ht="15.75" customHeight="1" s="307">
      <c r="O530" s="44" t="n"/>
    </row>
    <row r="531" ht="15.75" customHeight="1" s="307">
      <c r="O531" s="44" t="n"/>
    </row>
    <row r="532" ht="15.75" customHeight="1" s="307">
      <c r="O532" s="44" t="n"/>
    </row>
    <row r="533" ht="15.75" customHeight="1" s="307">
      <c r="O533" s="44" t="n"/>
    </row>
    <row r="534" ht="15.75" customHeight="1" s="307">
      <c r="O534" s="44" t="n"/>
    </row>
    <row r="535" ht="15.75" customHeight="1" s="307">
      <c r="O535" s="44" t="n"/>
    </row>
    <row r="536" ht="15.75" customHeight="1" s="307">
      <c r="O536" s="44" t="n"/>
    </row>
    <row r="537" ht="15.75" customHeight="1" s="307">
      <c r="O537" s="44" t="n"/>
    </row>
    <row r="538" ht="15.75" customHeight="1" s="307">
      <c r="O538" s="44" t="n"/>
    </row>
    <row r="539" ht="15.75" customHeight="1" s="307">
      <c r="O539" s="44" t="n"/>
    </row>
    <row r="540" ht="15.75" customHeight="1" s="307">
      <c r="O540" s="44" t="n"/>
    </row>
    <row r="541" ht="15.75" customHeight="1" s="307">
      <c r="O541" s="44" t="n"/>
    </row>
    <row r="542" ht="15.75" customHeight="1" s="307">
      <c r="O542" s="44" t="n"/>
    </row>
    <row r="543" ht="15.75" customHeight="1" s="307">
      <c r="O543" s="44" t="n"/>
    </row>
    <row r="544" ht="15.75" customHeight="1" s="307">
      <c r="O544" s="44" t="n"/>
    </row>
    <row r="545" ht="15.75" customHeight="1" s="307">
      <c r="O545" s="44" t="n"/>
    </row>
    <row r="546" ht="15.75" customHeight="1" s="307">
      <c r="O546" s="44" t="n"/>
    </row>
    <row r="547" ht="15.75" customHeight="1" s="307">
      <c r="O547" s="44" t="n"/>
    </row>
    <row r="548" ht="15.75" customHeight="1" s="307">
      <c r="O548" s="44" t="n"/>
    </row>
    <row r="549" ht="15.75" customHeight="1" s="307">
      <c r="O549" s="44" t="n"/>
    </row>
    <row r="550" ht="15.75" customHeight="1" s="307">
      <c r="O550" s="44" t="n"/>
    </row>
    <row r="551" ht="15.75" customHeight="1" s="307">
      <c r="O551" s="44" t="n"/>
    </row>
    <row r="552" ht="15.75" customHeight="1" s="307">
      <c r="O552" s="44" t="n"/>
    </row>
    <row r="553" ht="15.75" customHeight="1" s="307">
      <c r="O553" s="44" t="n"/>
    </row>
    <row r="554" ht="15.75" customHeight="1" s="307">
      <c r="O554" s="44" t="n"/>
    </row>
    <row r="555" ht="15.75" customHeight="1" s="307">
      <c r="O555" s="44" t="n"/>
    </row>
    <row r="556" ht="15.75" customHeight="1" s="307">
      <c r="O556" s="44" t="n"/>
    </row>
    <row r="557" ht="15.75" customHeight="1" s="307">
      <c r="O557" s="44" t="n"/>
    </row>
    <row r="558" ht="15.75" customHeight="1" s="307">
      <c r="O558" s="44" t="n"/>
    </row>
    <row r="559" ht="15.75" customHeight="1" s="307">
      <c r="O559" s="44" t="n"/>
    </row>
    <row r="560" ht="15.75" customHeight="1" s="307">
      <c r="O560" s="44" t="n"/>
    </row>
    <row r="561" ht="15.75" customHeight="1" s="307">
      <c r="O561" s="44" t="n"/>
    </row>
    <row r="562" ht="15.75" customHeight="1" s="307">
      <c r="O562" s="44" t="n"/>
    </row>
    <row r="563" ht="15.75" customHeight="1" s="307">
      <c r="O563" s="44" t="n"/>
    </row>
    <row r="564" ht="15.75" customHeight="1" s="307">
      <c r="O564" s="44" t="n"/>
    </row>
    <row r="565" ht="15.75" customHeight="1" s="307">
      <c r="O565" s="44" t="n"/>
    </row>
    <row r="566" ht="15.75" customHeight="1" s="307">
      <c r="O566" s="44" t="n"/>
    </row>
    <row r="567" ht="15.75" customHeight="1" s="307">
      <c r="O567" s="44" t="n"/>
    </row>
    <row r="568" ht="15.75" customHeight="1" s="307">
      <c r="O568" s="44" t="n"/>
    </row>
    <row r="569" ht="15.75" customHeight="1" s="307">
      <c r="O569" s="44" t="n"/>
    </row>
    <row r="570" ht="15.75" customHeight="1" s="307">
      <c r="O570" s="44" t="n"/>
    </row>
    <row r="571" ht="15.75" customHeight="1" s="307">
      <c r="O571" s="44" t="n"/>
    </row>
    <row r="572" ht="15.75" customHeight="1" s="307">
      <c r="O572" s="44" t="n"/>
    </row>
    <row r="573" ht="15.75" customHeight="1" s="307">
      <c r="O573" s="44" t="n"/>
    </row>
    <row r="574" ht="15.75" customHeight="1" s="307">
      <c r="O574" s="44" t="n"/>
    </row>
    <row r="575" ht="15.75" customHeight="1" s="307">
      <c r="O575" s="44" t="n"/>
    </row>
    <row r="576" ht="15.75" customHeight="1" s="307">
      <c r="O576" s="44" t="n"/>
    </row>
    <row r="577" ht="15.75" customHeight="1" s="307">
      <c r="O577" s="44" t="n"/>
    </row>
    <row r="578" ht="15.75" customHeight="1" s="307">
      <c r="O578" s="44" t="n"/>
    </row>
    <row r="579" ht="15.75" customHeight="1" s="307">
      <c r="O579" s="44" t="n"/>
    </row>
    <row r="580" ht="15.75" customHeight="1" s="307">
      <c r="O580" s="44" t="n"/>
    </row>
    <row r="581" ht="15.75" customHeight="1" s="307">
      <c r="O581" s="44" t="n"/>
    </row>
    <row r="582" ht="15.75" customHeight="1" s="307">
      <c r="O582" s="44" t="n"/>
    </row>
    <row r="583" ht="15.75" customHeight="1" s="307">
      <c r="O583" s="44" t="n"/>
    </row>
    <row r="584" ht="15.75" customHeight="1" s="307">
      <c r="O584" s="44" t="n"/>
    </row>
    <row r="585" ht="15.75" customHeight="1" s="307">
      <c r="O585" s="44" t="n"/>
    </row>
    <row r="586" ht="15.75" customHeight="1" s="307">
      <c r="O586" s="44" t="n"/>
    </row>
    <row r="587" ht="15.75" customHeight="1" s="307">
      <c r="O587" s="44" t="n"/>
    </row>
    <row r="588" ht="15.75" customHeight="1" s="307">
      <c r="O588" s="44" t="n"/>
    </row>
    <row r="589" ht="15.75" customHeight="1" s="307">
      <c r="O589" s="44" t="n"/>
    </row>
    <row r="590" ht="15.75" customHeight="1" s="307">
      <c r="O590" s="44" t="n"/>
    </row>
    <row r="591" ht="15.75" customHeight="1" s="307">
      <c r="O591" s="44" t="n"/>
    </row>
    <row r="592" ht="15.75" customHeight="1" s="307">
      <c r="O592" s="44" t="n"/>
    </row>
    <row r="593" ht="15.75" customHeight="1" s="307">
      <c r="O593" s="44" t="n"/>
    </row>
    <row r="594" ht="15.75" customHeight="1" s="307">
      <c r="O594" s="44" t="n"/>
    </row>
    <row r="595" ht="15.75" customHeight="1" s="307">
      <c r="O595" s="44" t="n"/>
    </row>
    <row r="596" ht="15.75" customHeight="1" s="307">
      <c r="O596" s="44" t="n"/>
    </row>
    <row r="597" ht="15.75" customHeight="1" s="307">
      <c r="O597" s="44" t="n"/>
    </row>
    <row r="598" ht="15.75" customHeight="1" s="307">
      <c r="O598" s="44" t="n"/>
    </row>
    <row r="599" ht="15.75" customHeight="1" s="307">
      <c r="O599" s="44" t="n"/>
    </row>
    <row r="600" ht="15.75" customHeight="1" s="307">
      <c r="O600" s="44" t="n"/>
    </row>
    <row r="601" ht="15.75" customHeight="1" s="307">
      <c r="O601" s="44" t="n"/>
    </row>
    <row r="602" ht="15.75" customHeight="1" s="307">
      <c r="O602" s="44" t="n"/>
    </row>
    <row r="603" ht="15.75" customHeight="1" s="307">
      <c r="O603" s="44" t="n"/>
    </row>
    <row r="604" ht="15.75" customHeight="1" s="307">
      <c r="O604" s="44" t="n"/>
    </row>
    <row r="605" ht="15.75" customHeight="1" s="307">
      <c r="O605" s="44" t="n"/>
    </row>
    <row r="606" ht="15.75" customHeight="1" s="307">
      <c r="O606" s="44" t="n"/>
    </row>
    <row r="607" ht="15.75" customHeight="1" s="307">
      <c r="O607" s="44" t="n"/>
    </row>
    <row r="608" ht="15.75" customHeight="1" s="307">
      <c r="O608" s="44" t="n"/>
    </row>
    <row r="609" ht="15.75" customHeight="1" s="307">
      <c r="O609" s="44" t="n"/>
    </row>
    <row r="610" ht="15.75" customHeight="1" s="307">
      <c r="O610" s="44" t="n"/>
    </row>
    <row r="611" ht="15.75" customHeight="1" s="307">
      <c r="O611" s="44" t="n"/>
    </row>
    <row r="612" ht="15.75" customHeight="1" s="307">
      <c r="O612" s="44" t="n"/>
    </row>
    <row r="613" ht="15.75" customHeight="1" s="307">
      <c r="O613" s="44" t="n"/>
    </row>
    <row r="614" ht="15.75" customHeight="1" s="307">
      <c r="O614" s="44" t="n"/>
    </row>
    <row r="615" ht="15.75" customHeight="1" s="307">
      <c r="O615" s="44" t="n"/>
    </row>
    <row r="616" ht="15.75" customHeight="1" s="307">
      <c r="O616" s="44" t="n"/>
    </row>
    <row r="617" ht="15.75" customHeight="1" s="307">
      <c r="O617" s="44" t="n"/>
    </row>
    <row r="618" ht="15.75" customHeight="1" s="307">
      <c r="O618" s="44" t="n"/>
    </row>
    <row r="619" ht="15.75" customHeight="1" s="307">
      <c r="O619" s="44" t="n"/>
    </row>
    <row r="620" ht="15.75" customHeight="1" s="307">
      <c r="O620" s="44" t="n"/>
    </row>
    <row r="621" ht="15.75" customHeight="1" s="307">
      <c r="O621" s="44" t="n"/>
    </row>
    <row r="622" ht="15.75" customHeight="1" s="307">
      <c r="O622" s="44" t="n"/>
    </row>
    <row r="623" ht="15.75" customHeight="1" s="307">
      <c r="O623" s="44" t="n"/>
    </row>
    <row r="624" ht="15.75" customHeight="1" s="307">
      <c r="O624" s="44" t="n"/>
    </row>
    <row r="625" ht="15.75" customHeight="1" s="307">
      <c r="O625" s="44" t="n"/>
    </row>
    <row r="626" ht="15.75" customHeight="1" s="307">
      <c r="O626" s="44" t="n"/>
    </row>
    <row r="627" ht="15.75" customHeight="1" s="307">
      <c r="O627" s="44" t="n"/>
    </row>
    <row r="628" ht="15.75" customHeight="1" s="307">
      <c r="O628" s="44" t="n"/>
    </row>
    <row r="629" ht="15.75" customHeight="1" s="307">
      <c r="O629" s="44" t="n"/>
    </row>
    <row r="630" ht="15.75" customHeight="1" s="307">
      <c r="O630" s="44" t="n"/>
    </row>
    <row r="631" ht="15.75" customHeight="1" s="307">
      <c r="O631" s="44" t="n"/>
    </row>
    <row r="632" ht="15.75" customHeight="1" s="307">
      <c r="O632" s="44" t="n"/>
    </row>
    <row r="633" ht="15.75" customHeight="1" s="307">
      <c r="O633" s="44" t="n"/>
    </row>
    <row r="634" ht="15.75" customHeight="1" s="307">
      <c r="O634" s="44" t="n"/>
    </row>
    <row r="635" ht="15.75" customHeight="1" s="307">
      <c r="O635" s="44" t="n"/>
    </row>
    <row r="636" ht="15.75" customHeight="1" s="307">
      <c r="O636" s="44" t="n"/>
    </row>
    <row r="637" ht="15.75" customHeight="1" s="307">
      <c r="O637" s="44" t="n"/>
    </row>
    <row r="638" ht="15.75" customHeight="1" s="307">
      <c r="O638" s="44" t="n"/>
    </row>
    <row r="639" ht="15.75" customHeight="1" s="307">
      <c r="O639" s="44" t="n"/>
    </row>
    <row r="640" ht="15.75" customHeight="1" s="307">
      <c r="O640" s="44" t="n"/>
    </row>
    <row r="641" ht="15.75" customHeight="1" s="307">
      <c r="O641" s="44" t="n"/>
    </row>
    <row r="642" ht="15.75" customHeight="1" s="307">
      <c r="O642" s="44" t="n"/>
    </row>
    <row r="643" ht="15.75" customHeight="1" s="307">
      <c r="O643" s="44" t="n"/>
    </row>
    <row r="644" ht="15.75" customHeight="1" s="307">
      <c r="O644" s="44" t="n"/>
    </row>
    <row r="645" ht="15.75" customHeight="1" s="307">
      <c r="O645" s="44" t="n"/>
    </row>
    <row r="646" ht="15.75" customHeight="1" s="307">
      <c r="O646" s="44" t="n"/>
    </row>
    <row r="647" ht="15.75" customHeight="1" s="307">
      <c r="O647" s="44" t="n"/>
    </row>
    <row r="648" ht="15.75" customHeight="1" s="307">
      <c r="O648" s="44" t="n"/>
    </row>
    <row r="649" ht="15.75" customHeight="1" s="307">
      <c r="O649" s="44" t="n"/>
    </row>
    <row r="650" ht="15.75" customHeight="1" s="307">
      <c r="O650" s="44" t="n"/>
    </row>
    <row r="651" ht="15.75" customHeight="1" s="307">
      <c r="O651" s="44" t="n"/>
    </row>
    <row r="652" ht="15.75" customHeight="1" s="307">
      <c r="O652" s="44" t="n"/>
    </row>
    <row r="653" ht="15.75" customHeight="1" s="307">
      <c r="O653" s="44" t="n"/>
    </row>
    <row r="654" ht="15.75" customHeight="1" s="307">
      <c r="O654" s="44" t="n"/>
    </row>
    <row r="655" ht="15.75" customHeight="1" s="307">
      <c r="O655" s="44" t="n"/>
    </row>
    <row r="656" ht="15.75" customHeight="1" s="307">
      <c r="O656" s="44" t="n"/>
    </row>
    <row r="657" ht="15.75" customHeight="1" s="307">
      <c r="O657" s="44" t="n"/>
    </row>
    <row r="658" ht="15.75" customHeight="1" s="307">
      <c r="O658" s="44" t="n"/>
    </row>
    <row r="659" ht="15.75" customHeight="1" s="307">
      <c r="O659" s="44" t="n"/>
    </row>
    <row r="660" ht="15.75" customHeight="1" s="307">
      <c r="O660" s="44" t="n"/>
    </row>
    <row r="661" ht="15.75" customHeight="1" s="307">
      <c r="O661" s="44" t="n"/>
    </row>
    <row r="662" ht="15.75" customHeight="1" s="307">
      <c r="O662" s="44" t="n"/>
    </row>
    <row r="663" ht="15.75" customHeight="1" s="307">
      <c r="O663" s="44" t="n"/>
    </row>
    <row r="664" ht="15.75" customHeight="1" s="307">
      <c r="O664" s="44" t="n"/>
    </row>
    <row r="665" ht="15.75" customHeight="1" s="307">
      <c r="O665" s="44" t="n"/>
    </row>
    <row r="666" ht="15.75" customHeight="1" s="307">
      <c r="O666" s="44" t="n"/>
    </row>
    <row r="667" ht="15.75" customHeight="1" s="307">
      <c r="O667" s="44" t="n"/>
    </row>
    <row r="668" ht="15.75" customHeight="1" s="307">
      <c r="O668" s="44" t="n"/>
    </row>
    <row r="669" ht="15.75" customHeight="1" s="307">
      <c r="O669" s="44" t="n"/>
    </row>
    <row r="670" ht="15.75" customHeight="1" s="307">
      <c r="O670" s="44" t="n"/>
    </row>
    <row r="671" ht="15.75" customHeight="1" s="307">
      <c r="O671" s="44" t="n"/>
    </row>
    <row r="672" ht="15.75" customHeight="1" s="307">
      <c r="O672" s="44" t="n"/>
    </row>
    <row r="673" ht="15.75" customHeight="1" s="307">
      <c r="O673" s="44" t="n"/>
    </row>
    <row r="674" ht="15.75" customHeight="1" s="307">
      <c r="O674" s="44" t="n"/>
    </row>
    <row r="675" ht="15.75" customHeight="1" s="307">
      <c r="O675" s="44" t="n"/>
    </row>
    <row r="676" ht="15.75" customHeight="1" s="307">
      <c r="O676" s="44" t="n"/>
    </row>
    <row r="677" ht="15.75" customHeight="1" s="307">
      <c r="O677" s="44" t="n"/>
    </row>
    <row r="678" ht="15.75" customHeight="1" s="307">
      <c r="O678" s="44" t="n"/>
    </row>
    <row r="679" ht="15.75" customHeight="1" s="307">
      <c r="O679" s="44" t="n"/>
    </row>
    <row r="680" ht="15.75" customHeight="1" s="307">
      <c r="O680" s="44" t="n"/>
    </row>
    <row r="681" ht="15.75" customHeight="1" s="307">
      <c r="O681" s="44" t="n"/>
    </row>
    <row r="682" ht="15.75" customHeight="1" s="307">
      <c r="O682" s="44" t="n"/>
    </row>
    <row r="683" ht="15.75" customHeight="1" s="307">
      <c r="O683" s="44" t="n"/>
    </row>
    <row r="684" ht="15.75" customHeight="1" s="307">
      <c r="O684" s="44" t="n"/>
    </row>
    <row r="685" ht="15.75" customHeight="1" s="307">
      <c r="O685" s="44" t="n"/>
    </row>
    <row r="686" ht="15.75" customHeight="1" s="307">
      <c r="O686" s="44" t="n"/>
    </row>
    <row r="687" ht="15.75" customHeight="1" s="307">
      <c r="O687" s="44" t="n"/>
    </row>
    <row r="688" ht="15.75" customHeight="1" s="307">
      <c r="O688" s="44" t="n"/>
    </row>
    <row r="689" ht="15.75" customHeight="1" s="307">
      <c r="O689" s="44" t="n"/>
    </row>
    <row r="690" ht="15.75" customHeight="1" s="307">
      <c r="O690" s="44" t="n"/>
    </row>
    <row r="691" ht="15.75" customHeight="1" s="307">
      <c r="O691" s="44" t="n"/>
    </row>
    <row r="692" ht="15.75" customHeight="1" s="307">
      <c r="O692" s="44" t="n"/>
    </row>
    <row r="693" ht="15.75" customHeight="1" s="307">
      <c r="O693" s="44" t="n"/>
    </row>
    <row r="694" ht="15.75" customHeight="1" s="307">
      <c r="O694" s="44" t="n"/>
    </row>
    <row r="695" ht="15.75" customHeight="1" s="307">
      <c r="O695" s="44" t="n"/>
    </row>
    <row r="696" ht="15.75" customHeight="1" s="307">
      <c r="O696" s="44" t="n"/>
    </row>
    <row r="697" ht="15.75" customHeight="1" s="307">
      <c r="O697" s="44" t="n"/>
    </row>
    <row r="698" ht="15.75" customHeight="1" s="307">
      <c r="O698" s="44" t="n"/>
    </row>
    <row r="699" ht="15.75" customHeight="1" s="307">
      <c r="O699" s="44" t="n"/>
    </row>
    <row r="700" ht="15.75" customHeight="1" s="307">
      <c r="O700" s="44" t="n"/>
    </row>
    <row r="701" ht="15.75" customHeight="1" s="307">
      <c r="O701" s="44" t="n"/>
    </row>
    <row r="702" ht="15.75" customHeight="1" s="307">
      <c r="O702" s="44" t="n"/>
    </row>
    <row r="703" ht="15.75" customHeight="1" s="307">
      <c r="O703" s="44" t="n"/>
    </row>
    <row r="704" ht="15.75" customHeight="1" s="307">
      <c r="O704" s="44" t="n"/>
    </row>
    <row r="705" ht="15.75" customHeight="1" s="307">
      <c r="O705" s="44" t="n"/>
    </row>
    <row r="706" ht="15.75" customHeight="1" s="307">
      <c r="O706" s="44" t="n"/>
    </row>
    <row r="707" ht="15.75" customHeight="1" s="307">
      <c r="O707" s="44" t="n"/>
    </row>
    <row r="708" ht="15.75" customHeight="1" s="307">
      <c r="O708" s="44" t="n"/>
    </row>
    <row r="709" ht="15.75" customHeight="1" s="307">
      <c r="O709" s="44" t="n"/>
    </row>
    <row r="710" ht="15.75" customHeight="1" s="307">
      <c r="O710" s="44" t="n"/>
    </row>
    <row r="711" ht="15.75" customHeight="1" s="307">
      <c r="O711" s="44" t="n"/>
    </row>
    <row r="712" ht="15.75" customHeight="1" s="307">
      <c r="O712" s="44" t="n"/>
    </row>
    <row r="713" ht="15.75" customHeight="1" s="307">
      <c r="O713" s="44" t="n"/>
    </row>
    <row r="714" ht="15.75" customHeight="1" s="307">
      <c r="O714" s="44" t="n"/>
    </row>
    <row r="715" ht="15.75" customHeight="1" s="307">
      <c r="O715" s="44" t="n"/>
    </row>
    <row r="716" ht="15.75" customHeight="1" s="307">
      <c r="O716" s="44" t="n"/>
    </row>
    <row r="717" ht="15.75" customHeight="1" s="307">
      <c r="O717" s="44" t="n"/>
    </row>
    <row r="718" ht="15.75" customHeight="1" s="307">
      <c r="O718" s="44" t="n"/>
    </row>
    <row r="719" ht="15.75" customHeight="1" s="307">
      <c r="O719" s="44" t="n"/>
    </row>
    <row r="720" ht="15.75" customHeight="1" s="307">
      <c r="O720" s="44" t="n"/>
    </row>
    <row r="721" ht="15.75" customHeight="1" s="307">
      <c r="O721" s="44" t="n"/>
    </row>
    <row r="722" ht="15.75" customHeight="1" s="307">
      <c r="O722" s="44" t="n"/>
    </row>
    <row r="723" ht="15.75" customHeight="1" s="307">
      <c r="O723" s="44" t="n"/>
    </row>
    <row r="724" ht="15.75" customHeight="1" s="307">
      <c r="O724" s="44" t="n"/>
    </row>
    <row r="725" ht="15.75" customHeight="1" s="307">
      <c r="O725" s="44" t="n"/>
    </row>
    <row r="726" ht="15.75" customHeight="1" s="307">
      <c r="O726" s="44" t="n"/>
    </row>
    <row r="727" ht="15.75" customHeight="1" s="307">
      <c r="O727" s="44" t="n"/>
    </row>
    <row r="728" ht="15.75" customHeight="1" s="307">
      <c r="O728" s="44" t="n"/>
    </row>
    <row r="729" ht="15.75" customHeight="1" s="307">
      <c r="O729" s="44" t="n"/>
    </row>
    <row r="730" ht="15.75" customHeight="1" s="307">
      <c r="O730" s="44" t="n"/>
    </row>
    <row r="731" ht="15.75" customHeight="1" s="307">
      <c r="O731" s="44" t="n"/>
    </row>
    <row r="732" ht="15.75" customHeight="1" s="307">
      <c r="O732" s="44" t="n"/>
    </row>
    <row r="733" ht="15.75" customHeight="1" s="307">
      <c r="O733" s="44" t="n"/>
    </row>
    <row r="734" ht="15.75" customHeight="1" s="307">
      <c r="O734" s="44" t="n"/>
    </row>
    <row r="735" ht="15.75" customHeight="1" s="307">
      <c r="O735" s="44" t="n"/>
    </row>
    <row r="736" ht="15.75" customHeight="1" s="307">
      <c r="O736" s="44" t="n"/>
    </row>
    <row r="737" ht="15.75" customHeight="1" s="307">
      <c r="O737" s="44" t="n"/>
    </row>
    <row r="738" ht="15.75" customHeight="1" s="307">
      <c r="O738" s="44" t="n"/>
    </row>
    <row r="739" ht="15.75" customHeight="1" s="307">
      <c r="O739" s="44" t="n"/>
    </row>
    <row r="740" ht="15.75" customHeight="1" s="307">
      <c r="O740" s="44" t="n"/>
    </row>
    <row r="741" ht="15.75" customHeight="1" s="307">
      <c r="O741" s="44" t="n"/>
    </row>
    <row r="742" ht="15.75" customHeight="1" s="307">
      <c r="O742" s="44" t="n"/>
    </row>
    <row r="743" ht="15.75" customHeight="1" s="307">
      <c r="O743" s="44" t="n"/>
    </row>
    <row r="744" ht="15.75" customHeight="1" s="307">
      <c r="O744" s="44" t="n"/>
    </row>
    <row r="745" ht="15.75" customHeight="1" s="307">
      <c r="O745" s="44" t="n"/>
    </row>
    <row r="746" ht="15.75" customHeight="1" s="307">
      <c r="O746" s="44" t="n"/>
    </row>
    <row r="747" ht="15.75" customHeight="1" s="307">
      <c r="O747" s="44" t="n"/>
    </row>
    <row r="748" ht="15.75" customHeight="1" s="307">
      <c r="O748" s="44" t="n"/>
    </row>
    <row r="749" ht="15.75" customHeight="1" s="307">
      <c r="O749" s="44" t="n"/>
    </row>
    <row r="750" ht="15.75" customHeight="1" s="307">
      <c r="O750" s="44" t="n"/>
    </row>
    <row r="751" ht="15.75" customHeight="1" s="307">
      <c r="O751" s="44" t="n"/>
    </row>
    <row r="752" ht="15.75" customHeight="1" s="307">
      <c r="O752" s="44" t="n"/>
    </row>
    <row r="753" ht="15.75" customHeight="1" s="307">
      <c r="O753" s="44" t="n"/>
    </row>
    <row r="754" ht="15.75" customHeight="1" s="307">
      <c r="O754" s="44" t="n"/>
    </row>
    <row r="755" ht="15.75" customHeight="1" s="307">
      <c r="O755" s="44" t="n"/>
    </row>
    <row r="756" ht="15.75" customHeight="1" s="307">
      <c r="O756" s="44" t="n"/>
    </row>
    <row r="757" ht="15.75" customHeight="1" s="307">
      <c r="O757" s="44" t="n"/>
    </row>
    <row r="758" ht="15.75" customHeight="1" s="307">
      <c r="O758" s="44" t="n"/>
    </row>
    <row r="759" ht="15.75" customHeight="1" s="307">
      <c r="O759" s="44" t="n"/>
    </row>
    <row r="760" ht="15.75" customHeight="1" s="307">
      <c r="O760" s="44" t="n"/>
    </row>
    <row r="761" ht="15.75" customHeight="1" s="307">
      <c r="O761" s="44" t="n"/>
    </row>
    <row r="762" ht="15.75" customHeight="1" s="307">
      <c r="O762" s="44" t="n"/>
    </row>
    <row r="763" ht="15.75" customHeight="1" s="307">
      <c r="O763" s="44" t="n"/>
    </row>
    <row r="764" ht="15.75" customHeight="1" s="307">
      <c r="O764" s="44" t="n"/>
    </row>
    <row r="765" ht="15.75" customHeight="1" s="307">
      <c r="O765" s="44" t="n"/>
    </row>
    <row r="766" ht="15.75" customHeight="1" s="307">
      <c r="O766" s="44" t="n"/>
    </row>
    <row r="767" ht="15.75" customHeight="1" s="307">
      <c r="O767" s="44" t="n"/>
    </row>
    <row r="768" ht="15.75" customHeight="1" s="307">
      <c r="O768" s="44" t="n"/>
    </row>
    <row r="769" ht="15.75" customHeight="1" s="307">
      <c r="O769" s="44" t="n"/>
    </row>
    <row r="770" ht="15.75" customHeight="1" s="307">
      <c r="O770" s="44" t="n"/>
    </row>
    <row r="771" ht="15.75" customHeight="1" s="307">
      <c r="O771" s="44" t="n"/>
    </row>
    <row r="772" ht="15.75" customHeight="1" s="307">
      <c r="O772" s="44" t="n"/>
    </row>
    <row r="773" ht="15.75" customHeight="1" s="307">
      <c r="O773" s="44" t="n"/>
    </row>
    <row r="774" ht="15.75" customHeight="1" s="307">
      <c r="O774" s="44" t="n"/>
    </row>
    <row r="775" ht="15.75" customHeight="1" s="307">
      <c r="O775" s="44" t="n"/>
    </row>
    <row r="776" ht="15.75" customHeight="1" s="307">
      <c r="O776" s="44" t="n"/>
    </row>
    <row r="777" ht="15.75" customHeight="1" s="307">
      <c r="O777" s="44" t="n"/>
    </row>
    <row r="778" ht="15.75" customHeight="1" s="307">
      <c r="O778" s="44" t="n"/>
    </row>
    <row r="779" ht="15.75" customHeight="1" s="307">
      <c r="O779" s="44" t="n"/>
    </row>
    <row r="780" ht="15.75" customHeight="1" s="307">
      <c r="O780" s="44" t="n"/>
    </row>
    <row r="781" ht="15.75" customHeight="1" s="307">
      <c r="O781" s="44" t="n"/>
    </row>
    <row r="782" ht="15.75" customHeight="1" s="307">
      <c r="O782" s="44" t="n"/>
    </row>
    <row r="783" ht="15.75" customHeight="1" s="307">
      <c r="O783" s="44" t="n"/>
    </row>
    <row r="784" ht="15.75" customHeight="1" s="307">
      <c r="O784" s="44" t="n"/>
    </row>
    <row r="785" ht="15.75" customHeight="1" s="307">
      <c r="O785" s="44" t="n"/>
    </row>
    <row r="786" ht="15.75" customHeight="1" s="307">
      <c r="O786" s="44" t="n"/>
    </row>
    <row r="787" ht="15.75" customHeight="1" s="307">
      <c r="O787" s="44" t="n"/>
    </row>
    <row r="788" ht="15.75" customHeight="1" s="307">
      <c r="O788" s="44" t="n"/>
    </row>
    <row r="789" ht="15.75" customHeight="1" s="307">
      <c r="O789" s="44" t="n"/>
    </row>
    <row r="790" ht="15.75" customHeight="1" s="307">
      <c r="O790" s="44" t="n"/>
    </row>
    <row r="791" ht="15.75" customHeight="1" s="307">
      <c r="O791" s="44" t="n"/>
    </row>
    <row r="792" ht="15.75" customHeight="1" s="307">
      <c r="O792" s="44" t="n"/>
    </row>
    <row r="793" ht="15.75" customHeight="1" s="307">
      <c r="O793" s="44" t="n"/>
    </row>
    <row r="794" ht="15.75" customHeight="1" s="307">
      <c r="O794" s="44" t="n"/>
    </row>
    <row r="795" ht="15.75" customHeight="1" s="307">
      <c r="O795" s="44" t="n"/>
    </row>
    <row r="796" ht="15.75" customHeight="1" s="307">
      <c r="O796" s="44" t="n"/>
    </row>
    <row r="797" ht="15.75" customHeight="1" s="307">
      <c r="O797" s="44" t="n"/>
    </row>
    <row r="798" ht="15.75" customHeight="1" s="307">
      <c r="O798" s="44" t="n"/>
    </row>
    <row r="799" ht="15.75" customHeight="1" s="307">
      <c r="O799" s="44" t="n"/>
    </row>
    <row r="800" ht="15.75" customHeight="1" s="307">
      <c r="O800" s="44" t="n"/>
    </row>
    <row r="801" ht="15.75" customHeight="1" s="307">
      <c r="O801" s="44" t="n"/>
    </row>
    <row r="802" ht="15.75" customHeight="1" s="307">
      <c r="O802" s="44" t="n"/>
    </row>
    <row r="803" ht="15.75" customHeight="1" s="307">
      <c r="O803" s="44" t="n"/>
    </row>
    <row r="804" ht="15.75" customHeight="1" s="307">
      <c r="O804" s="44" t="n"/>
    </row>
    <row r="805" ht="15.75" customHeight="1" s="307">
      <c r="O805" s="44" t="n"/>
    </row>
    <row r="806" ht="15.75" customHeight="1" s="307">
      <c r="O806" s="44" t="n"/>
    </row>
    <row r="807" ht="15.75" customHeight="1" s="307">
      <c r="O807" s="44" t="n"/>
    </row>
    <row r="808" ht="15.75" customHeight="1" s="307">
      <c r="O808" s="44" t="n"/>
    </row>
    <row r="809" ht="15.75" customHeight="1" s="307">
      <c r="O809" s="44" t="n"/>
    </row>
    <row r="810" ht="15.75" customHeight="1" s="307">
      <c r="O810" s="44" t="n"/>
    </row>
    <row r="811" ht="15.75" customHeight="1" s="307">
      <c r="O811" s="44" t="n"/>
    </row>
    <row r="812" ht="15.75" customHeight="1" s="307">
      <c r="O812" s="44" t="n"/>
    </row>
    <row r="813" ht="15.75" customHeight="1" s="307">
      <c r="O813" s="44" t="n"/>
    </row>
    <row r="814" ht="15.75" customHeight="1" s="307">
      <c r="O814" s="44" t="n"/>
    </row>
    <row r="815" ht="15.75" customHeight="1" s="307">
      <c r="O815" s="44" t="n"/>
    </row>
    <row r="816" ht="15.75" customHeight="1" s="307">
      <c r="O816" s="44" t="n"/>
    </row>
    <row r="817" ht="15.75" customHeight="1" s="307">
      <c r="O817" s="44" t="n"/>
    </row>
    <row r="818" ht="15.75" customHeight="1" s="307">
      <c r="O818" s="44" t="n"/>
    </row>
    <row r="819" ht="15.75" customHeight="1" s="307">
      <c r="O819" s="44" t="n"/>
    </row>
    <row r="820" ht="15.75" customHeight="1" s="307">
      <c r="O820" s="44" t="n"/>
    </row>
    <row r="821" ht="15.75" customHeight="1" s="307">
      <c r="O821" s="44" t="n"/>
    </row>
    <row r="822" ht="15.75" customHeight="1" s="307">
      <c r="O822" s="44" t="n"/>
    </row>
    <row r="823" ht="15.75" customHeight="1" s="307">
      <c r="O823" s="44" t="n"/>
    </row>
    <row r="824" ht="15.75" customHeight="1" s="307">
      <c r="O824" s="44" t="n"/>
    </row>
    <row r="825" ht="15.75" customHeight="1" s="307">
      <c r="O825" s="44" t="n"/>
    </row>
    <row r="826" ht="15.75" customHeight="1" s="307">
      <c r="O826" s="44" t="n"/>
    </row>
    <row r="827" ht="15.75" customHeight="1" s="307">
      <c r="O827" s="44" t="n"/>
    </row>
    <row r="828" ht="15.75" customHeight="1" s="307">
      <c r="O828" s="44" t="n"/>
    </row>
    <row r="829" ht="15.75" customHeight="1" s="307">
      <c r="O829" s="44" t="n"/>
    </row>
    <row r="830" ht="15.75" customHeight="1" s="307">
      <c r="O830" s="44" t="n"/>
    </row>
    <row r="831" ht="15.75" customHeight="1" s="307">
      <c r="O831" s="44" t="n"/>
    </row>
    <row r="832" ht="15.75" customHeight="1" s="307">
      <c r="O832" s="44" t="n"/>
    </row>
    <row r="833" ht="15.75" customHeight="1" s="307">
      <c r="O833" s="44" t="n"/>
    </row>
    <row r="834" ht="15.75" customHeight="1" s="307">
      <c r="O834" s="44" t="n"/>
    </row>
    <row r="835" ht="15.75" customHeight="1" s="307">
      <c r="O835" s="44" t="n"/>
    </row>
    <row r="836" ht="15.75" customHeight="1" s="307">
      <c r="O836" s="44" t="n"/>
    </row>
    <row r="837" ht="15.75" customHeight="1" s="307">
      <c r="O837" s="44" t="n"/>
    </row>
    <row r="838" ht="15.75" customHeight="1" s="307">
      <c r="O838" s="44" t="n"/>
    </row>
    <row r="839" ht="15.75" customHeight="1" s="307">
      <c r="O839" s="44" t="n"/>
    </row>
    <row r="840" ht="15.75" customHeight="1" s="307">
      <c r="O840" s="44" t="n"/>
    </row>
    <row r="841" ht="15.75" customHeight="1" s="307">
      <c r="O841" s="44" t="n"/>
    </row>
    <row r="842" ht="15.75" customHeight="1" s="307">
      <c r="O842" s="44" t="n"/>
    </row>
    <row r="843" ht="15.75" customHeight="1" s="307">
      <c r="O843" s="44" t="n"/>
    </row>
    <row r="844" ht="15.75" customHeight="1" s="307">
      <c r="O844" s="44" t="n"/>
    </row>
    <row r="845" ht="15.75" customHeight="1" s="307">
      <c r="O845" s="44" t="n"/>
    </row>
    <row r="846" ht="15.75" customHeight="1" s="307">
      <c r="O846" s="44" t="n"/>
    </row>
    <row r="847" ht="15.75" customHeight="1" s="307">
      <c r="O847" s="44" t="n"/>
    </row>
    <row r="848" ht="15.75" customHeight="1" s="307">
      <c r="O848" s="44" t="n"/>
    </row>
    <row r="849" ht="15.75" customHeight="1" s="307">
      <c r="O849" s="44" t="n"/>
    </row>
    <row r="850" ht="15.75" customHeight="1" s="307">
      <c r="O850" s="44" t="n"/>
    </row>
    <row r="851" ht="15.75" customHeight="1" s="307">
      <c r="O851" s="44" t="n"/>
    </row>
    <row r="852" ht="15.75" customHeight="1" s="307">
      <c r="O852" s="44" t="n"/>
    </row>
    <row r="853" ht="15.75" customHeight="1" s="307">
      <c r="O853" s="44" t="n"/>
    </row>
    <row r="854" ht="15.75" customHeight="1" s="307">
      <c r="O854" s="44" t="n"/>
    </row>
    <row r="855" ht="15.75" customHeight="1" s="307">
      <c r="O855" s="44" t="n"/>
    </row>
    <row r="856" ht="15.75" customHeight="1" s="307">
      <c r="O856" s="44" t="n"/>
    </row>
    <row r="857" ht="15.75" customHeight="1" s="307">
      <c r="O857" s="44" t="n"/>
    </row>
    <row r="858" ht="15.75" customHeight="1" s="307">
      <c r="O858" s="44" t="n"/>
    </row>
    <row r="859" ht="15.75" customHeight="1" s="307">
      <c r="O859" s="44" t="n"/>
    </row>
    <row r="860" ht="15.75" customHeight="1" s="307">
      <c r="O860" s="44" t="n"/>
    </row>
    <row r="861" ht="15.75" customHeight="1" s="307">
      <c r="O861" s="44" t="n"/>
    </row>
    <row r="862" ht="15.75" customHeight="1" s="307">
      <c r="O862" s="44" t="n"/>
    </row>
    <row r="863" ht="15.75" customHeight="1" s="307">
      <c r="O863" s="44" t="n"/>
    </row>
    <row r="864" ht="15.75" customHeight="1" s="307">
      <c r="O864" s="44" t="n"/>
    </row>
    <row r="865" ht="15.75" customHeight="1" s="307">
      <c r="O865" s="44" t="n"/>
    </row>
    <row r="866" ht="15.75" customHeight="1" s="307">
      <c r="O866" s="44" t="n"/>
    </row>
    <row r="867" ht="15.75" customHeight="1" s="307">
      <c r="O867" s="44" t="n"/>
    </row>
    <row r="868" ht="15.75" customHeight="1" s="307">
      <c r="O868" s="44" t="n"/>
    </row>
    <row r="869" ht="15.75" customHeight="1" s="307">
      <c r="O869" s="44" t="n"/>
    </row>
    <row r="870" ht="15.75" customHeight="1" s="307">
      <c r="O870" s="44" t="n"/>
    </row>
    <row r="871" ht="15.75" customHeight="1" s="307">
      <c r="O871" s="44" t="n"/>
    </row>
    <row r="872" ht="15.75" customHeight="1" s="307">
      <c r="O872" s="44" t="n"/>
    </row>
    <row r="873" ht="15.75" customHeight="1" s="307">
      <c r="O873" s="44" t="n"/>
    </row>
    <row r="874" ht="15.75" customHeight="1" s="307">
      <c r="O874" s="44" t="n"/>
    </row>
    <row r="875" ht="15.75" customHeight="1" s="307">
      <c r="O875" s="44" t="n"/>
    </row>
    <row r="876" ht="15.75" customHeight="1" s="307">
      <c r="O876" s="44" t="n"/>
    </row>
    <row r="877" ht="15.75" customHeight="1" s="307">
      <c r="O877" s="44" t="n"/>
    </row>
    <row r="878" ht="15.75" customHeight="1" s="307">
      <c r="O878" s="44" t="n"/>
    </row>
    <row r="879" ht="15.75" customHeight="1" s="307">
      <c r="O879" s="44" t="n"/>
    </row>
    <row r="880" ht="15.75" customHeight="1" s="307">
      <c r="O880" s="44" t="n"/>
    </row>
    <row r="881" ht="15.75" customHeight="1" s="307">
      <c r="O881" s="44" t="n"/>
    </row>
    <row r="882" ht="15.75" customHeight="1" s="307">
      <c r="O882" s="44" t="n"/>
    </row>
    <row r="883" ht="15.75" customHeight="1" s="307">
      <c r="O883" s="44" t="n"/>
    </row>
    <row r="884" ht="15.75" customHeight="1" s="307">
      <c r="O884" s="44" t="n"/>
    </row>
    <row r="885" ht="15.75" customHeight="1" s="307">
      <c r="O885" s="44" t="n"/>
    </row>
    <row r="886" ht="15.75" customHeight="1" s="307">
      <c r="O886" s="44" t="n"/>
    </row>
    <row r="887" ht="15.75" customHeight="1" s="307">
      <c r="O887" s="44" t="n"/>
    </row>
    <row r="888" ht="15.75" customHeight="1" s="307">
      <c r="O888" s="44" t="n"/>
    </row>
    <row r="889" ht="15.75" customHeight="1" s="307">
      <c r="O889" s="44" t="n"/>
    </row>
    <row r="890" ht="15.75" customHeight="1" s="307">
      <c r="O890" s="44" t="n"/>
    </row>
    <row r="891" ht="15.75" customHeight="1" s="307">
      <c r="O891" s="44" t="n"/>
    </row>
    <row r="892" ht="15.75" customHeight="1" s="307">
      <c r="O892" s="44" t="n"/>
    </row>
    <row r="893" ht="15.75" customHeight="1" s="307">
      <c r="O893" s="44" t="n"/>
    </row>
    <row r="894" ht="15.75" customHeight="1" s="307">
      <c r="O894" s="44" t="n"/>
    </row>
    <row r="895" ht="15.75" customHeight="1" s="307">
      <c r="O895" s="44" t="n"/>
    </row>
    <row r="896" ht="15.75" customHeight="1" s="307">
      <c r="O896" s="44" t="n"/>
    </row>
    <row r="897" ht="15.75" customHeight="1" s="307">
      <c r="O897" s="44" t="n"/>
    </row>
    <row r="898" ht="15.75" customHeight="1" s="307">
      <c r="O898" s="44" t="n"/>
    </row>
    <row r="899" ht="15.75" customHeight="1" s="307">
      <c r="O899" s="44" t="n"/>
    </row>
    <row r="900" ht="15.75" customHeight="1" s="307">
      <c r="O900" s="44" t="n"/>
    </row>
    <row r="901" ht="15.75" customHeight="1" s="307">
      <c r="O901" s="44" t="n"/>
    </row>
    <row r="902" ht="15.75" customHeight="1" s="307">
      <c r="O902" s="44" t="n"/>
    </row>
    <row r="903" ht="15.75" customHeight="1" s="307">
      <c r="O903" s="44" t="n"/>
    </row>
    <row r="904" ht="15.75" customHeight="1" s="307">
      <c r="O904" s="44" t="n"/>
    </row>
    <row r="905" ht="15.75" customHeight="1" s="307">
      <c r="O905" s="44" t="n"/>
    </row>
    <row r="906" ht="15.75" customHeight="1" s="307">
      <c r="O906" s="44" t="n"/>
    </row>
    <row r="907" ht="15.75" customHeight="1" s="307">
      <c r="O907" s="44" t="n"/>
    </row>
    <row r="908" ht="15.75" customHeight="1" s="307">
      <c r="O908" s="44" t="n"/>
    </row>
    <row r="909" ht="15.75" customHeight="1" s="307">
      <c r="O909" s="44" t="n"/>
    </row>
    <row r="910" ht="15.75" customHeight="1" s="307">
      <c r="O910" s="44" t="n"/>
    </row>
    <row r="911" ht="15.75" customHeight="1" s="307">
      <c r="O911" s="44" t="n"/>
    </row>
    <row r="912" ht="15.75" customHeight="1" s="307">
      <c r="O912" s="44" t="n"/>
    </row>
    <row r="913" ht="15.75" customHeight="1" s="307">
      <c r="O913" s="44" t="n"/>
    </row>
    <row r="914" ht="15.75" customHeight="1" s="307">
      <c r="O914" s="44" t="n"/>
    </row>
    <row r="915" ht="15.75" customHeight="1" s="307">
      <c r="O915" s="44" t="n"/>
    </row>
    <row r="916" ht="15.75" customHeight="1" s="307">
      <c r="O916" s="44" t="n"/>
    </row>
    <row r="917" ht="15.75" customHeight="1" s="307">
      <c r="O917" s="44" t="n"/>
    </row>
    <row r="918" ht="15.75" customHeight="1" s="307">
      <c r="O918" s="44" t="n"/>
    </row>
    <row r="919" ht="15.75" customHeight="1" s="307">
      <c r="O919" s="44" t="n"/>
    </row>
    <row r="920" ht="15.75" customHeight="1" s="307">
      <c r="O920" s="44" t="n"/>
    </row>
    <row r="921" ht="15.75" customHeight="1" s="307">
      <c r="O921" s="44" t="n"/>
    </row>
    <row r="922" ht="15.75" customHeight="1" s="307">
      <c r="O922" s="44" t="n"/>
    </row>
    <row r="923" ht="15.75" customHeight="1" s="307">
      <c r="O923" s="44" t="n"/>
    </row>
    <row r="924" ht="15.75" customHeight="1" s="307">
      <c r="O924" s="44" t="n"/>
    </row>
    <row r="925" ht="15.75" customHeight="1" s="307">
      <c r="O925" s="44" t="n"/>
    </row>
    <row r="926" ht="15.75" customHeight="1" s="307">
      <c r="O926" s="44" t="n"/>
    </row>
    <row r="927" ht="15.75" customHeight="1" s="307">
      <c r="O927" s="44" t="n"/>
    </row>
    <row r="928" ht="15.75" customHeight="1" s="307">
      <c r="O928" s="44" t="n"/>
    </row>
    <row r="929" ht="15.75" customHeight="1" s="307">
      <c r="O929" s="44" t="n"/>
    </row>
    <row r="930" ht="15.75" customHeight="1" s="307">
      <c r="O930" s="44" t="n"/>
    </row>
    <row r="931" ht="15.75" customHeight="1" s="307">
      <c r="O931" s="44" t="n"/>
    </row>
    <row r="932" ht="15.75" customHeight="1" s="307">
      <c r="O932" s="44" t="n"/>
    </row>
    <row r="933" ht="15.75" customHeight="1" s="307">
      <c r="O933" s="44" t="n"/>
    </row>
    <row r="934" ht="15.75" customHeight="1" s="307">
      <c r="O934" s="44" t="n"/>
    </row>
    <row r="935" ht="15.75" customHeight="1" s="307">
      <c r="O935" s="44" t="n"/>
    </row>
    <row r="936" ht="15.75" customHeight="1" s="307">
      <c r="O936" s="44" t="n"/>
    </row>
    <row r="937" ht="15.75" customHeight="1" s="307">
      <c r="O937" s="44" t="n"/>
    </row>
    <row r="938" ht="15.75" customHeight="1" s="307">
      <c r="O938" s="44" t="n"/>
    </row>
    <row r="939" ht="15.75" customHeight="1" s="307">
      <c r="O939" s="44" t="n"/>
    </row>
    <row r="940" ht="15.75" customHeight="1" s="307">
      <c r="O940" s="44" t="n"/>
    </row>
    <row r="941" ht="15.75" customHeight="1" s="307">
      <c r="O941" s="44" t="n"/>
    </row>
    <row r="942" ht="15.75" customHeight="1" s="307">
      <c r="O942" s="44" t="n"/>
    </row>
    <row r="943" ht="15.75" customHeight="1" s="307">
      <c r="O943" s="44" t="n"/>
    </row>
    <row r="944" ht="15.75" customHeight="1" s="307">
      <c r="O944" s="44" t="n"/>
    </row>
    <row r="945" ht="15.75" customHeight="1" s="307">
      <c r="O945" s="44" t="n"/>
    </row>
    <row r="946" ht="15.75" customHeight="1" s="307">
      <c r="O946" s="44" t="n"/>
    </row>
    <row r="947" ht="15.75" customHeight="1" s="307">
      <c r="O947" s="44" t="n"/>
    </row>
    <row r="948" ht="15.75" customHeight="1" s="307">
      <c r="O948" s="44" t="n"/>
    </row>
    <row r="949" ht="15.75" customHeight="1" s="307">
      <c r="O949" s="44" t="n"/>
    </row>
    <row r="950" ht="15.75" customHeight="1" s="307">
      <c r="O950" s="44" t="n"/>
    </row>
    <row r="951" ht="15.75" customHeight="1" s="307">
      <c r="O951" s="44" t="n"/>
    </row>
    <row r="952" ht="15.75" customHeight="1" s="307">
      <c r="O952" s="44" t="n"/>
    </row>
    <row r="953" ht="15.75" customHeight="1" s="307">
      <c r="O953" s="44" t="n"/>
    </row>
    <row r="954" ht="15.75" customHeight="1" s="307">
      <c r="O954" s="44" t="n"/>
    </row>
    <row r="955" ht="15.75" customHeight="1" s="307">
      <c r="O955" s="44" t="n"/>
    </row>
    <row r="956" ht="15.75" customHeight="1" s="307">
      <c r="O956" s="44" t="n"/>
    </row>
    <row r="957" ht="15.75" customHeight="1" s="307">
      <c r="O957" s="44" t="n"/>
    </row>
    <row r="958" ht="15.75" customHeight="1" s="307">
      <c r="O958" s="44" t="n"/>
    </row>
    <row r="959" ht="15.75" customHeight="1" s="307">
      <c r="O959" s="44" t="n"/>
    </row>
    <row r="960" ht="15.75" customHeight="1" s="307">
      <c r="O960" s="44" t="n"/>
    </row>
    <row r="961" ht="15.75" customHeight="1" s="307">
      <c r="O961" s="44" t="n"/>
    </row>
    <row r="962" ht="15.75" customHeight="1" s="307">
      <c r="O962" s="44" t="n"/>
    </row>
    <row r="963" ht="15.75" customHeight="1" s="307">
      <c r="O963" s="44" t="n"/>
    </row>
    <row r="964" ht="15.75" customHeight="1" s="307">
      <c r="O964" s="44" t="n"/>
    </row>
    <row r="965" ht="15.75" customHeight="1" s="307">
      <c r="O965" s="44" t="n"/>
    </row>
    <row r="966" ht="15.75" customHeight="1" s="307">
      <c r="O966" s="44" t="n"/>
    </row>
    <row r="967" ht="15.75" customHeight="1" s="307">
      <c r="O967" s="44" t="n"/>
    </row>
    <row r="968" ht="15.75" customHeight="1" s="307">
      <c r="O968" s="44" t="n"/>
    </row>
    <row r="969" ht="15.75" customHeight="1" s="307">
      <c r="O969" s="44" t="n"/>
    </row>
    <row r="970" ht="15.75" customHeight="1" s="307">
      <c r="O970" s="44" t="n"/>
    </row>
    <row r="971" ht="15.75" customHeight="1" s="307">
      <c r="O971" s="44" t="n"/>
    </row>
    <row r="972" ht="15.75" customHeight="1" s="307">
      <c r="O972" s="44" t="n"/>
    </row>
    <row r="973" ht="15.75" customHeight="1" s="307">
      <c r="O973" s="44" t="n"/>
    </row>
    <row r="974" ht="15.75" customHeight="1" s="307">
      <c r="O974" s="44" t="n"/>
    </row>
    <row r="975" ht="15.75" customHeight="1" s="307">
      <c r="O975" s="44" t="n"/>
    </row>
    <row r="976" ht="15.75" customHeight="1" s="307">
      <c r="O976" s="44" t="n"/>
    </row>
    <row r="977" ht="15.75" customHeight="1" s="307">
      <c r="O977" s="44" t="n"/>
    </row>
    <row r="978" ht="15.75" customHeight="1" s="307">
      <c r="O978" s="44" t="n"/>
    </row>
    <row r="979" ht="15.75" customHeight="1" s="307">
      <c r="O979" s="44" t="n"/>
    </row>
    <row r="980" ht="15.75" customHeight="1" s="307">
      <c r="O980" s="44" t="n"/>
    </row>
    <row r="981" ht="15.75" customHeight="1" s="307">
      <c r="O981" s="44" t="n"/>
    </row>
    <row r="982" ht="15.75" customHeight="1" s="307">
      <c r="O982" s="44" t="n"/>
    </row>
    <row r="983" ht="15.75" customHeight="1" s="307">
      <c r="O983" s="44" t="n"/>
    </row>
    <row r="984" ht="15.75" customHeight="1" s="307">
      <c r="O984" s="44" t="n"/>
    </row>
    <row r="985" ht="15.75" customHeight="1" s="307">
      <c r="O985" s="44" t="n"/>
    </row>
    <row r="986" ht="15.75" customHeight="1" s="307">
      <c r="O986" s="44" t="n"/>
    </row>
    <row r="987" ht="15.75" customHeight="1" s="307">
      <c r="O987" s="44" t="n"/>
    </row>
    <row r="988" ht="15.75" customHeight="1" s="307">
      <c r="O988" s="44" t="n"/>
    </row>
    <row r="989" ht="15.75" customHeight="1" s="307">
      <c r="O989" s="44" t="n"/>
    </row>
    <row r="990" ht="15.75" customHeight="1" s="307">
      <c r="O990" s="44" t="n"/>
    </row>
    <row r="991" ht="15.75" customHeight="1" s="307">
      <c r="O991" s="44" t="n"/>
    </row>
    <row r="992" ht="15.75" customHeight="1" s="307">
      <c r="O992" s="44" t="n"/>
    </row>
    <row r="993" ht="15.75" customHeight="1" s="307">
      <c r="O993" s="44" t="n"/>
    </row>
    <row r="994" ht="15.75" customHeight="1" s="307">
      <c r="O994" s="44" t="n"/>
    </row>
    <row r="995" ht="15.75" customHeight="1" s="307">
      <c r="O995" s="44" t="n"/>
    </row>
    <row r="996" ht="15.75" customHeight="1" s="307">
      <c r="O996" s="44" t="n"/>
    </row>
    <row r="997" ht="15.75" customHeight="1" s="307">
      <c r="O997" s="44" t="n"/>
    </row>
    <row r="998" ht="15.75" customHeight="1" s="307">
      <c r="O998" s="44" t="n"/>
    </row>
    <row r="999" ht="15.75" customHeight="1" s="307">
      <c r="O999" s="44" t="n"/>
    </row>
    <row r="1000" ht="15.75" customHeight="1" s="307">
      <c r="O1000" s="44" t="n"/>
    </row>
  </sheetData>
  <mergeCells count="91">
    <mergeCell ref="CY2:DB2"/>
    <mergeCell ref="BM2:BR2"/>
    <mergeCell ref="EA3:EA4"/>
    <mergeCell ref="AG2:AL2"/>
    <mergeCell ref="CS2:CX2"/>
    <mergeCell ref="DY3:DY4"/>
    <mergeCell ref="BR3:BR4"/>
    <mergeCell ref="DJ3:DJ4"/>
    <mergeCell ref="EB3:EB4"/>
    <mergeCell ref="DN2:DQ2"/>
    <mergeCell ref="EP3:EP4"/>
    <mergeCell ref="CF3:CF4"/>
    <mergeCell ref="DH1:DV1"/>
    <mergeCell ref="BM1:BZ1"/>
    <mergeCell ref="CT3:CT4"/>
    <mergeCell ref="AG3:AG4"/>
    <mergeCell ref="AI3:AI4"/>
    <mergeCell ref="CU3:CU4"/>
    <mergeCell ref="CW3:CW4"/>
    <mergeCell ref="ET2:EW2"/>
    <mergeCell ref="DI3:DI4"/>
    <mergeCell ref="AG1:AU1"/>
    <mergeCell ref="Q3:Q4"/>
    <mergeCell ref="AY3:AY4"/>
    <mergeCell ref="S3:S4"/>
    <mergeCell ref="AQ2:AT2"/>
    <mergeCell ref="EN2:ES2"/>
    <mergeCell ref="BM3:BM4"/>
    <mergeCell ref="CE3:CE4"/>
    <mergeCell ref="DM3:DM4"/>
    <mergeCell ref="BG2:BJ2"/>
    <mergeCell ref="CG3:CG4"/>
    <mergeCell ref="AA2:AD2"/>
    <mergeCell ref="BN3:BN4"/>
    <mergeCell ref="BP3:BP4"/>
    <mergeCell ref="AJ3:AJ4"/>
    <mergeCell ref="ES3:ES4"/>
    <mergeCell ref="AL3:AL4"/>
    <mergeCell ref="AX3:AX4"/>
    <mergeCell ref="AZ3:AZ4"/>
    <mergeCell ref="CC2:CH2"/>
    <mergeCell ref="DL3:DL4"/>
    <mergeCell ref="T3:T4"/>
    <mergeCell ref="DZ3:DZ4"/>
    <mergeCell ref="DX3:DX4"/>
    <mergeCell ref="DX1:EL1"/>
    <mergeCell ref="DR2:DU2"/>
    <mergeCell ref="ED2:EG2"/>
    <mergeCell ref="W2:Z2"/>
    <mergeCell ref="EX2:FA2"/>
    <mergeCell ref="ER3:ER4"/>
    <mergeCell ref="BS2:BV2"/>
    <mergeCell ref="CS3:CS4"/>
    <mergeCell ref="Q1:AE1"/>
    <mergeCell ref="AM2:AP2"/>
    <mergeCell ref="AW1:BK1"/>
    <mergeCell ref="CS1:DG1"/>
    <mergeCell ref="BC2:BF2"/>
    <mergeCell ref="DK3:DK4"/>
    <mergeCell ref="Q2:V2"/>
    <mergeCell ref="DC2:DF2"/>
    <mergeCell ref="R3:R4"/>
    <mergeCell ref="EC3:EC4"/>
    <mergeCell ref="CD3:CD4"/>
    <mergeCell ref="CM2:CP2"/>
    <mergeCell ref="AH3:AH4"/>
    <mergeCell ref="A1:O1"/>
    <mergeCell ref="CH3:CH4"/>
    <mergeCell ref="CV3:CV4"/>
    <mergeCell ref="EN3:EN4"/>
    <mergeCell ref="CX3:CX4"/>
    <mergeCell ref="AK3:AK4"/>
    <mergeCell ref="AW3:AW4"/>
    <mergeCell ref="EN1:FB1"/>
    <mergeCell ref="DH3:DH4"/>
    <mergeCell ref="BA3:BA4"/>
    <mergeCell ref="DX2:EC2"/>
    <mergeCell ref="U3:U4"/>
    <mergeCell ref="BO3:BO4"/>
    <mergeCell ref="BQ3:BQ4"/>
    <mergeCell ref="EH2:EK2"/>
    <mergeCell ref="CC3:CC4"/>
    <mergeCell ref="DH2:DM2"/>
    <mergeCell ref="BW2:BZ2"/>
    <mergeCell ref="CI2:CL2"/>
    <mergeCell ref="EQ3:EQ4"/>
    <mergeCell ref="AW2:BB2"/>
    <mergeCell ref="V3:V4"/>
    <mergeCell ref="CC1:CQ1"/>
    <mergeCell ref="EO3:EO4"/>
    <mergeCell ref="BB3:BB4"/>
  </mergeCells>
  <pageMargins left="0.25" right="0.25" top="0.75" bottom="0.75" header="0" footer="0"/>
  <pageSetup orientation="portrait" paperSize="9"/>
  <colBreaks count="4" manualBreakCount="4">
    <brk id="126" min="0" max="16383" man="1"/>
    <brk id="63" min="0" max="16383" man="1"/>
    <brk id="95" min="0" max="16383" man="1"/>
    <brk id="31" min="0" max="16383" man="1"/>
  </colBreaks>
  <legacyDrawing xmlns:r="http://schemas.openxmlformats.org/officeDocument/2006/relationships" r:id="anysvml"/>
</worksheet>
</file>

<file path=xl/worksheets/sheet8.xml><?xml version="1.0" encoding="utf-8"?>
<worksheet xmlns="http://schemas.openxmlformats.org/spreadsheetml/2006/main">
  <sheetPr>
    <tabColor rgb="FF92D050"/>
    <outlinePr summaryBelow="1" summaryRight="1"/>
    <pageSetUpPr fitToPage="1"/>
  </sheetPr>
  <dimension ref="A1:Z1000"/>
  <sheetViews>
    <sheetView workbookViewId="0">
      <selection activeCell="E15" sqref="E15"/>
    </sheetView>
  </sheetViews>
  <sheetFormatPr baseColWidth="8" defaultColWidth="14.44140625" defaultRowHeight="15" customHeight="1"/>
  <cols>
    <col width="8.88671875" customWidth="1" style="307" min="1" max="1"/>
    <col width="9.6640625" customWidth="1" style="307" min="2" max="2"/>
    <col width="5.109375" customWidth="1" style="307" min="3" max="3"/>
    <col width="5" customWidth="1" style="307" min="4" max="4"/>
    <col width="27.44140625" customWidth="1" style="307" min="5" max="5"/>
    <col width="13.109375" customWidth="1" style="307" min="6" max="6"/>
    <col width="7.33203125" customWidth="1" style="307" min="7" max="7"/>
    <col width="11.5546875" customWidth="1" style="307" min="8" max="8"/>
    <col width="6.44140625" customWidth="1" style="307" min="9" max="9"/>
    <col width="7" customWidth="1" style="307" min="10" max="10"/>
    <col width="12" customWidth="1" style="307" min="11" max="11"/>
    <col width="5.44140625" customWidth="1" style="307" min="12" max="12"/>
    <col width="6" customWidth="1" style="307" min="13" max="13"/>
    <col width="6.6640625" customWidth="1" style="307" min="14" max="14"/>
    <col width="13.88671875" customWidth="1" style="307" min="15" max="15"/>
    <col width="9.109375" customWidth="1" style="307" min="16" max="16"/>
    <col width="3" customWidth="1" style="307" min="17" max="17"/>
    <col width="21.6640625" customWidth="1" style="307" min="18" max="18"/>
    <col width="9.33203125" customWidth="1" style="307" min="19" max="19"/>
    <col width="9.109375" customWidth="1" style="307" min="20" max="22"/>
    <col width="10.88671875" customWidth="1" style="307" min="23" max="23"/>
    <col width="9.109375" customWidth="1" style="307" min="24" max="26"/>
  </cols>
  <sheetData>
    <row r="1" ht="20.4" customHeight="1" s="307">
      <c r="A1" s="428" t="inlineStr">
        <is>
          <t>PRICE LIST OF RAD-HEAT GAS HEATING ELEMENTS (W.E.F Aug'22)</t>
        </is>
      </c>
      <c r="J1" s="3" t="n"/>
      <c r="K1" s="3" t="n"/>
      <c r="L1" s="3" t="n"/>
      <c r="M1" s="3" t="n"/>
      <c r="N1" s="3" t="n"/>
      <c r="O1" s="3" t="n"/>
      <c r="P1" s="3" t="n"/>
      <c r="Q1" s="3" t="n"/>
      <c r="R1" s="3" t="n"/>
      <c r="S1" s="3" t="n"/>
      <c r="T1" s="3" t="n"/>
      <c r="U1" s="3" t="n"/>
      <c r="V1" s="3" t="n"/>
      <c r="W1" s="3" t="n"/>
      <c r="X1" s="3" t="n"/>
      <c r="Y1" s="3" t="n"/>
      <c r="Z1" s="3" t="n"/>
    </row>
    <row r="2" ht="15.6" customHeight="1" s="307">
      <c r="A2" s="177" t="n"/>
      <c r="B2" s="3" t="n"/>
      <c r="C2" s="3" t="n"/>
      <c r="D2" s="3" t="n"/>
      <c r="E2" s="3" t="n"/>
      <c r="F2" s="3" t="n"/>
      <c r="G2" s="3" t="n"/>
      <c r="H2" s="26" t="inlineStr">
        <is>
          <t>Mtr</t>
        </is>
      </c>
      <c r="I2" s="26" t="n"/>
      <c r="J2" s="26" t="inlineStr">
        <is>
          <t>MS</t>
        </is>
      </c>
      <c r="K2" s="26" t="inlineStr">
        <is>
          <t>SS</t>
        </is>
      </c>
      <c r="L2" s="26" t="inlineStr">
        <is>
          <t>MS</t>
        </is>
      </c>
      <c r="M2" s="26" t="inlineStr">
        <is>
          <t>SS</t>
        </is>
      </c>
      <c r="N2" s="26" t="inlineStr">
        <is>
          <t>MS</t>
        </is>
      </c>
      <c r="O2" s="26" t="inlineStr">
        <is>
          <t>SS</t>
        </is>
      </c>
      <c r="P2" s="3" t="n"/>
      <c r="Q2" s="3" t="n"/>
      <c r="R2" s="3" t="n"/>
      <c r="S2" s="3" t="n"/>
      <c r="T2" s="3" t="n"/>
      <c r="U2" s="3" t="n"/>
      <c r="V2" s="3" t="n"/>
      <c r="W2" s="3" t="n"/>
      <c r="X2" s="3" t="n"/>
      <c r="Y2" s="3" t="n"/>
      <c r="Z2" s="3" t="n"/>
    </row>
    <row r="3" ht="14.4" customHeight="1" s="307">
      <c r="A3" s="429" t="inlineStr">
        <is>
          <t xml:space="preserve">MODEL </t>
        </is>
      </c>
      <c r="B3" s="430" t="inlineStr">
        <is>
          <t>OUTPUT</t>
        </is>
      </c>
      <c r="C3" s="430" t="inlineStr">
        <is>
          <t xml:space="preserve">NOMINAL GAS PER BURNER M³/HR          </t>
        </is>
      </c>
      <c r="D3" s="431" t="n"/>
      <c r="E3" s="216" t="inlineStr">
        <is>
          <t>PRICE WITH SS TUBING</t>
        </is>
      </c>
      <c r="F3" s="3" t="n"/>
      <c r="G3" s="26" t="inlineStr">
        <is>
          <t>Dia</t>
        </is>
      </c>
      <c r="H3" s="26" t="inlineStr">
        <is>
          <t>Tube length</t>
        </is>
      </c>
      <c r="I3" s="26" t="inlineStr">
        <is>
          <t>Elbow</t>
        </is>
      </c>
      <c r="J3" s="7" t="inlineStr">
        <is>
          <t>Tube Cost</t>
        </is>
      </c>
      <c r="K3" s="394" t="n"/>
      <c r="L3" s="7" t="inlineStr">
        <is>
          <t>Elbow Cost</t>
        </is>
      </c>
      <c r="M3" s="394" t="n"/>
      <c r="N3" s="7" t="inlineStr">
        <is>
          <t>total Cost</t>
        </is>
      </c>
      <c r="O3" s="394" t="n"/>
      <c r="P3" s="3" t="n"/>
      <c r="Q3" s="3" t="n"/>
      <c r="R3" s="3" t="n"/>
      <c r="S3" s="3" t="n"/>
      <c r="T3" s="3" t="n"/>
      <c r="U3" s="3" t="n"/>
      <c r="V3" s="3" t="n"/>
      <c r="W3" s="3" t="n"/>
      <c r="X3" s="3" t="n"/>
      <c r="Y3" s="3" t="n"/>
      <c r="Z3" s="3" t="n"/>
    </row>
    <row r="4" ht="15.6" customHeight="1" s="307">
      <c r="A4" s="432" t="n"/>
      <c r="B4" s="426" t="n"/>
      <c r="C4" s="178" t="inlineStr">
        <is>
          <t>LPG</t>
        </is>
      </c>
      <c r="D4" s="178" t="inlineStr">
        <is>
          <t>NG</t>
        </is>
      </c>
      <c r="E4" s="433" t="n"/>
      <c r="F4" s="3" t="n"/>
      <c r="G4" s="26" t="n"/>
      <c r="H4" s="26" t="n"/>
      <c r="I4" s="26" t="n"/>
      <c r="J4" s="26" t="n"/>
      <c r="K4" s="26" t="n"/>
      <c r="L4" s="26" t="n"/>
      <c r="M4" s="26" t="n"/>
      <c r="N4" s="26" t="n"/>
      <c r="O4" s="26" t="n"/>
      <c r="P4" s="3" t="n"/>
      <c r="Q4" s="4">
        <f>Rates!A19</f>
        <v/>
      </c>
      <c r="R4" s="4">
        <f>Rates!B19</f>
        <v/>
      </c>
      <c r="S4" s="4">
        <f>Rates!C19</f>
        <v/>
      </c>
      <c r="T4" s="3" t="n"/>
      <c r="U4" s="3" t="n"/>
      <c r="V4" s="3" t="n"/>
      <c r="W4" s="3" t="n"/>
      <c r="X4" s="3" t="n"/>
      <c r="Y4" s="3" t="n"/>
      <c r="Z4" s="3" t="n"/>
    </row>
    <row r="5" ht="15.6" customHeight="1" s="307">
      <c r="A5" s="179" t="inlineStr">
        <is>
          <t>ARE-13</t>
        </is>
      </c>
      <c r="B5" s="180" t="inlineStr">
        <is>
          <t xml:space="preserve">   9 KW</t>
        </is>
      </c>
      <c r="C5" s="180" t="n">
        <v>0.43</v>
      </c>
      <c r="D5" s="180" t="n">
        <v>1.11</v>
      </c>
      <c r="E5" s="181">
        <f>E15+E19+(O5*4)</f>
        <v/>
      </c>
      <c r="F5" s="434" t="n"/>
      <c r="G5" s="183" t="n">
        <v>60</v>
      </c>
      <c r="H5" s="183" t="n">
        <v>6</v>
      </c>
      <c r="I5" s="26" t="n">
        <v>8</v>
      </c>
      <c r="J5" s="26">
        <f>H5*Rates!$C$23</f>
        <v/>
      </c>
      <c r="K5" s="409">
        <f>H5*Rates!C30*Rates!G30</f>
        <v/>
      </c>
      <c r="L5" s="26" t="n"/>
      <c r="M5" s="26">
        <f>I5*Rates!C36</f>
        <v/>
      </c>
      <c r="N5" s="26">
        <f>J5+L5</f>
        <v/>
      </c>
      <c r="O5" s="409">
        <f>K5+M5</f>
        <v/>
      </c>
      <c r="P5" s="3" t="n"/>
      <c r="Q5" s="4">
        <f>Rates!A20</f>
        <v/>
      </c>
      <c r="R5" s="4">
        <f>Rates!B20</f>
        <v/>
      </c>
      <c r="S5" s="4">
        <f>Rates!C20</f>
        <v/>
      </c>
      <c r="T5" s="3" t="n"/>
      <c r="U5" s="3" t="n"/>
      <c r="V5" s="3" t="n"/>
      <c r="W5" s="3" t="n"/>
      <c r="X5" s="3" t="n"/>
      <c r="Y5" s="3" t="n"/>
      <c r="Z5" s="3" t="n"/>
    </row>
    <row r="6" ht="15.6" customHeight="1" s="307">
      <c r="A6" s="179" t="inlineStr">
        <is>
          <t>ARE-22</t>
        </is>
      </c>
      <c r="B6" s="180" t="inlineStr">
        <is>
          <t xml:space="preserve"> 17 KW</t>
        </is>
      </c>
      <c r="C6" s="180" t="n">
        <v>0.75</v>
      </c>
      <c r="D6" s="180" t="n">
        <v>2</v>
      </c>
      <c r="E6" s="181">
        <f>E16+E19+(O6*4)</f>
        <v/>
      </c>
      <c r="F6" s="434" t="n"/>
      <c r="G6" s="183" t="n">
        <v>76</v>
      </c>
      <c r="H6" s="183" t="n">
        <v>8</v>
      </c>
      <c r="I6" s="26" t="n">
        <v>8</v>
      </c>
      <c r="J6" s="26">
        <f>H6*Rates!$C$23</f>
        <v/>
      </c>
      <c r="K6" s="409">
        <f>H6*Rates!C31*Rates!G31</f>
        <v/>
      </c>
      <c r="L6" s="26" t="n"/>
      <c r="M6" s="26">
        <f>I6*Rates!C37</f>
        <v/>
      </c>
      <c r="N6" s="26">
        <f>J6+L6</f>
        <v/>
      </c>
      <c r="O6" s="409">
        <f>K6+M6</f>
        <v/>
      </c>
      <c r="P6" s="3" t="n"/>
      <c r="Q6" s="4">
        <f>Rates!A21</f>
        <v/>
      </c>
      <c r="R6" s="4">
        <f>Rates!B21</f>
        <v/>
      </c>
      <c r="S6" s="4">
        <f>Rates!C21</f>
        <v/>
      </c>
      <c r="T6" s="3" t="n"/>
      <c r="U6" s="3" t="n"/>
      <c r="V6" s="3" t="n"/>
      <c r="W6" s="3" t="n"/>
      <c r="X6" s="3" t="n"/>
      <c r="Y6" s="3" t="n"/>
      <c r="Z6" s="3" t="n"/>
    </row>
    <row r="7" ht="15.6" customHeight="1" s="307">
      <c r="A7" s="179" t="inlineStr">
        <is>
          <t>ARE-35</t>
        </is>
      </c>
      <c r="B7" s="180" t="inlineStr">
        <is>
          <t xml:space="preserve"> 30 KW</t>
        </is>
      </c>
      <c r="C7" s="180" t="n">
        <v>1.39</v>
      </c>
      <c r="D7" s="180" t="n">
        <v>3.53</v>
      </c>
      <c r="E7" s="181">
        <f>E17+E20+(O7*4)</f>
        <v/>
      </c>
      <c r="F7" s="434" t="n"/>
      <c r="G7" s="183" t="n">
        <v>100</v>
      </c>
      <c r="H7" s="183" t="n">
        <v>10.5</v>
      </c>
      <c r="I7" s="26" t="n">
        <v>8</v>
      </c>
      <c r="J7" s="26">
        <f>H7*Rates!$C$23</f>
        <v/>
      </c>
      <c r="K7" s="409">
        <f>H7*Rates!C32*Rates!G32</f>
        <v/>
      </c>
      <c r="L7" s="26" t="n"/>
      <c r="M7" s="26">
        <f>I7*Rates!C38</f>
        <v/>
      </c>
      <c r="N7" s="26">
        <f>J7+L7</f>
        <v/>
      </c>
      <c r="O7" s="409">
        <f>K7+M7</f>
        <v/>
      </c>
      <c r="P7" s="3" t="n"/>
      <c r="Q7" s="4">
        <f>Rates!A22</f>
        <v/>
      </c>
      <c r="R7" s="4">
        <f>Rates!B22</f>
        <v/>
      </c>
      <c r="S7" s="4">
        <f>Rates!C22</f>
        <v/>
      </c>
      <c r="T7" s="3" t="n"/>
      <c r="U7" s="3" t="n"/>
      <c r="V7" s="3" t="n"/>
      <c r="W7" s="3" t="n"/>
      <c r="X7" s="3" t="n"/>
      <c r="Y7" s="3" t="n"/>
      <c r="Z7" s="3" t="n"/>
    </row>
    <row r="8" ht="15.6" customHeight="1" s="307">
      <c r="A8" s="184" t="inlineStr">
        <is>
          <t>ARE-50</t>
        </is>
      </c>
      <c r="B8" s="185" t="inlineStr">
        <is>
          <t xml:space="preserve"> 40 KW</t>
        </is>
      </c>
      <c r="C8" s="185" t="n">
        <v>1.91</v>
      </c>
      <c r="D8" s="185" t="n">
        <v>4.67</v>
      </c>
      <c r="E8" s="186">
        <f>E18+E20+(O8*4)</f>
        <v/>
      </c>
      <c r="F8" s="434" t="n"/>
      <c r="G8" s="183" t="n">
        <v>100</v>
      </c>
      <c r="H8" s="183" t="n">
        <v>12</v>
      </c>
      <c r="I8" s="26" t="n">
        <v>8</v>
      </c>
      <c r="J8" s="26">
        <f>H8*Rates!$C$23</f>
        <v/>
      </c>
      <c r="K8" s="409">
        <f>H8*Rates!C32*Rates!G32</f>
        <v/>
      </c>
      <c r="L8" s="26" t="n"/>
      <c r="M8" s="26">
        <f>I8*Rates!C38</f>
        <v/>
      </c>
      <c r="N8" s="26">
        <f>J8+L8</f>
        <v/>
      </c>
      <c r="O8" s="409">
        <f>K8+M8</f>
        <v/>
      </c>
      <c r="P8" s="3" t="n"/>
      <c r="Q8" s="4">
        <f>Rates!A23</f>
        <v/>
      </c>
      <c r="R8" s="4">
        <f>Rates!B23</f>
        <v/>
      </c>
      <c r="S8" s="4">
        <f>Rates!C23</f>
        <v/>
      </c>
      <c r="T8" s="3" t="n"/>
      <c r="U8" s="3" t="n"/>
      <c r="V8" s="3" t="n"/>
      <c r="W8" s="3" t="n"/>
      <c r="X8" s="3" t="n"/>
      <c r="Y8" s="3" t="n"/>
      <c r="Z8" s="3" t="n"/>
    </row>
    <row r="9" ht="15.6" customHeight="1" s="307">
      <c r="A9" s="177" t="n"/>
      <c r="B9" s="3" t="n"/>
      <c r="C9" s="3" t="n"/>
      <c r="D9" s="3" t="n"/>
      <c r="E9" s="3" t="n"/>
      <c r="F9" s="3" t="n"/>
      <c r="G9" s="3" t="n"/>
      <c r="H9" s="3" t="n"/>
      <c r="I9" s="3" t="n"/>
      <c r="J9" s="3" t="n"/>
      <c r="K9" s="3" t="n"/>
      <c r="L9" s="3" t="n"/>
      <c r="M9" s="3" t="n"/>
      <c r="N9" s="3" t="n"/>
      <c r="O9" s="3" t="n"/>
      <c r="P9" s="3" t="n"/>
      <c r="Q9" s="4">
        <f>Rates!A24</f>
        <v/>
      </c>
      <c r="R9" s="4">
        <f>Rates!B24</f>
        <v/>
      </c>
      <c r="S9" s="4">
        <f>Rates!C24</f>
        <v/>
      </c>
      <c r="T9" s="3" t="n"/>
      <c r="U9" s="3" t="n"/>
      <c r="V9" s="3" t="n"/>
      <c r="W9" s="3" t="n"/>
      <c r="X9" s="3" t="n"/>
      <c r="Y9" s="3" t="n"/>
      <c r="Z9" s="3" t="n"/>
    </row>
    <row r="10" ht="18" customHeight="1" s="307">
      <c r="A10" s="435" t="inlineStr">
        <is>
          <t xml:space="preserve">              SPARES PRICE FOR AMBIRAD</t>
        </is>
      </c>
      <c r="F10" s="3" t="n"/>
      <c r="G10" s="3" t="n"/>
      <c r="H10" s="3" t="n"/>
      <c r="I10" s="3" t="n"/>
      <c r="J10" s="3" t="n"/>
      <c r="K10" s="3" t="n"/>
      <c r="L10" s="3" t="n"/>
      <c r="M10" s="3" t="n"/>
      <c r="N10" s="3" t="n"/>
      <c r="O10" s="3" t="n"/>
      <c r="P10" s="3" t="n"/>
      <c r="Q10" s="4">
        <f>Rates!A25</f>
        <v/>
      </c>
      <c r="R10" s="4">
        <f>Rates!B25</f>
        <v/>
      </c>
      <c r="S10" s="4">
        <f>Rates!C25</f>
        <v/>
      </c>
      <c r="T10" s="3" t="n"/>
      <c r="U10" s="3" t="n"/>
      <c r="V10" s="3" t="n"/>
      <c r="W10" s="3" t="n"/>
      <c r="X10" s="3" t="n"/>
      <c r="Y10" s="3" t="n"/>
      <c r="Z10" s="3" t="n"/>
    </row>
    <row r="11" ht="15.6" customHeight="1" s="307">
      <c r="A11" s="177" t="n"/>
      <c r="B11" s="3" t="n"/>
      <c r="C11" s="3" t="n"/>
      <c r="D11" s="3" t="n"/>
      <c r="E11" s="3" t="n"/>
      <c r="F11" s="3" t="n"/>
      <c r="G11" s="3" t="n"/>
      <c r="H11" s="3" t="n"/>
      <c r="I11" s="3" t="n"/>
      <c r="J11" s="3" t="n"/>
      <c r="K11" s="3" t="n"/>
      <c r="L11" s="3" t="n"/>
      <c r="M11" s="3" t="n"/>
      <c r="N11" s="3" t="n"/>
      <c r="O11" s="3" t="n"/>
      <c r="P11" s="3" t="n"/>
      <c r="Q11" s="4">
        <f>Rates!A26</f>
        <v/>
      </c>
      <c r="R11" s="4">
        <f>Rates!B26</f>
        <v/>
      </c>
      <c r="S11" s="4">
        <f>Rates!C26</f>
        <v/>
      </c>
      <c r="T11" s="3" t="n"/>
      <c r="U11" s="3" t="n"/>
      <c r="V11" s="3" t="n"/>
      <c r="W11" s="3" t="n"/>
      <c r="X11" s="3" t="n"/>
      <c r="Y11" s="3" t="n"/>
      <c r="Z11" s="3" t="n"/>
    </row>
    <row r="12" ht="14.4" customHeight="1" s="307">
      <c r="A12" s="436" t="inlineStr">
        <is>
          <t>ITEM</t>
        </is>
      </c>
      <c r="B12" s="386" t="n"/>
      <c r="C12" s="388" t="n"/>
      <c r="D12" s="437" t="inlineStr">
        <is>
          <t>PRICE (Rs.)</t>
        </is>
      </c>
      <c r="E12" s="438" t="n"/>
      <c r="F12" s="3" t="n"/>
      <c r="G12" s="3" t="n"/>
      <c r="H12" s="3" t="n"/>
      <c r="I12" s="3" t="n"/>
      <c r="J12" s="3" t="n">
        <v>154400</v>
      </c>
      <c r="K12" s="3" t="n"/>
      <c r="L12" s="385" t="n">
        <v>159040</v>
      </c>
      <c r="N12" s="3">
        <f>J12/L12</f>
        <v/>
      </c>
      <c r="O12" s="3" t="n"/>
      <c r="P12" s="3" t="n"/>
      <c r="Q12" s="4">
        <f>Rates!A27</f>
        <v/>
      </c>
      <c r="R12" s="4">
        <f>Rates!B27</f>
        <v/>
      </c>
      <c r="S12" s="4">
        <f>Rates!C27</f>
        <v/>
      </c>
      <c r="T12" s="3" t="n"/>
      <c r="U12" s="3" t="n"/>
      <c r="V12" s="3" t="n"/>
      <c r="W12" s="3" t="n"/>
      <c r="X12" s="3" t="n"/>
      <c r="Y12" s="3" t="n"/>
      <c r="Z12" s="3" t="n"/>
    </row>
    <row r="13" ht="15.6" customHeight="1" s="307">
      <c r="A13" s="439" t="inlineStr">
        <is>
          <t>SEQUENCE CONTROLLER</t>
        </is>
      </c>
      <c r="B13" s="390" t="n"/>
      <c r="C13" s="391" t="n"/>
      <c r="D13" s="187" t="n"/>
      <c r="E13" s="188" t="n">
        <v>19500</v>
      </c>
      <c r="F13" s="3" t="n"/>
      <c r="G13" s="3" t="n"/>
      <c r="H13" s="3" t="n"/>
      <c r="I13" s="3" t="n"/>
      <c r="J13" s="3" t="n">
        <v>188300</v>
      </c>
      <c r="K13" s="3" t="n"/>
      <c r="L13" s="385" t="n">
        <v>193950</v>
      </c>
      <c r="N13" s="3">
        <f>J13/L13</f>
        <v/>
      </c>
      <c r="O13" s="3" t="n"/>
      <c r="P13" s="3" t="n"/>
      <c r="Q13" s="4">
        <f>Rates!A28</f>
        <v/>
      </c>
      <c r="R13" s="4">
        <f>Rates!B28</f>
        <v/>
      </c>
      <c r="S13" s="4">
        <f>Rates!C28</f>
        <v/>
      </c>
      <c r="T13" s="3" t="n"/>
      <c r="U13" s="3" t="n"/>
      <c r="V13" s="3" t="n"/>
      <c r="W13" s="3" t="n"/>
      <c r="X13" s="3" t="n"/>
      <c r="Y13" s="3" t="n"/>
      <c r="Z13" s="3" t="n"/>
    </row>
    <row r="14" ht="15.6" customHeight="1" s="307">
      <c r="A14" s="179" t="inlineStr">
        <is>
          <t>VACUUM SWITCH</t>
        </is>
      </c>
      <c r="B14" s="393" t="n"/>
      <c r="C14" s="394" t="n"/>
      <c r="D14" s="183" t="n"/>
      <c r="E14" s="181" t="n">
        <v>6500</v>
      </c>
      <c r="F14" s="3" t="n"/>
      <c r="G14" s="3" t="n"/>
      <c r="H14" s="3" t="n"/>
      <c r="I14" s="3" t="n"/>
      <c r="J14" s="3" t="n">
        <v>240200</v>
      </c>
      <c r="K14" s="3" t="n"/>
      <c r="L14" s="385" t="n">
        <v>247410</v>
      </c>
      <c r="N14" s="3">
        <f>J14/L14</f>
        <v/>
      </c>
      <c r="O14" s="3" t="n"/>
      <c r="P14" s="3" t="n"/>
      <c r="Q14" s="4">
        <f>Rates!A29</f>
        <v/>
      </c>
      <c r="R14" s="4">
        <f>Rates!B29</f>
        <v/>
      </c>
      <c r="S14" s="4">
        <f>Rates!C29</f>
        <v/>
      </c>
      <c r="T14" s="3" t="n"/>
      <c r="U14" s="3" t="n"/>
      <c r="V14" s="3" t="n"/>
      <c r="W14" s="4">
        <f>Rates!G29</f>
        <v/>
      </c>
      <c r="X14" s="3" t="n"/>
      <c r="Y14" s="3" t="n"/>
      <c r="Z14" s="3" t="n"/>
    </row>
    <row r="15" ht="15.6" customHeight="1" s="307">
      <c r="A15" s="179" t="inlineStr">
        <is>
          <t>ARE-13 Burner Alone</t>
        </is>
      </c>
      <c r="B15" s="393" t="n"/>
      <c r="C15" s="394" t="n"/>
      <c r="D15" s="183" t="n"/>
      <c r="E15" s="181" t="n">
        <v>84500</v>
      </c>
      <c r="F15" s="3" t="n"/>
      <c r="G15" s="3" t="n"/>
      <c r="H15" s="3" t="n"/>
      <c r="I15" s="3" t="n"/>
      <c r="J15" s="3" t="n">
        <v>280600</v>
      </c>
      <c r="K15" s="3" t="n"/>
      <c r="L15" s="385" t="n">
        <v>289020</v>
      </c>
      <c r="N15" s="3">
        <f>J15/L15</f>
        <v/>
      </c>
      <c r="O15" s="3" t="n"/>
      <c r="P15" s="3" t="n"/>
      <c r="Q15" s="4">
        <f>Rates!A30</f>
        <v/>
      </c>
      <c r="R15" s="4">
        <f>Rates!B30</f>
        <v/>
      </c>
      <c r="S15" s="4">
        <f>Rates!C30</f>
        <v/>
      </c>
      <c r="T15" s="4" t="n"/>
      <c r="U15" s="4" t="n"/>
      <c r="V15" s="4" t="n"/>
      <c r="W15" s="440">
        <f>Rates!G30</f>
        <v/>
      </c>
      <c r="X15" s="3" t="n"/>
      <c r="Y15" s="3" t="n"/>
      <c r="Z15" s="3" t="n"/>
    </row>
    <row r="16" ht="15.6" customHeight="1" s="307">
      <c r="A16" s="179" t="inlineStr">
        <is>
          <t>ARE-22 Burner Alone</t>
        </is>
      </c>
      <c r="B16" s="393" t="n"/>
      <c r="C16" s="394" t="n"/>
      <c r="D16" s="183" t="n"/>
      <c r="E16" s="181" t="n">
        <v>95000</v>
      </c>
      <c r="F16" s="3" t="n"/>
      <c r="G16" s="3" t="n"/>
      <c r="H16" s="3" t="n"/>
      <c r="I16" s="3" t="n"/>
      <c r="J16" s="3" t="n"/>
      <c r="K16" s="3" t="n"/>
      <c r="L16" s="3" t="n"/>
      <c r="M16" s="3" t="n"/>
      <c r="N16" s="3" t="n"/>
      <c r="O16" s="3" t="n"/>
      <c r="P16" s="3" t="n"/>
      <c r="Q16" s="4" t="n">
        <v>29</v>
      </c>
      <c r="R16" s="4">
        <f>Rates!B31</f>
        <v/>
      </c>
      <c r="S16" s="4">
        <f>Rates!C31</f>
        <v/>
      </c>
      <c r="T16" s="4" t="n"/>
      <c r="U16" s="4" t="n"/>
      <c r="V16" s="4" t="n"/>
      <c r="W16" s="440">
        <f>Rates!G31</f>
        <v/>
      </c>
      <c r="X16" s="3" t="n"/>
      <c r="Y16" s="3" t="n"/>
      <c r="Z16" s="3" t="n"/>
    </row>
    <row r="17" ht="15.6" customHeight="1" s="307">
      <c r="A17" s="179" t="inlineStr">
        <is>
          <t>ARE-35 Burner Alone</t>
        </is>
      </c>
      <c r="B17" s="393" t="n"/>
      <c r="C17" s="394" t="n"/>
      <c r="D17" s="183" t="n"/>
      <c r="E17" s="181" t="n">
        <v>101000</v>
      </c>
      <c r="F17" s="3" t="n"/>
      <c r="G17" s="3" t="n"/>
      <c r="H17" s="3" t="n"/>
      <c r="I17" s="3" t="n"/>
      <c r="J17" s="3" t="n"/>
      <c r="K17" s="3" t="n"/>
      <c r="L17" s="3" t="n"/>
      <c r="M17" s="3" t="n"/>
      <c r="N17" s="3" t="n"/>
      <c r="O17" s="3" t="n"/>
      <c r="P17" s="3" t="n"/>
      <c r="Q17" s="4" t="n">
        <v>30</v>
      </c>
      <c r="R17" s="4">
        <f>Rates!B32</f>
        <v/>
      </c>
      <c r="S17" s="440">
        <f>Rates!C32</f>
        <v/>
      </c>
      <c r="T17" s="4" t="n"/>
      <c r="U17" s="4" t="n"/>
      <c r="V17" s="4" t="n"/>
      <c r="W17" s="440">
        <f>Rates!G32</f>
        <v/>
      </c>
      <c r="X17" s="3" t="n"/>
      <c r="Y17" s="3" t="n"/>
      <c r="Z17" s="3" t="n"/>
    </row>
    <row r="18" ht="15.6" customHeight="1" s="307">
      <c r="A18" s="179" t="inlineStr">
        <is>
          <t>ARE-50 Burner Alone</t>
        </is>
      </c>
      <c r="B18" s="393" t="n"/>
      <c r="C18" s="394" t="n"/>
      <c r="D18" s="183" t="n"/>
      <c r="E18" s="181" t="n">
        <v>132000</v>
      </c>
      <c r="F18" s="3" t="n"/>
      <c r="G18" s="3" t="n"/>
      <c r="H18" s="3" t="n"/>
      <c r="I18" s="3" t="n"/>
      <c r="J18" s="3" t="n"/>
      <c r="K18" s="3" t="n"/>
      <c r="L18" s="3" t="n"/>
      <c r="M18" s="3" t="n"/>
      <c r="N18" s="3" t="n"/>
      <c r="O18" s="3" t="n"/>
      <c r="P18" s="3" t="n"/>
      <c r="Q18" s="4" t="n">
        <v>31</v>
      </c>
      <c r="R18" s="4">
        <f>Rates!B33</f>
        <v/>
      </c>
      <c r="S18" s="440">
        <f>Rates!C33</f>
        <v/>
      </c>
      <c r="T18" s="3" t="n"/>
      <c r="U18" s="3" t="n"/>
      <c r="V18" s="3" t="n"/>
      <c r="W18" s="3" t="n"/>
      <c r="X18" s="3" t="n"/>
      <c r="Y18" s="3" t="n"/>
      <c r="Z18" s="3" t="n"/>
    </row>
    <row r="19" ht="15.6" customHeight="1" s="307">
      <c r="A19" s="179" t="inlineStr">
        <is>
          <t>ID FAN (ARE 13 &amp; ARE 22)</t>
        </is>
      </c>
      <c r="B19" s="393" t="n"/>
      <c r="C19" s="394" t="n"/>
      <c r="D19" s="183" t="n"/>
      <c r="E19" s="181" t="n">
        <v>31000</v>
      </c>
      <c r="F19" s="3" t="n"/>
      <c r="G19" s="3" t="n"/>
      <c r="H19" s="3" t="n"/>
      <c r="I19" s="3" t="n"/>
      <c r="J19" s="3" t="n"/>
      <c r="K19" s="3" t="n"/>
      <c r="L19" s="3" t="n"/>
      <c r="M19" s="3" t="n"/>
      <c r="N19" s="3" t="n"/>
      <c r="O19" s="3" t="n"/>
      <c r="P19" s="3" t="n"/>
      <c r="Q19" s="4" t="n">
        <v>32</v>
      </c>
      <c r="R19" s="4">
        <f>Rates!B34</f>
        <v/>
      </c>
      <c r="S19" s="440">
        <f>Rates!C34</f>
        <v/>
      </c>
      <c r="T19" s="3" t="n"/>
      <c r="U19" s="3" t="n"/>
      <c r="V19" s="3" t="n"/>
      <c r="W19" s="3" t="n"/>
      <c r="X19" s="3" t="n"/>
      <c r="Y19" s="3" t="n"/>
      <c r="Z19" s="3" t="n"/>
    </row>
    <row r="20" ht="15.6" customHeight="1" s="307">
      <c r="A20" s="179" t="inlineStr">
        <is>
          <t>ID FAN  (ARE 35)</t>
        </is>
      </c>
      <c r="B20" s="393" t="n"/>
      <c r="C20" s="394" t="n"/>
      <c r="D20" s="183" t="n"/>
      <c r="E20" s="181" t="n">
        <v>36000</v>
      </c>
      <c r="F20" s="3" t="n"/>
      <c r="G20" s="3" t="n"/>
      <c r="H20" s="3" t="n"/>
      <c r="I20" s="3" t="n"/>
      <c r="J20" s="3" t="n"/>
      <c r="K20" s="3" t="n"/>
      <c r="L20" s="3" t="n"/>
      <c r="M20" s="3" t="n"/>
      <c r="N20" s="3" t="n"/>
      <c r="O20" s="3" t="n"/>
      <c r="P20" s="3" t="n"/>
      <c r="Q20" s="4" t="n">
        <v>33</v>
      </c>
      <c r="R20" s="4">
        <f>Rates!B35</f>
        <v/>
      </c>
      <c r="S20" s="440">
        <f>Rates!C35</f>
        <v/>
      </c>
      <c r="T20" s="3" t="n"/>
      <c r="U20" s="3" t="n"/>
      <c r="V20" s="3" t="n"/>
      <c r="W20" s="3" t="n"/>
      <c r="X20" s="3" t="n"/>
      <c r="Y20" s="3" t="n"/>
      <c r="Z20" s="3" t="n"/>
    </row>
    <row r="21" ht="15.75" customHeight="1" s="307">
      <c r="A21" s="179" t="inlineStr">
        <is>
          <t>ID FAN (HEAVY DUTY)</t>
        </is>
      </c>
      <c r="B21" s="393" t="n"/>
      <c r="C21" s="394" t="n"/>
      <c r="D21" s="183" t="n"/>
      <c r="E21" s="181" t="n">
        <v>48000</v>
      </c>
      <c r="F21" s="3" t="n"/>
      <c r="G21" s="3" t="n"/>
      <c r="H21" s="3" t="n"/>
      <c r="I21" s="3" t="n"/>
      <c r="J21" s="3" t="n"/>
      <c r="K21" s="3" t="n"/>
      <c r="L21" s="3" t="n"/>
      <c r="M21" s="3" t="n"/>
      <c r="N21" s="3" t="n"/>
      <c r="O21" s="3" t="n"/>
      <c r="P21" s="3" t="n"/>
      <c r="Q21" s="4" t="n">
        <v>34</v>
      </c>
      <c r="R21" s="4">
        <f>Rates!B36</f>
        <v/>
      </c>
      <c r="S21" s="440">
        <f>Rates!C36</f>
        <v/>
      </c>
      <c r="T21" s="3" t="n"/>
      <c r="U21" s="3" t="n"/>
      <c r="V21" s="3" t="n"/>
      <c r="W21" s="3" t="n"/>
      <c r="X21" s="3" t="n"/>
      <c r="Y21" s="3" t="n"/>
      <c r="Z21" s="3" t="n"/>
    </row>
    <row r="22" ht="15.75" customHeight="1" s="307">
      <c r="A22" s="179" t="inlineStr">
        <is>
          <t>ID FAN (TYPE O FAN)</t>
        </is>
      </c>
      <c r="B22" s="393" t="n"/>
      <c r="C22" s="394" t="n"/>
      <c r="D22" s="183" t="n"/>
      <c r="E22" s="181" t="n">
        <v>124000</v>
      </c>
      <c r="F22" s="3" t="n"/>
      <c r="G22" s="3" t="n"/>
      <c r="H22" s="3" t="n"/>
      <c r="I22" s="3" t="n"/>
      <c r="J22" s="3" t="n"/>
      <c r="K22" s="3" t="n"/>
      <c r="L22" s="3" t="n"/>
      <c r="M22" s="3" t="n"/>
      <c r="N22" s="3" t="n"/>
      <c r="O22" s="3" t="n"/>
      <c r="P22" s="3" t="n"/>
      <c r="Q22" s="4" t="n">
        <v>35</v>
      </c>
      <c r="R22" s="4">
        <f>Rates!B37</f>
        <v/>
      </c>
      <c r="S22" s="440">
        <f>Rates!C37</f>
        <v/>
      </c>
      <c r="T22" s="3" t="n"/>
      <c r="U22" s="3" t="n"/>
      <c r="V22" s="3" t="n"/>
      <c r="W22" s="3" t="n"/>
      <c r="X22" s="3" t="n"/>
      <c r="Y22" s="3" t="n"/>
      <c r="Z22" s="3" t="n"/>
    </row>
    <row r="23" ht="15.75" customHeight="1" s="307">
      <c r="A23" s="179" t="inlineStr">
        <is>
          <t xml:space="preserve">SOLENOID VALVE UNIT </t>
        </is>
      </c>
      <c r="B23" s="393" t="n"/>
      <c r="C23" s="394" t="n"/>
      <c r="D23" s="183" t="n"/>
      <c r="E23" s="181" t="n">
        <v>27000</v>
      </c>
      <c r="F23" s="3" t="n"/>
      <c r="G23" s="3" t="n"/>
      <c r="H23" s="3" t="n"/>
      <c r="I23" s="3" t="n"/>
      <c r="J23" s="3" t="n"/>
      <c r="K23" s="3" t="n"/>
      <c r="L23" s="3" t="n"/>
      <c r="M23" s="3" t="n"/>
      <c r="N23" s="3" t="n"/>
      <c r="O23" s="3" t="n"/>
      <c r="P23" s="3" t="n"/>
      <c r="Q23" s="4" t="n">
        <v>36</v>
      </c>
      <c r="R23" s="4">
        <f>Rates!B38</f>
        <v/>
      </c>
      <c r="S23" s="440">
        <f>Rates!C38</f>
        <v/>
      </c>
      <c r="T23" s="3" t="n"/>
      <c r="U23" s="3" t="n"/>
      <c r="V23" s="3" t="n"/>
      <c r="W23" s="3" t="n"/>
      <c r="X23" s="3" t="n"/>
      <c r="Y23" s="3" t="n"/>
      <c r="Z23" s="3" t="n"/>
    </row>
    <row r="24" ht="15.75" customHeight="1" s="307">
      <c r="A24" s="179" t="inlineStr">
        <is>
          <t>ELECTRODE ASSEMBLY</t>
        </is>
      </c>
      <c r="B24" s="393" t="n"/>
      <c r="C24" s="394" t="n"/>
      <c r="D24" s="183" t="n"/>
      <c r="E24" s="181" t="n">
        <v>3500</v>
      </c>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307">
      <c r="A25" s="179" t="inlineStr">
        <is>
          <t>NOISE FILTER</t>
        </is>
      </c>
      <c r="B25" s="393" t="n"/>
      <c r="C25" s="394" t="n"/>
      <c r="D25" s="183" t="n"/>
      <c r="E25" s="181" t="n">
        <v>2100</v>
      </c>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307">
      <c r="A26" s="179" t="inlineStr">
        <is>
          <t>INPUT SOCKET</t>
        </is>
      </c>
      <c r="B26" s="393" t="n"/>
      <c r="C26" s="394" t="n"/>
      <c r="D26" s="183" t="n"/>
      <c r="E26" s="190" t="n">
        <v>1400</v>
      </c>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307">
      <c r="A27" s="179" t="inlineStr">
        <is>
          <t>POWER CABLE</t>
        </is>
      </c>
      <c r="B27" s="393" t="n"/>
      <c r="C27" s="394" t="n"/>
      <c r="D27" s="26" t="n"/>
      <c r="E27" s="191" t="n">
        <v>400</v>
      </c>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307">
      <c r="A28" s="179" t="inlineStr">
        <is>
          <t>INDICATOR</t>
        </is>
      </c>
      <c r="B28" s="393" t="n"/>
      <c r="C28" s="394" t="n"/>
      <c r="D28" s="180" t="n"/>
      <c r="E28" s="191" t="n">
        <v>300</v>
      </c>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307">
      <c r="A29" s="179" t="inlineStr">
        <is>
          <t>HT CABLE</t>
        </is>
      </c>
      <c r="B29" s="393" t="n"/>
      <c r="C29" s="394" t="n"/>
      <c r="D29" s="183" t="n"/>
      <c r="E29" s="190" t="n">
        <v>2500</v>
      </c>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307">
      <c r="A30" s="179" t="inlineStr">
        <is>
          <t>SENSOR CABLE</t>
        </is>
      </c>
      <c r="B30" s="393" t="n"/>
      <c r="C30" s="394" t="n"/>
      <c r="D30" s="183" t="n"/>
      <c r="E30" s="181" t="n">
        <v>1000</v>
      </c>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307">
      <c r="A31" s="184" t="inlineStr">
        <is>
          <t>WIRING KIT</t>
        </is>
      </c>
      <c r="B31" s="396" t="n"/>
      <c r="C31" s="397" t="n"/>
      <c r="D31" s="192" t="n"/>
      <c r="E31" s="186" t="n">
        <v>10500</v>
      </c>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307">
      <c r="A32" s="441" t="n"/>
      <c r="D32" s="194" t="n"/>
      <c r="E32" s="194"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307">
      <c r="A33" s="441" t="n"/>
      <c r="D33" s="194" t="n"/>
      <c r="E33" s="194"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307">
      <c r="A34" s="441" t="n"/>
      <c r="D34" s="194" t="n"/>
      <c r="E34" s="194"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307">
      <c r="A35" s="441" t="n"/>
      <c r="D35" s="194" t="n"/>
      <c r="E35" s="194"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307">
      <c r="A36" s="441" t="n"/>
      <c r="D36" s="194" t="n"/>
      <c r="E36" s="194"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307">
      <c r="A37" s="441" t="n"/>
      <c r="D37" s="194" t="n"/>
      <c r="E37" s="194"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307">
      <c r="A38" s="441" t="n"/>
      <c r="D38" s="194" t="n"/>
      <c r="E38" s="194"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307">
      <c r="A39" s="441" t="n"/>
      <c r="D39" s="194" t="n"/>
      <c r="E39" s="194"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307">
      <c r="A40" s="441" t="n"/>
      <c r="D40" s="194" t="n"/>
      <c r="E40" s="194"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307">
      <c r="A41" s="441" t="n"/>
      <c r="D41" s="194" t="n"/>
      <c r="E41" s="194"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307">
      <c r="A42" s="441" t="n"/>
      <c r="D42" s="194" t="n"/>
      <c r="E42" s="194"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307">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307">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307">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307">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30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307">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307">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307">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307">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307">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307">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307">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307">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307">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30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307">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307">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307">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307">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307">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307">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307">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307">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307">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30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307">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307">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307">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307">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307">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307">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307">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307">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307">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30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307">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307">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307">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307">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307">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307">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307">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307">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307">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30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307">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307">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307">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307">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307">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307">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307">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307">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307">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30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307">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307">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307">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307">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307">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307">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307">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307">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307">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3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307">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307">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307">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307">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307">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307">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307">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307">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307">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30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307">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307">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307">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307">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307">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307">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307">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307">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307">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30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307">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307">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307">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307">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307">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307">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307">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307">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307">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30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307">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307">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307">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307">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307">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307">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307">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307">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307">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30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307">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307">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307">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307">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307">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307">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307">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307">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307">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30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307">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307">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307">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307">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307">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307">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307">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307">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307">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30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307">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307">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307">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307">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307">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307">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307">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307">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307">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30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307">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307">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307">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307">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307">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307">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307">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307">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307">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30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307">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307">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307">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307">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307">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307">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307">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307">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307">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30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307">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307">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307">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307">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307">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307">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307">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307">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307">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3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307">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307">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307">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307">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307">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307">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307">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307">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307">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30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307">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307">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307">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307">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307">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307">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307">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307">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307">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30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307">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307">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307">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307">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307">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307">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307">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307">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307">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30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307">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307">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307">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307">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307">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307">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307">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307">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307">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30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307">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307">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307">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307">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307">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307">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307">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307">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307">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30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307">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307">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307">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307">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307">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307">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307">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307">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307">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30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307">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307">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307">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307">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307">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307">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307">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307">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307">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30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307">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307">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307">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307">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307">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307">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307">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307">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307">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30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307">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307">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307">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307">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307">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307">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307">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307">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307">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30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307">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307">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307">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307">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307">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307">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307">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307">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307">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307">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307">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307">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307">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307">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307">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307">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307">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307">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30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307">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307">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307">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307">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307">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307">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307">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307">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307">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30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307">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307">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307">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307">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307">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307">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307">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307">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307">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30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307">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307">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307">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307">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307">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307">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307">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307">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307">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30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307">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307">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307">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307">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307">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307">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307">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307">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307">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30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307">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307">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307">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307">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307">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307">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307">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307">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307">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30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307">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307">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307">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307">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307">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307">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307">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307">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307">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30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307">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307">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307">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307">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307">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307">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307">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307">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307">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30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307">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307">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307">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307">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307">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307">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307">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307">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307">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30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307">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307">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307">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307">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307">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307">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307">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307">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307">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3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307">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307">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307">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307">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307">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307">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307">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307">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307">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30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307">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307">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307">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307">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307">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307">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307">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307">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307">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30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307">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307">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307">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307">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307">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307">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307">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307">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307">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30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307">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307">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307">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307">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307">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307">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307">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307">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307">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30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307">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307">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307">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307">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307">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307">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307">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307">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307">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30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307">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307">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307">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307">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307">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307">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307">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307">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307">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30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307">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307">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307">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307">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307">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307">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307">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307">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307">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30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307">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307">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307">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307">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307">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307">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307">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307">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307">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30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307">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307">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307">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307">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307">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307">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307">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307">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307">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30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307">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307">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307">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307">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307">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307">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307">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307">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307">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3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307">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307">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307">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307">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307">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307">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307">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307">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307">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30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307">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307">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307">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307">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307">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307">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307">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307">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307">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30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307">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307">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307">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307">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307">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307">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307">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307">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307">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30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307">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307">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307">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307">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307">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307">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307">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307">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307">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30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307">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307">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307">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307">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307">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307">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307">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307">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307">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30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307">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307">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307">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307">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307">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307">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307">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307">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307">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30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307">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307">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307">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307">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307">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307">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307">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307">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307">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30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307">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307">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307">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307">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307">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307">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307">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307">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307">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30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307">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307">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307">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307">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307">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307">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307">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307">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307">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30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307">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307">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307">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307">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307">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307">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307">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307">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307">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3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307">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307">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307">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307">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307">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307">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307">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307">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307">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30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307">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307">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307">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307">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307">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307">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307">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307">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307">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30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307">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307">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307">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307">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307">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307">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307">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307">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307">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30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307">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307">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307">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307">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307">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307">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307">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307">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307">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30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307">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307">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307">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307">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307">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307">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307">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307">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307">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30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307">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307">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307">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307">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307">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307">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307">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307">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307">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30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307">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307">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307">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307">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307">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307">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307">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307">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307">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30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307">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307">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307">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307">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307">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307">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307">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307">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307">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30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307">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307">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307">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307">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307">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307">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307">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307">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307">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30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307">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307">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307">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307">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307">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307">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307">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307">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307">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3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307">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307">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307">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307">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307">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307">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307">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307">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307">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30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307">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307">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307">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307">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307">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307">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307">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307">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307">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30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307">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307">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307">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307">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307">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307">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307">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307">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307">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30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307">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307">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307">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307">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307">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307">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307">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307">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307">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30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307">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307">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307">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307">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307">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307">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307">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307">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307">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30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307">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307">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307">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307">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307">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307">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307">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307">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307">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30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307">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307">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307">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307">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307">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307">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307">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307">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307">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30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307">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307">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307">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307">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307">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307">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307">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307">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307">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30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307">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307">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307">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307">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307">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307">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307">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307">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307">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30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307">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307">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307">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307">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307">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307">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307">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307">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307">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3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307">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307">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307">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307">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307">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307">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307">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307">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307">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30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307">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307">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307">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307">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307">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307">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307">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307">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307">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30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307">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307">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307">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307">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307">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307">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307">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307">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307">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30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307">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307">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307">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307">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307">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307">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307">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307">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307">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30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307">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307">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307">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307">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307">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307">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307">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307">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307">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30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307">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307">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307">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307">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307">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307">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307">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307">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307">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30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307">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307">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307">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307">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307">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307">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307">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307">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307">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30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307">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307">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307">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307">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307">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307">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307">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307">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307">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30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307">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307">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307">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307">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307">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307">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307">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307">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307">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30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307">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307">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307">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307">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307">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307">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307">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307">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307">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3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307">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307">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307">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307">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307">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307">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307">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307">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307">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30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307">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307">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307">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307">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307">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307">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307">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307">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307">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30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307">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307">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307">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307">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307">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307">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307">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307">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307">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30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307">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307">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307">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307">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307">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307">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307">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307">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307">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30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307">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307">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307">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307">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307">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307">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307">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307">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307">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30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307">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307">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307">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307">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307">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307">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307">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307">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307">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30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307">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307">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307">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307">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307">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307">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307">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307">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307">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30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307">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307">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307">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307">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307">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307">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307">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307">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307">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30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307">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307">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307">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307">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307">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307">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307">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307">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307">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30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307">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307">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307">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45">
    <mergeCell ref="A25:C25"/>
    <mergeCell ref="A41:C41"/>
    <mergeCell ref="A37:C37"/>
    <mergeCell ref="B3:B4"/>
    <mergeCell ref="A18:C18"/>
    <mergeCell ref="A27:C27"/>
    <mergeCell ref="A21:C21"/>
    <mergeCell ref="A12:C12"/>
    <mergeCell ref="A26:C26"/>
    <mergeCell ref="L13:M13"/>
    <mergeCell ref="A42:C42"/>
    <mergeCell ref="L3:M3"/>
    <mergeCell ref="A33:C33"/>
    <mergeCell ref="N3:O3"/>
    <mergeCell ref="L12:M12"/>
    <mergeCell ref="A23:C23"/>
    <mergeCell ref="A32:C32"/>
    <mergeCell ref="A14:C14"/>
    <mergeCell ref="A3:A4"/>
    <mergeCell ref="A22:C22"/>
    <mergeCell ref="A17:C17"/>
    <mergeCell ref="L15:M15"/>
    <mergeCell ref="A29:C29"/>
    <mergeCell ref="A35:C35"/>
    <mergeCell ref="L14:M14"/>
    <mergeCell ref="A20:C20"/>
    <mergeCell ref="A38:C38"/>
    <mergeCell ref="A28:C28"/>
    <mergeCell ref="A19:C19"/>
    <mergeCell ref="A13:C13"/>
    <mergeCell ref="A31:C31"/>
    <mergeCell ref="A40:C40"/>
    <mergeCell ref="A30:C30"/>
    <mergeCell ref="A39:C39"/>
    <mergeCell ref="A34:C34"/>
    <mergeCell ref="A15:C15"/>
    <mergeCell ref="A24:C24"/>
    <mergeCell ref="D12:E12"/>
    <mergeCell ref="J3:K3"/>
    <mergeCell ref="A36:C36"/>
    <mergeCell ref="A10:E10"/>
    <mergeCell ref="E3:E4"/>
    <mergeCell ref="A1:I1"/>
    <mergeCell ref="C3:D3"/>
    <mergeCell ref="A16:C16"/>
  </mergeCells>
  <pageMargins left="0.2362204724409449" right="0.2362204724409449" top="0.7480314960629921" bottom="0.7480314960629921" header="0" footer="0"/>
  <pageSetup orientation="landscape" paperSize="8" scale="90"/>
</worksheet>
</file>

<file path=xl/worksheets/sheet9.xml><?xml version="1.0" encoding="utf-8"?>
<worksheet xmlns="http://schemas.openxmlformats.org/spreadsheetml/2006/main">
  <sheetPr>
    <tabColor rgb="FF92D050"/>
    <outlinePr summaryBelow="1" summaryRight="1"/>
    <pageSetUpPr/>
  </sheetPr>
  <dimension ref="B3:I23"/>
  <sheetViews>
    <sheetView workbookViewId="0">
      <selection activeCell="A1" sqref="A1"/>
    </sheetView>
  </sheetViews>
  <sheetFormatPr baseColWidth="8" defaultColWidth="14.44140625" defaultRowHeight="15" customHeight="1"/>
  <cols>
    <col width="8.6640625" customWidth="1" style="307" min="1" max="1"/>
    <col width="38.88671875" customWidth="1" style="307" min="2" max="2"/>
    <col width="11.5546875" customWidth="1" style="307" min="3" max="3"/>
    <col width="10.5546875" customWidth="1" style="307" min="4" max="4"/>
    <col width="10.6640625" customWidth="1" style="307" min="5" max="5"/>
    <col width="10.33203125" customWidth="1" style="307" min="6" max="6"/>
    <col width="10.6640625" customWidth="1" style="307" min="7" max="9"/>
    <col width="8.6640625" customWidth="1" style="307" min="10" max="26"/>
  </cols>
  <sheetData>
    <row r="3" ht="17.4" customHeight="1" s="307">
      <c r="B3" s="195" t="inlineStr">
        <is>
          <t xml:space="preserve">A.   GAIL GAS BURNER (FOR FURNACES) </t>
        </is>
      </c>
    </row>
    <row r="4" ht="17.4" customHeight="1" s="307">
      <c r="B4" s="195" t="n"/>
    </row>
    <row r="5" ht="46.8" customHeight="1" s="307">
      <c r="B5" s="196" t="inlineStr">
        <is>
          <t>Burner Size</t>
        </is>
      </c>
      <c r="C5" s="197" t="inlineStr">
        <is>
          <t>Burner</t>
        </is>
      </c>
      <c r="D5" s="197" t="inlineStr">
        <is>
          <t>C.I. Burner Plate</t>
        </is>
      </c>
      <c r="E5" s="197" t="inlineStr">
        <is>
          <t>Burner Block</t>
        </is>
      </c>
      <c r="F5" s="197" t="inlineStr">
        <is>
          <t>Hose</t>
        </is>
      </c>
      <c r="G5" s="197" t="inlineStr">
        <is>
          <t>Butterfly Valve</t>
        </is>
      </c>
      <c r="H5" s="197" t="inlineStr">
        <is>
          <t>Ball Valve</t>
        </is>
      </c>
      <c r="I5" s="197" t="inlineStr">
        <is>
          <t>Burner SET</t>
        </is>
      </c>
    </row>
    <row r="6" ht="15.6" customHeight="1" s="307">
      <c r="B6" s="198" t="inlineStr">
        <is>
          <t>ENCON-500 KW</t>
        </is>
      </c>
      <c r="C6" s="163" t="n">
        <v>26000</v>
      </c>
      <c r="D6" s="163" t="n">
        <v>7100</v>
      </c>
      <c r="E6" s="163" t="n">
        <v>6700</v>
      </c>
      <c r="F6" s="199" t="n">
        <v>2400</v>
      </c>
      <c r="G6" s="199" t="n">
        <v>3300</v>
      </c>
      <c r="H6" s="199" t="n">
        <v>3900</v>
      </c>
      <c r="I6" s="199" t="n">
        <v>49400</v>
      </c>
    </row>
    <row r="7" ht="15.6" customHeight="1" s="307">
      <c r="B7" s="198" t="inlineStr">
        <is>
          <t>ENCON-1000 KW</t>
        </is>
      </c>
      <c r="C7" s="163" t="n">
        <v>37500</v>
      </c>
      <c r="D7" s="163" t="n">
        <v>8100</v>
      </c>
      <c r="E7" s="163" t="n">
        <v>12700</v>
      </c>
      <c r="F7" s="199" t="n">
        <v>3100</v>
      </c>
      <c r="G7" s="199" t="n">
        <v>3300</v>
      </c>
      <c r="H7" s="199" t="n">
        <v>7800</v>
      </c>
      <c r="I7" s="199" t="n">
        <v>72500</v>
      </c>
    </row>
    <row r="8" ht="15.6" customHeight="1" s="307">
      <c r="B8" s="198" t="inlineStr">
        <is>
          <t>ENCON-2000 KW</t>
        </is>
      </c>
      <c r="C8" s="163" t="n">
        <v>48500</v>
      </c>
      <c r="D8" s="163" t="n">
        <v>8100</v>
      </c>
      <c r="E8" s="163" t="n">
        <v>15600</v>
      </c>
      <c r="F8" s="199" t="n">
        <v>4200</v>
      </c>
      <c r="G8" s="199" t="n">
        <v>9500</v>
      </c>
      <c r="H8" s="199" t="n">
        <v>7800</v>
      </c>
      <c r="I8" s="199" t="n">
        <v>93700</v>
      </c>
    </row>
    <row r="9" ht="17.4" customHeight="1" s="307">
      <c r="B9" s="195" t="n"/>
    </row>
    <row r="10" ht="17.4" customHeight="1" s="307">
      <c r="B10" s="200" t="n"/>
    </row>
    <row r="11" ht="17.4" customHeight="1" s="307">
      <c r="B11" s="195" t="inlineStr">
        <is>
          <t xml:space="preserve">B.   PILOT BURNER </t>
        </is>
      </c>
    </row>
    <row r="12" ht="17.4" customHeight="1" s="307">
      <c r="B12" s="195" t="n"/>
    </row>
    <row r="13" ht="15.6" customHeight="1" s="307">
      <c r="B13" s="201" t="inlineStr">
        <is>
          <t>ENCON-PB-LPG- 10KW</t>
        </is>
      </c>
      <c r="C13" s="202" t="n">
        <v>11000</v>
      </c>
    </row>
    <row r="14" ht="15.6" customHeight="1" s="307">
      <c r="B14" s="198" t="inlineStr">
        <is>
          <t>ENCON-PB (NG/LPG) - 100 KW</t>
        </is>
      </c>
      <c r="C14" s="199" t="n">
        <v>20000</v>
      </c>
    </row>
    <row r="15" ht="15.6" customHeight="1" s="307">
      <c r="B15" s="198" t="inlineStr">
        <is>
          <t>ENCON-PB-COG- 100KW</t>
        </is>
      </c>
      <c r="C15" s="199" t="n">
        <v>20000</v>
      </c>
    </row>
    <row r="16" ht="15.6" customHeight="1" s="307">
      <c r="B16" s="198" t="inlineStr">
        <is>
          <t>Electrode for LPG pilot burner</t>
        </is>
      </c>
      <c r="C16" s="199" t="n">
        <v>1700</v>
      </c>
    </row>
    <row r="17" ht="15.6" customHeight="1" s="307">
      <c r="B17" s="198" t="inlineStr">
        <is>
          <t>Electrode for COG pilot burner</t>
        </is>
      </c>
      <c r="C17" s="199" t="n">
        <v>3300</v>
      </c>
    </row>
    <row r="18" ht="15.6" customHeight="1" s="307">
      <c r="B18" s="198" t="inlineStr">
        <is>
          <t xml:space="preserve">Burner Control Unit </t>
        </is>
      </c>
      <c r="C18" s="199" t="n">
        <v>10000</v>
      </c>
    </row>
    <row r="19" ht="15.6" customHeight="1" s="307">
      <c r="B19" s="198" t="inlineStr">
        <is>
          <t>Ignition Transformer</t>
        </is>
      </c>
      <c r="C19" s="199" t="n">
        <v>5500</v>
      </c>
    </row>
    <row r="20" ht="15.6" customHeight="1" s="307">
      <c r="B20" s="198" t="inlineStr">
        <is>
          <t>UV Sensor with Air Jacket</t>
        </is>
      </c>
      <c r="C20" s="199" t="n">
        <v>13000</v>
      </c>
    </row>
    <row r="21" ht="15.75" customHeight="1" s="307">
      <c r="B21" s="200" t="n"/>
    </row>
    <row r="22" ht="15.75" customHeight="1" s="307">
      <c r="B22" s="195" t="n"/>
    </row>
    <row r="23" ht="15.75" customHeight="1" s="307">
      <c r="B23" s="203" t="inlineStr">
        <is>
          <t>ALL BURNER BLOCKS ARE MADE OF WHYTE HEAT -K</t>
        </is>
      </c>
    </row>
    <row r="24" ht="15.75" customHeight="1" s="307"/>
    <row r="25" ht="15.75" customHeight="1" s="307"/>
    <row r="26" ht="15.75" customHeight="1" s="307"/>
    <row r="27" ht="15.75" customHeight="1" s="307"/>
    <row r="28" ht="15.75" customHeight="1" s="307"/>
    <row r="29" ht="15.75" customHeight="1" s="307"/>
    <row r="30" ht="15.75" customHeight="1" s="307"/>
    <row r="31" ht="15.75" customHeight="1" s="307"/>
    <row r="32" ht="15.75" customHeight="1" s="307"/>
    <row r="33" ht="15.75" customHeight="1" s="307"/>
    <row r="34" ht="15.75" customHeight="1" s="307"/>
    <row r="35" ht="15.75" customHeight="1" s="307"/>
    <row r="36" ht="15.75" customHeight="1" s="307"/>
    <row r="37" ht="15.75" customHeight="1" s="307"/>
    <row r="38" ht="15.75" customHeight="1" s="307"/>
    <row r="39" ht="15.75" customHeight="1" s="307"/>
    <row r="40" ht="15.75" customHeight="1" s="307"/>
    <row r="41" ht="15.75" customHeight="1" s="307"/>
    <row r="42" ht="15.75" customHeight="1" s="307"/>
    <row r="43" ht="15.75" customHeight="1" s="307"/>
    <row r="44" ht="15.75" customHeight="1" s="307"/>
    <row r="45" ht="15.75" customHeight="1" s="307"/>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pageMargins left="0.7" right="0.7" top="0.75" bottom="0.75" header="0" footer="0"/>
  <pageSetup orientation="portrait" paperSize="9"/>
</worksheet>
</file>

<file path=xl/worksheets/sheet10.xml><?xml version="1.0" encoding="utf-8"?>
<worksheet xmlns="http://schemas.openxmlformats.org/spreadsheetml/2006/main">
  <sheetPr>
    <tabColor rgb="FF92D050"/>
    <outlinePr summaryBelow="1" summaryRight="1"/>
    <pageSetUpPr fitToPage="1"/>
  </sheetPr>
  <dimension ref="A1:W43"/>
  <sheetViews>
    <sheetView workbookViewId="0">
      <selection activeCell="A1" sqref="A1:I1"/>
    </sheetView>
  </sheetViews>
  <sheetFormatPr baseColWidth="8" defaultColWidth="14.44140625" defaultRowHeight="15" customHeight="1"/>
  <cols>
    <col width="8.88671875" customWidth="1" style="307" min="1" max="1"/>
    <col width="9.6640625" customWidth="1" style="307" min="2" max="2"/>
    <col width="5.109375" customWidth="1" style="307" min="3" max="3"/>
    <col width="5" customWidth="1" style="307" min="4" max="4"/>
    <col width="27.44140625" customWidth="1" style="307" min="5" max="5"/>
    <col width="10.88671875" customWidth="1" style="307" min="6" max="6"/>
    <col width="7.33203125" customWidth="1" style="307" min="7" max="7"/>
    <col width="11.5546875" customWidth="1" style="307" min="8" max="8"/>
    <col width="27.44140625" customWidth="1" style="307" min="9" max="9"/>
    <col width="26.109375" customWidth="1" style="307" min="10" max="10"/>
    <col width="12" customWidth="1" style="307" min="11" max="11"/>
    <col width="5.44140625" customWidth="1" style="307" min="12" max="12"/>
    <col width="6" customWidth="1" style="307" min="13" max="13"/>
    <col width="6.6640625" customWidth="1" style="307" min="14" max="14"/>
    <col width="13.88671875" customWidth="1" style="307" min="15" max="15"/>
    <col width="8.6640625" customWidth="1" style="307" min="16" max="16"/>
    <col width="3" customWidth="1" style="307" min="17" max="17"/>
    <col width="21.6640625" customWidth="1" style="307" min="18" max="18"/>
    <col width="9.33203125" customWidth="1" style="307" min="19" max="19"/>
    <col width="8.6640625" customWidth="1" style="307" min="20" max="22"/>
    <col width="10.88671875" customWidth="1" style="307" min="23" max="23"/>
    <col width="8.6640625" customWidth="1" style="307" min="24" max="26"/>
  </cols>
  <sheetData>
    <row r="1" ht="20.4" customHeight="1" s="307">
      <c r="A1" s="428" t="inlineStr">
        <is>
          <t>PRICE LIST OF RAD-HEAT GAS HEATING ELEMENTS (W.E.F Aug'22)</t>
        </is>
      </c>
    </row>
    <row r="2" ht="15.6" customHeight="1" s="307">
      <c r="A2" s="177" t="n"/>
      <c r="H2" s="26" t="inlineStr">
        <is>
          <t>Mtr</t>
        </is>
      </c>
      <c r="I2" s="26" t="n"/>
      <c r="J2" s="26" t="inlineStr">
        <is>
          <t>MS</t>
        </is>
      </c>
      <c r="K2" s="26" t="inlineStr">
        <is>
          <t>SS</t>
        </is>
      </c>
      <c r="L2" s="26" t="inlineStr">
        <is>
          <t>MS</t>
        </is>
      </c>
      <c r="M2" s="26" t="inlineStr">
        <is>
          <t>SS</t>
        </is>
      </c>
      <c r="N2" s="26" t="inlineStr">
        <is>
          <t>MS</t>
        </is>
      </c>
      <c r="O2" s="26" t="inlineStr">
        <is>
          <t>SS</t>
        </is>
      </c>
    </row>
    <row r="3" ht="14.4" customHeight="1" s="307">
      <c r="A3" s="429" t="inlineStr">
        <is>
          <t xml:space="preserve">MODEL </t>
        </is>
      </c>
      <c r="B3" s="430" t="inlineStr">
        <is>
          <t>OUTPUT</t>
        </is>
      </c>
      <c r="C3" s="430" t="inlineStr">
        <is>
          <t xml:space="preserve">NOMINAL GAS PER BURNER M³/HR          </t>
        </is>
      </c>
      <c r="D3" s="431" t="n"/>
      <c r="E3" s="216" t="inlineStr">
        <is>
          <t>PRICE WITH SS TUBING</t>
        </is>
      </c>
      <c r="G3" s="26" t="inlineStr">
        <is>
          <t>Dia</t>
        </is>
      </c>
      <c r="H3" s="26" t="inlineStr">
        <is>
          <t>Tube length</t>
        </is>
      </c>
      <c r="I3" s="26" t="inlineStr">
        <is>
          <t>Elbow</t>
        </is>
      </c>
      <c r="J3" s="7" t="inlineStr">
        <is>
          <t>Tube Cost</t>
        </is>
      </c>
      <c r="K3" s="394" t="n"/>
      <c r="L3" s="7" t="inlineStr">
        <is>
          <t>Elbow Cost</t>
        </is>
      </c>
      <c r="M3" s="394" t="n"/>
      <c r="N3" s="7" t="inlineStr">
        <is>
          <t>total Cost</t>
        </is>
      </c>
      <c r="O3" s="394" t="n"/>
    </row>
    <row r="4" ht="15.6" customHeight="1" s="307">
      <c r="A4" s="432" t="n"/>
      <c r="B4" s="426" t="n"/>
      <c r="C4" s="178" t="inlineStr">
        <is>
          <t>LPG</t>
        </is>
      </c>
      <c r="D4" s="178" t="inlineStr">
        <is>
          <t>NG</t>
        </is>
      </c>
      <c r="E4" s="433" t="n"/>
      <c r="G4" s="26" t="n"/>
      <c r="H4" s="26" t="n"/>
      <c r="I4" s="26" t="n"/>
      <c r="J4" s="26" t="n"/>
      <c r="K4" s="26" t="n"/>
      <c r="L4" s="26" t="n"/>
      <c r="M4" s="26" t="n"/>
      <c r="N4" s="26" t="n"/>
      <c r="O4" s="26" t="n"/>
      <c r="Q4" s="4">
        <f>Rates!A19</f>
        <v/>
      </c>
      <c r="R4" s="4">
        <f>Rates!B19</f>
        <v/>
      </c>
      <c r="S4" s="4">
        <f>Rates!C19</f>
        <v/>
      </c>
    </row>
    <row r="5" ht="15.6" customHeight="1" s="307">
      <c r="A5" s="179" t="inlineStr">
        <is>
          <t>ARE-13</t>
        </is>
      </c>
      <c r="B5" s="180" t="inlineStr">
        <is>
          <t xml:space="preserve">   9 KW</t>
        </is>
      </c>
      <c r="C5" s="180" t="n">
        <v>0.43</v>
      </c>
      <c r="D5" s="180" t="n">
        <v>1.11</v>
      </c>
      <c r="E5" s="181">
        <f>ROUND(E15+E19+(O5*4),-3)</f>
        <v/>
      </c>
      <c r="F5" s="434" t="n"/>
      <c r="G5" s="183" t="n">
        <v>60</v>
      </c>
      <c r="H5" s="183" t="n">
        <v>6</v>
      </c>
      <c r="I5" s="26" t="n">
        <v>8</v>
      </c>
      <c r="J5" s="26">
        <f>H5*Rates!$C$23</f>
        <v/>
      </c>
      <c r="K5" s="409">
        <f>H5*Rates!C30*Rates!G30</f>
        <v/>
      </c>
      <c r="L5" s="26" t="n"/>
      <c r="M5" s="26">
        <f>I5*Rates!C36</f>
        <v/>
      </c>
      <c r="N5" s="26">
        <f>J5+L5</f>
        <v/>
      </c>
      <c r="O5" s="409">
        <f>K5+M5</f>
        <v/>
      </c>
      <c r="Q5" s="4">
        <f>Rates!A20</f>
        <v/>
      </c>
      <c r="R5" s="4">
        <f>Rates!B20</f>
        <v/>
      </c>
      <c r="S5" s="4">
        <f>Rates!C20</f>
        <v/>
      </c>
    </row>
    <row r="6" ht="15.6" customHeight="1" s="307">
      <c r="A6" s="179" t="inlineStr">
        <is>
          <t>ARE-22</t>
        </is>
      </c>
      <c r="B6" s="180" t="inlineStr">
        <is>
          <t xml:space="preserve"> 17 KW</t>
        </is>
      </c>
      <c r="C6" s="180" t="n">
        <v>0.75</v>
      </c>
      <c r="D6" s="180" t="n">
        <v>2</v>
      </c>
      <c r="E6" s="181">
        <f>ROUND(E16+E19+(O6*4),-3)</f>
        <v/>
      </c>
      <c r="F6" s="434" t="n"/>
      <c r="G6" s="183" t="n">
        <v>76</v>
      </c>
      <c r="H6" s="183" t="n">
        <v>8</v>
      </c>
      <c r="I6" s="26" t="n">
        <v>8</v>
      </c>
      <c r="J6" s="26">
        <f>H6*Rates!$C$23</f>
        <v/>
      </c>
      <c r="K6" s="409">
        <f>H6*Rates!C31*Rates!G31</f>
        <v/>
      </c>
      <c r="L6" s="26" t="n"/>
      <c r="M6" s="26">
        <f>I6*Rates!C37</f>
        <v/>
      </c>
      <c r="N6" s="26">
        <f>J6+L6</f>
        <v/>
      </c>
      <c r="O6" s="409">
        <f>K6+M6</f>
        <v/>
      </c>
      <c r="Q6" s="4">
        <f>Rates!A21</f>
        <v/>
      </c>
      <c r="R6" s="4">
        <f>Rates!B21</f>
        <v/>
      </c>
      <c r="S6" s="4">
        <f>Rates!C21</f>
        <v/>
      </c>
    </row>
    <row r="7" ht="15.6" customHeight="1" s="307">
      <c r="A7" s="179" t="inlineStr">
        <is>
          <t>ARE-35</t>
        </is>
      </c>
      <c r="B7" s="180" t="inlineStr">
        <is>
          <t xml:space="preserve"> 30 KW</t>
        </is>
      </c>
      <c r="C7" s="180" t="n">
        <v>1.39</v>
      </c>
      <c r="D7" s="180" t="n">
        <v>3.53</v>
      </c>
      <c r="E7" s="181">
        <f>ROUND(E17+E20+(O7*3.5),-3)</f>
        <v/>
      </c>
      <c r="F7" s="434" t="n"/>
      <c r="G7" s="183" t="n">
        <v>100</v>
      </c>
      <c r="H7" s="183" t="n">
        <v>10.5</v>
      </c>
      <c r="I7" s="26" t="n">
        <v>8</v>
      </c>
      <c r="J7" s="26">
        <f>H7*Rates!$C$23</f>
        <v/>
      </c>
      <c r="K7" s="409">
        <f>H7*Rates!C32*Rates!G32</f>
        <v/>
      </c>
      <c r="L7" s="26" t="n"/>
      <c r="M7" s="26">
        <f>I7*Rates!C38</f>
        <v/>
      </c>
      <c r="N7" s="26">
        <f>J7+L7</f>
        <v/>
      </c>
      <c r="O7" s="409">
        <f>K7+M7</f>
        <v/>
      </c>
      <c r="Q7" s="4">
        <f>Rates!A22</f>
        <v/>
      </c>
      <c r="R7" s="4">
        <f>Rates!B22</f>
        <v/>
      </c>
      <c r="S7" s="4">
        <f>Rates!C22</f>
        <v/>
      </c>
    </row>
    <row r="8" ht="15.6" customHeight="1" s="307">
      <c r="A8" s="184" t="inlineStr">
        <is>
          <t>ARE-50</t>
        </is>
      </c>
      <c r="B8" s="185" t="inlineStr">
        <is>
          <t xml:space="preserve"> 40 KW</t>
        </is>
      </c>
      <c r="C8" s="185" t="n">
        <v>1.91</v>
      </c>
      <c r="D8" s="185" t="n">
        <v>4.67</v>
      </c>
      <c r="E8" s="186">
        <f>ROUND(E18+E20+(O8*4),-3)</f>
        <v/>
      </c>
      <c r="F8" s="434" t="n"/>
      <c r="G8" s="183" t="n">
        <v>100</v>
      </c>
      <c r="H8" s="183" t="n">
        <v>12</v>
      </c>
      <c r="I8" s="26" t="n">
        <v>8</v>
      </c>
      <c r="J8" s="26">
        <f>H8*Rates!$C$23</f>
        <v/>
      </c>
      <c r="K8" s="409">
        <f>H8*Rates!C32*Rates!G32</f>
        <v/>
      </c>
      <c r="L8" s="26" t="n"/>
      <c r="M8" s="26">
        <f>I8*Rates!C38</f>
        <v/>
      </c>
      <c r="N8" s="26">
        <f>J8+L8</f>
        <v/>
      </c>
      <c r="O8" s="409">
        <f>K8+M8</f>
        <v/>
      </c>
      <c r="Q8" s="4">
        <f>Rates!A23</f>
        <v/>
      </c>
      <c r="R8" s="4">
        <f>Rates!B23</f>
        <v/>
      </c>
      <c r="S8" s="4">
        <f>Rates!C23</f>
        <v/>
      </c>
    </row>
    <row r="9" ht="15.6" customHeight="1" s="307">
      <c r="A9" s="177" t="n"/>
      <c r="Q9" s="4">
        <f>Rates!A24</f>
        <v/>
      </c>
      <c r="R9" s="4">
        <f>Rates!B24</f>
        <v/>
      </c>
      <c r="S9" s="4">
        <f>Rates!C24</f>
        <v/>
      </c>
    </row>
    <row r="10" ht="18" customHeight="1" s="307">
      <c r="A10" s="435" t="inlineStr">
        <is>
          <t xml:space="preserve">              SPARES PRICE FOR AMBIRAD</t>
        </is>
      </c>
      <c r="Q10" s="4">
        <f>Rates!A25</f>
        <v/>
      </c>
      <c r="R10" s="4">
        <f>Rates!B25</f>
        <v/>
      </c>
      <c r="S10" s="4">
        <f>Rates!C25</f>
        <v/>
      </c>
    </row>
    <row r="11" ht="15.6" customHeight="1" s="307">
      <c r="A11" s="177" t="n"/>
      <c r="F11" s="3" t="n"/>
      <c r="G11" s="3" t="n"/>
      <c r="H11" s="3" t="n"/>
      <c r="I11" s="3" t="n"/>
      <c r="J11" s="3" t="n"/>
      <c r="K11" s="3" t="n"/>
      <c r="L11" s="3" t="n"/>
      <c r="Q11" s="4">
        <f>Rates!A26</f>
        <v/>
      </c>
      <c r="R11" s="4">
        <f>Rates!B26</f>
        <v/>
      </c>
      <c r="S11" s="4">
        <f>Rates!C26</f>
        <v/>
      </c>
    </row>
    <row r="12" ht="14.4" customHeight="1" s="307">
      <c r="A12" s="436" t="inlineStr">
        <is>
          <t>ITEM</t>
        </is>
      </c>
      <c r="B12" s="386" t="n"/>
      <c r="C12" s="388" t="n"/>
      <c r="D12" s="437" t="inlineStr">
        <is>
          <t>PRICE (Rs.)</t>
        </is>
      </c>
      <c r="E12" s="438" t="n"/>
      <c r="Q12" s="4">
        <f>Rates!A27</f>
        <v/>
      </c>
      <c r="R12" s="4">
        <f>Rates!B27</f>
        <v/>
      </c>
      <c r="S12" s="4">
        <f>Rates!C27</f>
        <v/>
      </c>
    </row>
    <row r="13" ht="15.75" customHeight="1" s="307">
      <c r="A13" s="442" t="inlineStr">
        <is>
          <t>SEQUENCE CONTROLLER</t>
        </is>
      </c>
      <c r="B13" s="400" t="n"/>
      <c r="C13" s="400" t="n"/>
      <c r="D13" s="431" t="n"/>
      <c r="E13" s="188" t="n">
        <v>18600</v>
      </c>
      <c r="H13" s="1" t="n">
        <v>131100</v>
      </c>
      <c r="I13" s="1" t="n">
        <v>154400</v>
      </c>
      <c r="J13" s="443">
        <f>I13/H13</f>
        <v/>
      </c>
      <c r="Q13" s="4">
        <f>Rates!A28</f>
        <v/>
      </c>
      <c r="R13" s="4">
        <f>Rates!B28</f>
        <v/>
      </c>
      <c r="S13" s="4">
        <f>Rates!C28</f>
        <v/>
      </c>
    </row>
    <row r="14" ht="15.75" customHeight="1" s="307">
      <c r="A14" s="444" t="inlineStr">
        <is>
          <t>VACUUM SWITCH</t>
        </is>
      </c>
      <c r="B14" s="393" t="n"/>
      <c r="C14" s="393" t="n"/>
      <c r="D14" s="394" t="n"/>
      <c r="E14" s="181" t="n">
        <v>6200</v>
      </c>
      <c r="H14" s="1" t="n">
        <v>160900</v>
      </c>
      <c r="I14" s="3" t="n">
        <v>188300</v>
      </c>
      <c r="J14" s="443">
        <f>I14/H14</f>
        <v/>
      </c>
      <c r="Q14" s="4">
        <f>Rates!A29</f>
        <v/>
      </c>
      <c r="R14" s="4">
        <f>Rates!B29</f>
        <v/>
      </c>
      <c r="S14" s="4">
        <f>Rates!C29</f>
        <v/>
      </c>
      <c r="W14" s="4">
        <f>Rates!G29</f>
        <v/>
      </c>
    </row>
    <row r="15" ht="15.75" customHeight="1" s="307">
      <c r="A15" s="444" t="inlineStr">
        <is>
          <t>ARE-13 Burner Alone</t>
        </is>
      </c>
      <c r="B15" s="393" t="n"/>
      <c r="C15" s="393" t="n"/>
      <c r="D15" s="394" t="n"/>
      <c r="E15" s="181" t="n">
        <v>82000</v>
      </c>
      <c r="H15" s="1" t="n">
        <v>205300</v>
      </c>
      <c r="I15" s="3" t="n">
        <v>240200</v>
      </c>
      <c r="J15" s="443">
        <f>I15/H15</f>
        <v/>
      </c>
      <c r="Q15" s="4">
        <f>Rates!A30</f>
        <v/>
      </c>
      <c r="R15" s="4">
        <f>Rates!B30</f>
        <v/>
      </c>
      <c r="S15" s="4">
        <f>Rates!C30</f>
        <v/>
      </c>
      <c r="T15" s="4" t="n"/>
      <c r="U15" s="4" t="n"/>
      <c r="V15" s="4" t="n"/>
      <c r="W15" s="440">
        <f>Rates!G30</f>
        <v/>
      </c>
    </row>
    <row r="16" ht="15.6" customHeight="1" s="307">
      <c r="A16" s="444" t="inlineStr">
        <is>
          <t>ARE-22 Burner Alone</t>
        </is>
      </c>
      <c r="B16" s="393" t="n"/>
      <c r="C16" s="393" t="n"/>
      <c r="D16" s="394" t="n"/>
      <c r="E16" s="181" t="n">
        <v>92000</v>
      </c>
      <c r="H16" s="1" t="n">
        <v>239800</v>
      </c>
      <c r="I16" s="3" t="n">
        <v>280600</v>
      </c>
      <c r="J16" s="443">
        <f>I16/H16</f>
        <v/>
      </c>
      <c r="Q16" s="4" t="n">
        <v>29</v>
      </c>
      <c r="R16" s="4">
        <f>Rates!B31</f>
        <v/>
      </c>
      <c r="S16" s="4">
        <f>Rates!C31</f>
        <v/>
      </c>
      <c r="T16" s="4" t="n"/>
      <c r="U16" s="4" t="n"/>
      <c r="V16" s="4" t="n"/>
      <c r="W16" s="440">
        <f>Rates!G31</f>
        <v/>
      </c>
    </row>
    <row r="17" ht="15.6" customHeight="1" s="307">
      <c r="A17" s="444" t="inlineStr">
        <is>
          <t>ARE-35 Burner Alone</t>
        </is>
      </c>
      <c r="B17" s="393" t="n"/>
      <c r="C17" s="393" t="n"/>
      <c r="D17" s="394" t="n"/>
      <c r="E17" s="181" t="n">
        <v>98100</v>
      </c>
      <c r="F17" s="3" t="n"/>
      <c r="H17" s="205" t="n"/>
      <c r="Q17" s="4" t="n">
        <v>30</v>
      </c>
      <c r="R17" s="4">
        <f>Rates!B32</f>
        <v/>
      </c>
      <c r="S17" s="440">
        <f>Rates!C32</f>
        <v/>
      </c>
      <c r="T17" s="4" t="n"/>
      <c r="U17" s="4" t="n"/>
      <c r="V17" s="4" t="n"/>
      <c r="W17" s="440">
        <f>Rates!G32</f>
        <v/>
      </c>
    </row>
    <row r="18" ht="15.6" customHeight="1" s="307">
      <c r="A18" s="444" t="inlineStr">
        <is>
          <t>ARE-50 Burner Alone</t>
        </is>
      </c>
      <c r="B18" s="393" t="n"/>
      <c r="C18" s="393" t="n"/>
      <c r="D18" s="394" t="n"/>
      <c r="E18" s="181" t="n">
        <v>128000</v>
      </c>
      <c r="F18" s="3" t="n"/>
      <c r="G18" s="3" t="n"/>
      <c r="H18" s="205" t="n"/>
      <c r="I18" s="3" t="n"/>
      <c r="J18" s="3" t="n"/>
      <c r="K18" s="3" t="n"/>
      <c r="L18" s="3" t="n"/>
      <c r="Q18" s="4" t="n">
        <v>31</v>
      </c>
      <c r="R18" s="4">
        <f>Rates!B33</f>
        <v/>
      </c>
      <c r="S18" s="440">
        <f>Rates!C33</f>
        <v/>
      </c>
    </row>
    <row r="19" ht="15.6" customHeight="1" s="307">
      <c r="A19" s="444" t="inlineStr">
        <is>
          <t>ID FAN (ARE 13 &amp; ARE 22)</t>
        </is>
      </c>
      <c r="B19" s="393" t="n"/>
      <c r="C19" s="393" t="n"/>
      <c r="D19" s="394" t="n"/>
      <c r="E19" s="181" t="n">
        <v>30000</v>
      </c>
      <c r="F19" s="3" t="n"/>
      <c r="G19" s="3" t="n"/>
      <c r="H19" s="205" t="n"/>
      <c r="I19" s="3" t="n"/>
      <c r="J19" s="3" t="n"/>
      <c r="K19" s="3" t="n"/>
      <c r="L19" s="3" t="n"/>
      <c r="Q19" s="4" t="n">
        <v>32</v>
      </c>
      <c r="R19" s="4">
        <f>Rates!B34</f>
        <v/>
      </c>
      <c r="S19" s="440">
        <f>Rates!C34</f>
        <v/>
      </c>
    </row>
    <row r="20" ht="15.6" customHeight="1" s="307">
      <c r="A20" s="444" t="inlineStr">
        <is>
          <t>ID FAN  (ARE 35)</t>
        </is>
      </c>
      <c r="B20" s="393" t="n"/>
      <c r="C20" s="393" t="n"/>
      <c r="D20" s="394" t="n"/>
      <c r="E20" s="181" t="n">
        <v>35000</v>
      </c>
      <c r="F20" s="3" t="n"/>
      <c r="G20" s="3" t="n"/>
      <c r="H20" s="205" t="n"/>
      <c r="I20" s="3" t="n"/>
      <c r="J20" s="3" t="n"/>
      <c r="K20" s="3" t="n"/>
      <c r="L20" s="3" t="n"/>
      <c r="Q20" s="4" t="n">
        <v>33</v>
      </c>
      <c r="R20" s="4">
        <f>Rates!B35</f>
        <v/>
      </c>
      <c r="S20" s="440">
        <f>Rates!C35</f>
        <v/>
      </c>
    </row>
    <row r="21" ht="15.75" customHeight="1" s="307">
      <c r="A21" s="444" t="inlineStr">
        <is>
          <t>ID FAN (HEAVY DUTY)</t>
        </is>
      </c>
      <c r="B21" s="393" t="n"/>
      <c r="C21" s="393" t="n"/>
      <c r="D21" s="394" t="n"/>
      <c r="E21" s="181" t="n">
        <v>47000</v>
      </c>
      <c r="F21" s="3" t="n"/>
      <c r="G21" s="3" t="n"/>
      <c r="H21" s="205" t="n"/>
      <c r="I21" s="3" t="n"/>
      <c r="J21" s="3" t="n"/>
      <c r="K21" s="3" t="n"/>
      <c r="L21" s="3" t="n"/>
      <c r="Q21" s="4" t="n">
        <v>34</v>
      </c>
      <c r="R21" s="4">
        <f>Rates!B36</f>
        <v/>
      </c>
      <c r="S21" s="440">
        <f>Rates!C36</f>
        <v/>
      </c>
    </row>
    <row r="22" ht="15.75" customHeight="1" s="307">
      <c r="A22" s="444" t="inlineStr">
        <is>
          <t>ID FAN (TYPE O FAN)</t>
        </is>
      </c>
      <c r="B22" s="393" t="n"/>
      <c r="C22" s="393" t="n"/>
      <c r="D22" s="394" t="n"/>
      <c r="E22" s="181" t="n">
        <v>121000</v>
      </c>
      <c r="F22" s="3" t="n"/>
      <c r="G22" s="3" t="n"/>
      <c r="H22" s="205" t="n"/>
      <c r="I22" s="3" t="n"/>
      <c r="J22" s="3" t="n"/>
      <c r="K22" s="3" t="n"/>
      <c r="L22" s="3" t="n"/>
      <c r="Q22" s="4" t="n">
        <v>35</v>
      </c>
      <c r="R22" s="4">
        <f>Rates!B37</f>
        <v/>
      </c>
      <c r="S22" s="440">
        <f>Rates!C37</f>
        <v/>
      </c>
    </row>
    <row r="23" ht="15.75" customHeight="1" s="307">
      <c r="A23" s="444" t="inlineStr">
        <is>
          <t xml:space="preserve">SOLENOID VALVE UNIT </t>
        </is>
      </c>
      <c r="B23" s="393" t="n"/>
      <c r="C23" s="393" t="n"/>
      <c r="D23" s="394" t="n"/>
      <c r="E23" s="181" t="n">
        <v>26000</v>
      </c>
      <c r="F23" s="3" t="n"/>
      <c r="G23" s="3" t="n"/>
      <c r="H23" s="205" t="n"/>
      <c r="I23" s="3" t="n"/>
      <c r="J23" s="3" t="n"/>
      <c r="K23" s="3" t="n"/>
      <c r="L23" s="3" t="n"/>
      <c r="Q23" s="4" t="n">
        <v>36</v>
      </c>
      <c r="R23" s="4">
        <f>Rates!B38</f>
        <v/>
      </c>
      <c r="S23" s="440">
        <f>Rates!C38</f>
        <v/>
      </c>
    </row>
    <row r="24" ht="15.75" customHeight="1" s="307">
      <c r="A24" s="444" t="inlineStr">
        <is>
          <t>ELECTRODE ASSEMBLY</t>
        </is>
      </c>
      <c r="B24" s="393" t="n"/>
      <c r="C24" s="393" t="n"/>
      <c r="D24" s="394" t="n"/>
      <c r="E24" s="181" t="n">
        <v>3500</v>
      </c>
      <c r="F24" s="3" t="n"/>
      <c r="G24" s="3" t="n"/>
      <c r="H24" s="205" t="n"/>
      <c r="I24" s="3" t="n"/>
      <c r="J24" s="3" t="n"/>
      <c r="K24" s="3" t="n"/>
      <c r="L24" s="3" t="n"/>
    </row>
    <row r="25" ht="15.75" customHeight="1" s="307">
      <c r="A25" s="444" t="inlineStr">
        <is>
          <t>NOISE FILTER</t>
        </is>
      </c>
      <c r="B25" s="393" t="n"/>
      <c r="C25" s="393" t="n"/>
      <c r="D25" s="394" t="n"/>
      <c r="E25" s="181" t="n">
        <v>2000</v>
      </c>
      <c r="F25" s="3" t="n"/>
      <c r="G25" s="3" t="n"/>
      <c r="H25" s="205" t="n"/>
      <c r="I25" s="3" t="n"/>
      <c r="J25" s="3" t="n"/>
      <c r="K25" s="3" t="n"/>
      <c r="L25" s="3" t="n"/>
    </row>
    <row r="26" ht="15.75" customHeight="1" s="307">
      <c r="A26" s="444" t="inlineStr">
        <is>
          <t>INPUT SOCKET</t>
        </is>
      </c>
      <c r="B26" s="393" t="n"/>
      <c r="C26" s="393" t="n"/>
      <c r="D26" s="394" t="n"/>
      <c r="E26" s="181" t="n">
        <v>1300</v>
      </c>
      <c r="F26" s="3" t="n"/>
      <c r="G26" s="3" t="n"/>
      <c r="H26" s="205" t="n"/>
      <c r="I26" s="3" t="n"/>
      <c r="J26" s="3" t="n"/>
      <c r="K26" s="3" t="n"/>
      <c r="L26" s="3" t="n"/>
    </row>
    <row r="27" ht="15.75" customHeight="1" s="307">
      <c r="A27" s="444" t="inlineStr">
        <is>
          <t>POWER CABLE</t>
        </is>
      </c>
      <c r="B27" s="393" t="n"/>
      <c r="C27" s="393" t="n"/>
      <c r="D27" s="394" t="n"/>
      <c r="E27" s="445" t="n">
        <v>300</v>
      </c>
      <c r="F27" s="3" t="n"/>
      <c r="G27" s="3" t="n"/>
      <c r="H27" s="205" t="n"/>
      <c r="I27" s="3" t="n"/>
      <c r="J27" s="3" t="n"/>
      <c r="K27" s="3" t="n"/>
      <c r="L27" s="3" t="n"/>
    </row>
    <row r="28" ht="15.75" customHeight="1" s="307">
      <c r="A28" s="444" t="inlineStr">
        <is>
          <t>INDICATOR</t>
        </is>
      </c>
      <c r="B28" s="393" t="n"/>
      <c r="C28" s="393" t="n"/>
      <c r="D28" s="394" t="n"/>
      <c r="E28" s="445" t="n">
        <v>200</v>
      </c>
      <c r="F28" s="3" t="n"/>
      <c r="G28" s="3" t="n"/>
      <c r="H28" s="205" t="n"/>
      <c r="I28" s="3" t="n"/>
      <c r="J28" s="3" t="n"/>
      <c r="K28" s="3" t="n"/>
      <c r="L28" s="3" t="n"/>
    </row>
    <row r="29" ht="15.75" customHeight="1" s="307">
      <c r="A29" s="444" t="inlineStr">
        <is>
          <t>HT CABLE</t>
        </is>
      </c>
      <c r="B29" s="393" t="n"/>
      <c r="C29" s="393" t="n"/>
      <c r="D29" s="394" t="n"/>
      <c r="E29" s="181" t="n">
        <v>2500</v>
      </c>
      <c r="F29" s="3" t="n"/>
      <c r="H29" s="205" t="n"/>
    </row>
    <row r="30" ht="15.75" customHeight="1" s="307">
      <c r="A30" s="444" t="inlineStr">
        <is>
          <t>SENSOR CABLE</t>
        </is>
      </c>
      <c r="B30" s="393" t="n"/>
      <c r="C30" s="393" t="n"/>
      <c r="D30" s="394" t="n"/>
      <c r="E30" s="181" t="n">
        <v>1000</v>
      </c>
      <c r="F30" s="3" t="n"/>
      <c r="H30" s="205" t="n"/>
    </row>
    <row r="31" ht="15.75" customHeight="1" s="307">
      <c r="A31" s="446" t="inlineStr">
        <is>
          <t>WIRING KIT</t>
        </is>
      </c>
      <c r="B31" s="396" t="n"/>
      <c r="C31" s="396" t="n"/>
      <c r="D31" s="397" t="n"/>
      <c r="E31" s="186" t="n">
        <v>10000</v>
      </c>
      <c r="F31" s="3" t="n"/>
      <c r="H31" s="205" t="n"/>
    </row>
    <row r="32" ht="15.75" customHeight="1" s="307">
      <c r="A32" s="441" t="n"/>
      <c r="D32" s="194" t="n"/>
      <c r="E32" s="194" t="n"/>
    </row>
    <row r="33" ht="15.75" customHeight="1" s="307">
      <c r="A33" s="441" t="n"/>
      <c r="D33" s="194" t="n"/>
      <c r="E33" s="194" t="n"/>
    </row>
    <row r="34" ht="15.75" customHeight="1" s="307">
      <c r="A34" s="441" t="n"/>
      <c r="D34" s="194" t="n"/>
      <c r="E34" s="194" t="n"/>
    </row>
    <row r="35" ht="15.75" customHeight="1" s="307">
      <c r="A35" s="441" t="n"/>
      <c r="D35" s="194" t="n"/>
      <c r="E35" s="194" t="n"/>
    </row>
    <row r="36" ht="15.75" customHeight="1" s="307">
      <c r="A36" s="441" t="n"/>
      <c r="D36" s="194" t="n"/>
      <c r="E36" s="194" t="n"/>
    </row>
    <row r="37" ht="15.75" customHeight="1" s="307">
      <c r="A37" s="441" t="n"/>
      <c r="D37" s="194" t="n"/>
      <c r="E37" s="194" t="n"/>
    </row>
    <row r="38" ht="15.75" customHeight="1" s="307">
      <c r="A38" s="441" t="n"/>
      <c r="D38" s="194" t="n"/>
      <c r="E38" s="194" t="n"/>
    </row>
    <row r="39" ht="15.75" customHeight="1" s="307">
      <c r="A39" s="441" t="n"/>
      <c r="D39" s="194" t="n"/>
      <c r="E39" s="194" t="n"/>
    </row>
    <row r="40" ht="15.75" customHeight="1" s="307">
      <c r="A40" s="441" t="n"/>
      <c r="D40" s="194" t="n"/>
      <c r="E40" s="194" t="n"/>
    </row>
    <row r="41" ht="15.75" customHeight="1" s="307">
      <c r="A41" s="441" t="n"/>
      <c r="D41" s="194" t="n"/>
      <c r="E41" s="194" t="n"/>
    </row>
    <row r="42" ht="15.75" customHeight="1" s="307">
      <c r="A42" s="441" t="n"/>
      <c r="D42" s="194" t="n"/>
      <c r="E42" s="194" t="n"/>
    </row>
    <row r="43" ht="15.75" customHeight="1" s="307">
      <c r="A43" s="3" t="n"/>
      <c r="B43" s="3" t="n"/>
      <c r="C43" s="3" t="n"/>
      <c r="D43" s="3" t="n"/>
      <c r="E43" s="3" t="n"/>
    </row>
    <row r="44" ht="15.75" customHeight="1" s="307"/>
    <row r="45" ht="15.75" customHeight="1" s="307"/>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mergeCells count="41">
    <mergeCell ref="A23:D23"/>
    <mergeCell ref="A41:C41"/>
    <mergeCell ref="A17:D17"/>
    <mergeCell ref="A22:D22"/>
    <mergeCell ref="A37:C37"/>
    <mergeCell ref="B3:B4"/>
    <mergeCell ref="A20:D20"/>
    <mergeCell ref="A29:D29"/>
    <mergeCell ref="A19:D19"/>
    <mergeCell ref="A12:C12"/>
    <mergeCell ref="A28:D28"/>
    <mergeCell ref="A13:D13"/>
    <mergeCell ref="A42:C42"/>
    <mergeCell ref="L3:M3"/>
    <mergeCell ref="A33:C33"/>
    <mergeCell ref="A31:D31"/>
    <mergeCell ref="N3:O3"/>
    <mergeCell ref="A32:C32"/>
    <mergeCell ref="A3:A4"/>
    <mergeCell ref="A30:D30"/>
    <mergeCell ref="A15:D15"/>
    <mergeCell ref="A24:D24"/>
    <mergeCell ref="A35:C35"/>
    <mergeCell ref="A38:C38"/>
    <mergeCell ref="A40:C40"/>
    <mergeCell ref="A25:D25"/>
    <mergeCell ref="A39:C39"/>
    <mergeCell ref="A34:C34"/>
    <mergeCell ref="A16:D16"/>
    <mergeCell ref="D12:E12"/>
    <mergeCell ref="J3:K3"/>
    <mergeCell ref="A18:D18"/>
    <mergeCell ref="A36:C36"/>
    <mergeCell ref="A27:D27"/>
    <mergeCell ref="A10:E10"/>
    <mergeCell ref="A26:D26"/>
    <mergeCell ref="A21:D21"/>
    <mergeCell ref="E3:E4"/>
    <mergeCell ref="A1:I1"/>
    <mergeCell ref="C3:D3"/>
    <mergeCell ref="A14:D14"/>
  </mergeCells>
  <pageMargins left="0.2362204724409449" right="0.2362204724409449" top="0.7480314960629921" bottom="0.7480314960629921" header="0" footer="0"/>
  <pageSetup orientation="landscape" paperSize="8" scale="77"/>
</worksheet>
</file>

<file path=xl/worksheets/sheet11.xml><?xml version="1.0" encoding="utf-8"?>
<worksheet xmlns="http://schemas.openxmlformats.org/spreadsheetml/2006/main">
  <sheetPr>
    <tabColor rgb="FF92D050"/>
    <outlinePr summaryBelow="1" summaryRight="1"/>
    <pageSetUpPr fitToPage="1"/>
  </sheetPr>
  <dimension ref="A1:Z82"/>
  <sheetViews>
    <sheetView workbookViewId="0">
      <selection activeCell="A1" sqref="A1"/>
    </sheetView>
  </sheetViews>
  <sheetFormatPr baseColWidth="8" defaultColWidth="14.44140625" defaultRowHeight="15" customHeight="1"/>
  <cols>
    <col width="17.88671875" customWidth="1" style="307" min="1" max="1"/>
    <col width="13.6640625" customWidth="1" style="307" min="2" max="2"/>
    <col width="15.33203125" customWidth="1" style="307" min="3" max="4"/>
    <col width="15.5546875" customWidth="1" style="307" min="5" max="5"/>
    <col width="17.44140625" customWidth="1" style="307" min="6" max="6"/>
    <col width="15.6640625" customWidth="1" style="307" min="7" max="7"/>
    <col width="14" customWidth="1" style="307" min="8" max="8"/>
    <col width="11.88671875" customWidth="1" style="307" min="9" max="10"/>
    <col width="11.6640625" customWidth="1" style="307" min="11" max="11"/>
    <col width="14.6640625" customWidth="1" style="307" min="12" max="12"/>
    <col width="14.44140625" customWidth="1" style="307" min="13" max="13"/>
    <col width="16.44140625" customWidth="1" style="307" min="14" max="14"/>
    <col width="13.5546875" customWidth="1" style="307" min="15" max="15"/>
    <col width="8.6640625" customWidth="1" style="307" min="16" max="17"/>
    <col width="10.33203125" customWidth="1" style="307" min="18" max="18"/>
    <col width="11.33203125" customWidth="1" style="307" min="19" max="20"/>
    <col width="8.6640625" customWidth="1" style="307" min="21" max="26"/>
  </cols>
  <sheetData>
    <row r="1" ht="17.4" customHeight="1" s="307">
      <c r="A1" s="98" t="n"/>
    </row>
    <row r="2" ht="15.6" customHeight="1" s="307">
      <c r="A2" s="447" t="inlineStr">
        <is>
          <t>PRICE FOR VARIOUS SIZES OF ENCON `FILM’ BURNER &amp; ACCESSORIES (W.E.F JUL'22)</t>
        </is>
      </c>
    </row>
    <row r="3" ht="14.4" customHeight="1" s="307">
      <c r="A3" s="207" t="n"/>
    </row>
    <row r="4" ht="46.8" customHeight="1" s="307">
      <c r="A4" s="208" t="inlineStr">
        <is>
          <t>Burner Size</t>
        </is>
      </c>
      <c r="B4" s="209" t="inlineStr">
        <is>
          <t>Burner Alone</t>
        </is>
      </c>
      <c r="C4" s="209" t="inlineStr">
        <is>
          <t>Micro Valve</t>
        </is>
      </c>
      <c r="D4" s="209" t="inlineStr">
        <is>
          <t>C.I.Burner Plate</t>
        </is>
      </c>
      <c r="E4" s="209" t="inlineStr">
        <is>
          <t>High Al.  whyteHeat K Burner Block</t>
        </is>
      </c>
      <c r="F4" s="209" t="inlineStr">
        <is>
          <t>Flexible Hoses Set</t>
        </is>
      </c>
      <c r="G4" s="209" t="inlineStr">
        <is>
          <t>`Y’ type Strainer</t>
        </is>
      </c>
      <c r="H4" s="209" t="inlineStr">
        <is>
          <t>Butterfly Valve</t>
        </is>
      </c>
      <c r="I4" s="210" t="inlineStr">
        <is>
          <t xml:space="preserve">Burner Set </t>
        </is>
      </c>
    </row>
    <row r="5" ht="15.6" customHeight="1" s="307">
      <c r="A5" s="179" t="inlineStr">
        <is>
          <t>ENCON 2A</t>
        </is>
      </c>
      <c r="B5" s="183">
        <f>SUM(' Oil Burner'!H4:H8)*2.5</f>
        <v/>
      </c>
      <c r="C5" s="183">
        <f>' Oil Burner'!Q13*2</f>
        <v/>
      </c>
      <c r="D5" s="183">
        <f>' Oil Burner'!H16*1.8</f>
        <v/>
      </c>
      <c r="E5" s="183">
        <f>' Oil Burner'!H17*2</f>
        <v/>
      </c>
      <c r="F5" s="183">
        <f>SUM(' Oil Burner'!H11:H12)*2</f>
        <v/>
      </c>
      <c r="G5" s="183">
        <f>Rates!K24*2.5</f>
        <v/>
      </c>
      <c r="H5" s="183">
        <f>' Oil Burner'!H9*2</f>
        <v/>
      </c>
      <c r="I5" s="181">
        <f>SUM(B5:H5)</f>
        <v/>
      </c>
      <c r="J5" s="205" t="n"/>
    </row>
    <row r="6" ht="15.6" customHeight="1" s="307">
      <c r="A6" s="179" t="inlineStr">
        <is>
          <t>ENCON 3A</t>
        </is>
      </c>
      <c r="B6" s="183" t="n">
        <v>14000</v>
      </c>
      <c r="C6" s="183">
        <f>C5</f>
        <v/>
      </c>
      <c r="D6" s="183" t="n">
        <v>6518</v>
      </c>
      <c r="E6" s="183">
        <f>E5</f>
        <v/>
      </c>
      <c r="F6" s="183">
        <f>F5</f>
        <v/>
      </c>
      <c r="G6" s="183">
        <f>G5</f>
        <v/>
      </c>
      <c r="H6" s="183">
        <f>H5</f>
        <v/>
      </c>
      <c r="I6" s="181">
        <f>SUM(B6:H6)</f>
        <v/>
      </c>
      <c r="J6" s="205" t="n"/>
      <c r="L6" s="3" t="n"/>
      <c r="T6" s="205" t="n"/>
    </row>
    <row r="7" ht="15.6" customHeight="1" s="307">
      <c r="A7" s="179" t="inlineStr">
        <is>
          <t>ENCON 4A</t>
        </is>
      </c>
      <c r="B7" s="183">
        <f>SUM(' Oil Burner'!Q4:Q8)*2.5</f>
        <v/>
      </c>
      <c r="C7" s="183">
        <f>C6</f>
        <v/>
      </c>
      <c r="D7" s="183">
        <f>' Oil Burner'!Q16*1.8</f>
        <v/>
      </c>
      <c r="E7" s="183">
        <f>' Oil Burner'!Q17*2</f>
        <v/>
      </c>
      <c r="F7" s="183">
        <f>F6</f>
        <v/>
      </c>
      <c r="G7" s="183">
        <f>G6</f>
        <v/>
      </c>
      <c r="H7" s="183">
        <f>' Oil Burner'!Q9*2</f>
        <v/>
      </c>
      <c r="I7" s="181">
        <f>SUM(B7:H7)</f>
        <v/>
      </c>
      <c r="J7" s="205" t="n"/>
      <c r="L7" s="3" t="n"/>
    </row>
    <row r="8" ht="15.6" customHeight="1" s="307">
      <c r="A8" s="179" t="inlineStr">
        <is>
          <t>ENCON 5A</t>
        </is>
      </c>
      <c r="B8" s="183">
        <f>SUM(' Oil Burner'!Z4:Z8)*2.5</f>
        <v/>
      </c>
      <c r="C8" s="183">
        <f>C7</f>
        <v/>
      </c>
      <c r="D8" s="183">
        <f>' Oil Burner'!Z16*1.8</f>
        <v/>
      </c>
      <c r="E8" s="183">
        <f>' Oil Burner'!Z17*2.2</f>
        <v/>
      </c>
      <c r="F8" s="183">
        <f>SUM(' Oil Burner'!Z11:Z12)*2</f>
        <v/>
      </c>
      <c r="G8" s="183">
        <f>G7</f>
        <v/>
      </c>
      <c r="H8" s="183">
        <f>' Oil Burner'!Z9*2</f>
        <v/>
      </c>
      <c r="I8" s="181">
        <f>SUM(B8:H8)</f>
        <v/>
      </c>
      <c r="J8" s="205" t="n"/>
      <c r="L8" s="3" t="n"/>
    </row>
    <row r="9" ht="15.6" customHeight="1" s="307">
      <c r="A9" s="179" t="inlineStr">
        <is>
          <t>ENCON 6A</t>
        </is>
      </c>
      <c r="B9" s="183">
        <f>B8</f>
        <v/>
      </c>
      <c r="C9" s="183">
        <f>C8</f>
        <v/>
      </c>
      <c r="D9" s="183">
        <f>D8</f>
        <v/>
      </c>
      <c r="E9" s="183">
        <f>E8</f>
        <v/>
      </c>
      <c r="F9" s="183">
        <f>F8</f>
        <v/>
      </c>
      <c r="G9" s="183">
        <f>G8</f>
        <v/>
      </c>
      <c r="H9" s="183">
        <f>H8</f>
        <v/>
      </c>
      <c r="I9" s="181">
        <f>SUM(B9:H9)</f>
        <v/>
      </c>
      <c r="J9" s="205" t="n"/>
      <c r="L9" s="3" t="n"/>
    </row>
    <row r="10" ht="15.6" customHeight="1" s="307">
      <c r="A10" s="184" t="inlineStr">
        <is>
          <t>ENCON 7A</t>
        </is>
      </c>
      <c r="B10" s="192">
        <f>SUM(' Oil Burner'!AI4:AI13)*2.5</f>
        <v/>
      </c>
      <c r="C10" s="192">
        <f>Rates!K13*2</f>
        <v/>
      </c>
      <c r="D10" s="192">
        <f>' Oil Burner'!AI20*1.8</f>
        <v/>
      </c>
      <c r="E10" s="192">
        <f>' Oil Burner'!AI19*2</f>
        <v/>
      </c>
      <c r="F10" s="192">
        <f>SUM(' Oil Burner'!AI15:AI16)*2</f>
        <v/>
      </c>
      <c r="G10" s="192">
        <f>G9</f>
        <v/>
      </c>
      <c r="H10" s="192">
        <f>' Oil Burner'!AI17*2</f>
        <v/>
      </c>
      <c r="I10" s="186">
        <f>SUM(B10:H10)</f>
        <v/>
      </c>
      <c r="J10" s="205" t="n"/>
      <c r="L10" s="3" t="n"/>
    </row>
    <row r="12" ht="17.4" customHeight="1" s="307">
      <c r="A12" s="416" t="inlineStr">
        <is>
          <t>PRICE LIST FOR SPARES OF IIP ENCON OIL FILM BURNERS (W.E.F JUL'22)</t>
        </is>
      </c>
    </row>
    <row r="13" ht="14.4" customHeight="1" s="307">
      <c r="C13" s="207" t="inlineStr">
        <is>
          <t xml:space="preserve"> </t>
        </is>
      </c>
    </row>
    <row r="14" ht="14.4" customHeight="1" s="307">
      <c r="A14" s="211" t="inlineStr">
        <is>
          <t>Burner Size</t>
        </is>
      </c>
      <c r="B14" s="212" t="inlineStr">
        <is>
          <t>S.G. Assembly</t>
        </is>
      </c>
      <c r="C14" s="213" t="inlineStr">
        <is>
          <t>Air Resistor</t>
        </is>
      </c>
    </row>
    <row r="15" ht="15.6" customHeight="1" s="307">
      <c r="A15" s="179" t="inlineStr">
        <is>
          <t>ENCON-2A</t>
        </is>
      </c>
      <c r="B15" s="183">
        <f>' Oil Burner'!H8*3</f>
        <v/>
      </c>
      <c r="C15" s="183" t="n">
        <v>2900</v>
      </c>
    </row>
    <row r="16" ht="18" customHeight="1" s="307">
      <c r="A16" s="179" t="inlineStr">
        <is>
          <t>ENCON-3A</t>
        </is>
      </c>
      <c r="B16" s="183">
        <f>BURNER!B15+250</f>
        <v/>
      </c>
      <c r="C16" s="183" t="n">
        <v>2900</v>
      </c>
      <c r="F16" s="3" t="n"/>
    </row>
    <row r="17" ht="18" customHeight="1" s="307">
      <c r="A17" s="179" t="inlineStr">
        <is>
          <t>ENCON-4A</t>
        </is>
      </c>
      <c r="B17" s="183">
        <f>' Oil Burner'!Q8*3.93</f>
        <v/>
      </c>
      <c r="C17" s="183" t="n">
        <v>3600</v>
      </c>
      <c r="F17" s="3" t="n"/>
    </row>
    <row r="18" ht="18" customHeight="1" s="307">
      <c r="A18" s="179" t="inlineStr">
        <is>
          <t>ENCON-5A</t>
        </is>
      </c>
      <c r="B18" s="183">
        <f>' Oil Burner'!Z8*3.4</f>
        <v/>
      </c>
      <c r="C18" s="183" t="n">
        <v>6600</v>
      </c>
      <c r="F18" s="3" t="n"/>
    </row>
    <row r="19" ht="18" customHeight="1" s="307">
      <c r="A19" s="179" t="inlineStr">
        <is>
          <t>ENCON-6A</t>
        </is>
      </c>
      <c r="B19" s="183">
        <f>B18+200</f>
        <v/>
      </c>
      <c r="C19" s="183">
        <f>C18</f>
        <v/>
      </c>
      <c r="F19" s="3" t="n"/>
    </row>
    <row r="20" ht="18" customHeight="1" s="307">
      <c r="A20" s="184" t="inlineStr">
        <is>
          <t>ENCON-7A</t>
        </is>
      </c>
      <c r="B20" s="192">
        <f>SUM(' Oil Burner'!AI13*2)</f>
        <v/>
      </c>
      <c r="C20" s="192" t="n">
        <v>8100</v>
      </c>
      <c r="F20" s="3" t="n"/>
    </row>
    <row r="21" ht="18" customHeight="1" s="307"/>
    <row r="22" ht="18" customHeight="1" s="307">
      <c r="A22" s="447" t="inlineStr">
        <is>
          <t>PRICE FOR VARIOUS SIZES OF ENCON DUAL FUEL BURNER &amp; ACCESSORIES (W.E.F JUL'22)</t>
        </is>
      </c>
      <c r="J22" s="3" t="n"/>
      <c r="K22" s="3" t="n"/>
      <c r="L22" s="3" t="n"/>
      <c r="M22" s="3" t="n"/>
      <c r="N22" s="3" t="n"/>
      <c r="O22" s="3" t="n"/>
      <c r="P22" s="3" t="n"/>
      <c r="Q22" s="3" t="n"/>
      <c r="R22" s="3" t="n"/>
      <c r="S22" s="3" t="n"/>
      <c r="T22" s="3" t="n"/>
      <c r="U22" s="3" t="n"/>
      <c r="V22" s="3" t="n"/>
      <c r="W22" s="3" t="n"/>
      <c r="X22" s="3" t="n"/>
      <c r="Y22" s="3" t="n"/>
      <c r="Z22" s="3" t="n"/>
    </row>
    <row r="23" ht="18" customHeight="1" s="307">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307">
      <c r="A24" s="207" t="n"/>
      <c r="B24" s="3" t="n"/>
      <c r="C24" s="3" t="n"/>
      <c r="D24" s="3" t="n"/>
      <c r="E24" s="3" t="n"/>
      <c r="F24" s="3" t="n"/>
      <c r="G24" s="3" t="n"/>
      <c r="H24" s="3" t="n"/>
      <c r="I24" s="3" t="n"/>
      <c r="J24" s="214" t="n"/>
      <c r="K24" s="3" t="n"/>
    </row>
    <row r="25" ht="15.75" customHeight="1" s="307">
      <c r="A25" s="208" t="inlineStr">
        <is>
          <t>Burner Size</t>
        </is>
      </c>
      <c r="B25" s="209" t="inlineStr">
        <is>
          <t>Burner Alone</t>
        </is>
      </c>
      <c r="C25" s="209" t="inlineStr">
        <is>
          <t>Micro Valve</t>
        </is>
      </c>
      <c r="D25" s="209" t="inlineStr">
        <is>
          <t>C.I.Burner Plate</t>
        </is>
      </c>
      <c r="E25" s="209" t="inlineStr">
        <is>
          <t>High Al.  whyteHeat K Burner Block</t>
        </is>
      </c>
      <c r="F25" s="209" t="inlineStr">
        <is>
          <t>Flexible Hoses Set</t>
        </is>
      </c>
      <c r="G25" s="209" t="inlineStr">
        <is>
          <t>Ball Valve</t>
        </is>
      </c>
      <c r="H25" s="209" t="inlineStr">
        <is>
          <t>`Y’ type 
Strainer</t>
        </is>
      </c>
      <c r="I25" s="209" t="inlineStr">
        <is>
          <t>Butterfly Valve</t>
        </is>
      </c>
      <c r="J25" s="210" t="inlineStr">
        <is>
          <t xml:space="preserve">Burner Set </t>
        </is>
      </c>
      <c r="K25" s="3" t="n"/>
    </row>
    <row r="26" ht="15.75" customHeight="1" s="307">
      <c r="A26" s="179" t="inlineStr">
        <is>
          <t>ENCON 2A</t>
        </is>
      </c>
      <c r="B26" s="183">
        <f>B5+B15</f>
        <v/>
      </c>
      <c r="C26" s="183">
        <f>C5</f>
        <v/>
      </c>
      <c r="D26" s="183">
        <f>D5</f>
        <v/>
      </c>
      <c r="E26" s="183">
        <f>E5</f>
        <v/>
      </c>
      <c r="F26" s="183">
        <f>F5*3/2-5</f>
        <v/>
      </c>
      <c r="G26" s="183">
        <f>C54</f>
        <v/>
      </c>
      <c r="H26" s="183">
        <f>G5</f>
        <v/>
      </c>
      <c r="I26" s="183">
        <f>H5</f>
        <v/>
      </c>
      <c r="J26" s="181">
        <f>SUM(B26:I26)</f>
        <v/>
      </c>
      <c r="K26" s="3" t="n"/>
      <c r="L26" s="1" t="n">
        <v>36000</v>
      </c>
      <c r="M26" s="1">
        <f>J26/L26</f>
        <v/>
      </c>
    </row>
    <row r="27" ht="15.75" customHeight="1" s="307">
      <c r="A27" s="179" t="inlineStr">
        <is>
          <t>ENCON 3A</t>
        </is>
      </c>
      <c r="B27" s="183">
        <f>B6+B16</f>
        <v/>
      </c>
      <c r="C27" s="183">
        <f>C26</f>
        <v/>
      </c>
      <c r="D27" s="183">
        <f>D6</f>
        <v/>
      </c>
      <c r="E27" s="183">
        <f>E26</f>
        <v/>
      </c>
      <c r="F27" s="183">
        <f>F26</f>
        <v/>
      </c>
      <c r="G27" s="183">
        <f>C55</f>
        <v/>
      </c>
      <c r="H27" s="183">
        <f>G6</f>
        <v/>
      </c>
      <c r="I27" s="183">
        <f>H6</f>
        <v/>
      </c>
      <c r="J27" s="181">
        <f>SUM(B27:I27)</f>
        <v/>
      </c>
      <c r="K27" s="3" t="n"/>
      <c r="L27" s="1" t="n">
        <v>37800</v>
      </c>
      <c r="M27" s="3">
        <f>J27/L27</f>
        <v/>
      </c>
    </row>
    <row r="28" ht="15.75" customHeight="1" s="307">
      <c r="A28" s="179" t="inlineStr">
        <is>
          <t>ENCON 4A</t>
        </is>
      </c>
      <c r="B28" s="183">
        <f>B7+B17</f>
        <v/>
      </c>
      <c r="C28" s="183">
        <f>C27</f>
        <v/>
      </c>
      <c r="D28" s="183">
        <f>D7</f>
        <v/>
      </c>
      <c r="E28" s="183">
        <f>E7</f>
        <v/>
      </c>
      <c r="F28" s="183">
        <f>F27</f>
        <v/>
      </c>
      <c r="G28" s="183">
        <f>C56</f>
        <v/>
      </c>
      <c r="H28" s="183">
        <f>G7</f>
        <v/>
      </c>
      <c r="I28" s="183">
        <f>H7</f>
        <v/>
      </c>
      <c r="J28" s="181">
        <f>SUM(B28:I28)</f>
        <v/>
      </c>
      <c r="K28" s="3" t="n"/>
      <c r="L28" s="1" t="n">
        <v>46100</v>
      </c>
      <c r="M28" s="3">
        <f>J28/L28</f>
        <v/>
      </c>
    </row>
    <row r="29" ht="15.75" customHeight="1" s="307">
      <c r="A29" s="179" t="inlineStr">
        <is>
          <t>ENCON 5A</t>
        </is>
      </c>
      <c r="B29" s="183">
        <f>B8+B18</f>
        <v/>
      </c>
      <c r="C29" s="183">
        <f>C28</f>
        <v/>
      </c>
      <c r="D29" s="183">
        <f>D8</f>
        <v/>
      </c>
      <c r="E29" s="183" t="n">
        <v>11850</v>
      </c>
      <c r="F29" s="183">
        <f>F8*3/2</f>
        <v/>
      </c>
      <c r="G29" s="183">
        <f>C57</f>
        <v/>
      </c>
      <c r="H29" s="183">
        <f>G8</f>
        <v/>
      </c>
      <c r="I29" s="183">
        <f>H8</f>
        <v/>
      </c>
      <c r="J29" s="181">
        <f>SUM(B29:I29)</f>
        <v/>
      </c>
      <c r="K29" s="3" t="n"/>
      <c r="L29" s="1" t="n">
        <v>66000</v>
      </c>
      <c r="M29" s="3">
        <f>J29/L29</f>
        <v/>
      </c>
    </row>
    <row r="30" ht="15.75" customHeight="1" s="307">
      <c r="A30" s="179" t="inlineStr">
        <is>
          <t>ENCON 6A</t>
        </is>
      </c>
      <c r="B30" s="183">
        <f>B9+B19</f>
        <v/>
      </c>
      <c r="C30" s="183">
        <f>C29</f>
        <v/>
      </c>
      <c r="D30" s="183">
        <f>D9</f>
        <v/>
      </c>
      <c r="E30" s="183">
        <f>E29</f>
        <v/>
      </c>
      <c r="F30" s="183">
        <f>F29</f>
        <v/>
      </c>
      <c r="G30" s="183">
        <f>C58</f>
        <v/>
      </c>
      <c r="H30" s="183">
        <f>G9</f>
        <v/>
      </c>
      <c r="I30" s="183">
        <f>H9</f>
        <v/>
      </c>
      <c r="J30" s="181">
        <f>SUM(B30:I30)</f>
        <v/>
      </c>
      <c r="K30" s="3" t="n"/>
      <c r="L30" s="1" t="n">
        <v>70400</v>
      </c>
      <c r="M30" s="3">
        <f>J30/L30</f>
        <v/>
      </c>
    </row>
    <row r="31" ht="15.75" customHeight="1" s="307">
      <c r="A31" s="184" t="inlineStr">
        <is>
          <t>ENCON 7A</t>
        </is>
      </c>
      <c r="B31" s="192">
        <f>B10+B20</f>
        <v/>
      </c>
      <c r="C31" s="183">
        <f>C30</f>
        <v/>
      </c>
      <c r="D31" s="192">
        <f>D10</f>
        <v/>
      </c>
      <c r="E31" s="192">
        <f>E10</f>
        <v/>
      </c>
      <c r="F31" s="192">
        <f>F10*3/2</f>
        <v/>
      </c>
      <c r="G31" s="192">
        <f>C59</f>
        <v/>
      </c>
      <c r="H31" s="192">
        <f>G10</f>
        <v/>
      </c>
      <c r="I31" s="192">
        <f>H10</f>
        <v/>
      </c>
      <c r="J31" s="186">
        <f>SUM(B31:I31)</f>
        <v/>
      </c>
      <c r="K31" s="3" t="n"/>
      <c r="L31" s="1" t="n">
        <v>138300</v>
      </c>
      <c r="M31" s="3">
        <f>J31/L31</f>
        <v/>
      </c>
    </row>
    <row r="32" ht="15.75" customHeight="1" s="307">
      <c r="A32" s="360" t="n"/>
      <c r="B32" s="194" t="n"/>
      <c r="C32" s="194" t="n"/>
      <c r="D32" s="194" t="n"/>
      <c r="E32" s="194" t="n"/>
      <c r="F32" s="194" t="n"/>
      <c r="G32" s="3" t="n"/>
      <c r="H32" s="194" t="n"/>
      <c r="I32" s="194" t="n"/>
      <c r="J32" s="194" t="n"/>
      <c r="K32" s="3" t="n"/>
      <c r="L32" s="3" t="n"/>
      <c r="M32" s="3" t="n"/>
      <c r="N32" s="3" t="n"/>
      <c r="O32" s="3" t="n"/>
      <c r="P32" s="3" t="n"/>
      <c r="Q32" s="3" t="n"/>
      <c r="R32" s="3" t="n"/>
      <c r="S32" s="3" t="n"/>
      <c r="T32" s="3" t="n"/>
      <c r="U32" s="3" t="n"/>
      <c r="V32" s="3" t="n"/>
      <c r="W32" s="3" t="n"/>
      <c r="X32" s="3" t="n"/>
      <c r="Y32" s="3" t="n"/>
      <c r="Z32" s="3" t="n"/>
    </row>
    <row r="33" ht="15.75" customHeight="1" s="307">
      <c r="A33" s="448" t="inlineStr">
        <is>
          <t>PRICE LIST FOR HIGH VELOCITY OIL BURNERS (W.E.F JUL'22)</t>
        </is>
      </c>
      <c r="J33" s="3" t="n"/>
      <c r="K33" s="3" t="n"/>
    </row>
    <row r="34" ht="15.75" customHeight="1" s="307">
      <c r="A34" s="366" t="n"/>
      <c r="J34" s="3" t="n"/>
      <c r="K34" s="3" t="n"/>
    </row>
    <row r="35" ht="15.75" customHeight="1" s="307">
      <c r="A35" s="429" t="inlineStr">
        <is>
          <t>Burner Size</t>
        </is>
      </c>
      <c r="B35" s="431" t="n"/>
      <c r="C35" s="209" t="inlineStr">
        <is>
          <t>Burner Alone</t>
        </is>
      </c>
      <c r="D35" s="209" t="inlineStr">
        <is>
          <t>Burner Block</t>
        </is>
      </c>
      <c r="E35" s="209" t="inlineStr">
        <is>
          <t>Micro Valve</t>
        </is>
      </c>
      <c r="F35" s="209" t="inlineStr">
        <is>
          <t>Flexible Hoses Set</t>
        </is>
      </c>
      <c r="G35" s="209" t="inlineStr">
        <is>
          <t>`Y’ type Strainer</t>
        </is>
      </c>
      <c r="H35" s="209" t="inlineStr">
        <is>
          <t>Butterfly Valve</t>
        </is>
      </c>
      <c r="I35" s="216" t="inlineStr">
        <is>
          <t xml:space="preserve">Burner Set </t>
        </is>
      </c>
      <c r="J35" s="3" t="n"/>
      <c r="K35" s="3" t="n"/>
    </row>
    <row r="36" ht="15.75" customHeight="1" s="307">
      <c r="A36" s="227" t="inlineStr">
        <is>
          <t>ENCON HV-3A</t>
        </is>
      </c>
      <c r="B36" s="394" t="n"/>
      <c r="C36" s="183">
        <f>B6</f>
        <v/>
      </c>
      <c r="D36" s="183" t="n">
        <v>44000</v>
      </c>
      <c r="E36" s="183">
        <f>C5</f>
        <v/>
      </c>
      <c r="F36" s="183">
        <f>SUM('HV  Oil Burner'!H7:H8)*2</f>
        <v/>
      </c>
      <c r="G36" s="183">
        <f>H27</f>
        <v/>
      </c>
      <c r="H36" s="183">
        <f>H6</f>
        <v/>
      </c>
      <c r="I36" s="217">
        <f>SUM(C36:H36)</f>
        <v/>
      </c>
      <c r="J36" s="3" t="n"/>
      <c r="K36" s="205" t="n"/>
    </row>
    <row r="37" ht="15.75" customHeight="1" s="307">
      <c r="A37" s="227" t="inlineStr">
        <is>
          <t>ENCON HV-4A</t>
        </is>
      </c>
      <c r="B37" s="394" t="n"/>
      <c r="C37" s="183">
        <f>B7</f>
        <v/>
      </c>
      <c r="D37" s="183" t="n">
        <v>59000</v>
      </c>
      <c r="E37" s="183">
        <f>C6</f>
        <v/>
      </c>
      <c r="F37" s="183">
        <f>SUM('HV  Oil Burner'!Q7:Q8)*2</f>
        <v/>
      </c>
      <c r="G37" s="183">
        <f>H28</f>
        <v/>
      </c>
      <c r="H37" s="183">
        <f>H7</f>
        <v/>
      </c>
      <c r="I37" s="217">
        <f>SUM(C37:H37)</f>
        <v/>
      </c>
      <c r="J37" s="3" t="n"/>
      <c r="K37" s="205" t="n"/>
      <c r="L37" s="3" t="n"/>
    </row>
    <row r="38" ht="15.75" customHeight="1" s="307">
      <c r="A38" s="227" t="inlineStr">
        <is>
          <t>ENCON HV-5A</t>
        </is>
      </c>
      <c r="B38" s="394" t="n"/>
      <c r="C38" s="183">
        <f>B8</f>
        <v/>
      </c>
      <c r="D38" s="183" t="n">
        <v>71500</v>
      </c>
      <c r="E38" s="183">
        <f>C7</f>
        <v/>
      </c>
      <c r="F38" s="183">
        <f>F37</f>
        <v/>
      </c>
      <c r="G38" s="183">
        <f>H29</f>
        <v/>
      </c>
      <c r="H38" s="183">
        <f>H8</f>
        <v/>
      </c>
      <c r="I38" s="217">
        <f>SUM(C38:H38)</f>
        <v/>
      </c>
      <c r="J38" s="3" t="n"/>
      <c r="K38" s="205" t="n"/>
      <c r="L38" s="3" t="n"/>
    </row>
    <row r="39" ht="15.75" customHeight="1" s="307">
      <c r="A39" s="227" t="inlineStr">
        <is>
          <t>ENCON HV-6A</t>
        </is>
      </c>
      <c r="B39" s="394" t="n"/>
      <c r="C39" s="183">
        <f>B9</f>
        <v/>
      </c>
      <c r="D39" s="183" t="n">
        <v>161000</v>
      </c>
      <c r="E39" s="183">
        <f>C8</f>
        <v/>
      </c>
      <c r="F39" s="183">
        <f>SUM('HV  Oil Burner'!Z7:Z9)*2</f>
        <v/>
      </c>
      <c r="G39" s="183">
        <f>H30</f>
        <v/>
      </c>
      <c r="H39" s="183">
        <f>H9</f>
        <v/>
      </c>
      <c r="I39" s="217">
        <f>SUM(C39:H39)</f>
        <v/>
      </c>
      <c r="J39" s="3" t="n"/>
      <c r="K39" s="205" t="n"/>
      <c r="L39" s="3" t="n"/>
    </row>
    <row r="40" ht="15.75" customHeight="1" s="307">
      <c r="A40" s="449" t="inlineStr">
        <is>
          <t>ENCON HV-7A</t>
        </is>
      </c>
      <c r="B40" s="397" t="n"/>
      <c r="C40" s="192">
        <f>B10</f>
        <v/>
      </c>
      <c r="D40" s="192" t="n">
        <v>201300</v>
      </c>
      <c r="E40" s="192">
        <f>C10</f>
        <v/>
      </c>
      <c r="F40" s="192">
        <f>SUM('HV  Oil Burner'!AI14:AI15)*2</f>
        <v/>
      </c>
      <c r="G40" s="192">
        <f>H31</f>
        <v/>
      </c>
      <c r="H40" s="192">
        <f>H10</f>
        <v/>
      </c>
      <c r="I40" s="218">
        <f>SUM(C40:H40)</f>
        <v/>
      </c>
      <c r="J40" s="3" t="n"/>
      <c r="K40" s="205" t="n"/>
      <c r="L40" s="3" t="n"/>
    </row>
    <row r="41" ht="15.75" customHeight="1" s="307">
      <c r="A41" s="219" t="n"/>
      <c r="B41" s="219" t="n"/>
      <c r="C41" s="220" t="n"/>
      <c r="D41" s="220" t="n"/>
      <c r="E41" s="450" t="n"/>
      <c r="F41" s="220" t="n"/>
      <c r="G41" s="220" t="n"/>
      <c r="H41" s="222" t="n"/>
      <c r="I41" s="222" t="n"/>
      <c r="J41" s="3" t="n"/>
      <c r="K41" s="3" t="n"/>
    </row>
    <row r="42" ht="15.75" customHeight="1" s="307">
      <c r="A42" s="448" t="inlineStr">
        <is>
          <t>PRICE LIST FOR HIGH VELOCITY GAS BURNERS (W.E.F JUL'22)</t>
        </is>
      </c>
      <c r="I42" s="3" t="n"/>
      <c r="J42" s="3" t="n"/>
      <c r="K42" s="3" t="n"/>
    </row>
    <row r="43" ht="15.75" customHeight="1" s="307">
      <c r="A43" s="366" t="n"/>
      <c r="B43" s="3" t="n"/>
      <c r="C43" s="3" t="n"/>
      <c r="D43" s="3" t="n"/>
      <c r="E43" s="3" t="n"/>
      <c r="F43" s="3" t="n"/>
      <c r="G43" s="3" t="n"/>
      <c r="H43" s="3" t="n"/>
      <c r="I43" s="3" t="n"/>
      <c r="J43" s="3" t="n"/>
      <c r="K43" s="3" t="n"/>
    </row>
    <row r="44" ht="15.75" customHeight="1" s="307">
      <c r="A44" s="429" t="inlineStr">
        <is>
          <t>Burner Size</t>
        </is>
      </c>
      <c r="B44" s="431" t="n"/>
      <c r="C44" s="209" t="inlineStr">
        <is>
          <t>Burner Alone</t>
        </is>
      </c>
      <c r="D44" s="209" t="inlineStr">
        <is>
          <t>Burner Block</t>
        </is>
      </c>
      <c r="E44" s="209" t="inlineStr">
        <is>
          <t>Ball Valve</t>
        </is>
      </c>
      <c r="F44" s="209" t="inlineStr">
        <is>
          <t>Flexible Hoses Set</t>
        </is>
      </c>
      <c r="G44" s="209" t="inlineStr">
        <is>
          <t>Butterfly Valve</t>
        </is>
      </c>
      <c r="H44" s="216" t="inlineStr">
        <is>
          <t xml:space="preserve">Burner Set </t>
        </is>
      </c>
      <c r="J44" s="3" t="n"/>
      <c r="K44" s="3" t="n"/>
    </row>
    <row r="45" ht="15.75" customHeight="1" s="307">
      <c r="A45" s="227" t="inlineStr">
        <is>
          <t>ENCON HV-3A</t>
        </is>
      </c>
      <c r="B45" s="394" t="n"/>
      <c r="C45" s="183">
        <f>B55</f>
        <v/>
      </c>
      <c r="D45" s="183">
        <f>D36</f>
        <v/>
      </c>
      <c r="E45" s="183">
        <f>C55</f>
        <v/>
      </c>
      <c r="F45" s="183">
        <f>F55</f>
        <v/>
      </c>
      <c r="G45" s="183">
        <f>H36</f>
        <v/>
      </c>
      <c r="H45" s="217">
        <f>SUM(C45:G45)</f>
        <v/>
      </c>
      <c r="J45" s="3" t="n"/>
    </row>
    <row r="46" ht="15.75" customHeight="1" s="307">
      <c r="A46" s="227" t="inlineStr">
        <is>
          <t>ENCON HV-4A</t>
        </is>
      </c>
      <c r="B46" s="394" t="n"/>
      <c r="C46" s="183">
        <f>B56</f>
        <v/>
      </c>
      <c r="D46" s="183">
        <f>D37</f>
        <v/>
      </c>
      <c r="E46" s="183">
        <f>C56</f>
        <v/>
      </c>
      <c r="F46" s="183">
        <f>F56</f>
        <v/>
      </c>
      <c r="G46" s="183">
        <f>H37</f>
        <v/>
      </c>
      <c r="H46" s="217">
        <f>SUM(C46:G46)</f>
        <v/>
      </c>
      <c r="J46" s="3" t="n"/>
      <c r="K46" s="3" t="n"/>
    </row>
    <row r="47" ht="15.75" customHeight="1" s="307">
      <c r="A47" s="227" t="inlineStr">
        <is>
          <t>ENCON HV-5A</t>
        </is>
      </c>
      <c r="B47" s="394" t="n"/>
      <c r="C47" s="183">
        <f>B57</f>
        <v/>
      </c>
      <c r="D47" s="183">
        <f>D38</f>
        <v/>
      </c>
      <c r="E47" s="183">
        <f>C57</f>
        <v/>
      </c>
      <c r="F47" s="183">
        <f>F57</f>
        <v/>
      </c>
      <c r="G47" s="183">
        <f>H38</f>
        <v/>
      </c>
      <c r="H47" s="217">
        <f>SUM(C47:G47)</f>
        <v/>
      </c>
      <c r="J47" s="3" t="n"/>
      <c r="K47" s="3" t="n"/>
    </row>
    <row r="48" ht="15.75" customHeight="1" s="307">
      <c r="A48" s="227" t="inlineStr">
        <is>
          <t>ENCON HV-6A</t>
        </is>
      </c>
      <c r="B48" s="394" t="n"/>
      <c r="C48" s="183">
        <f>B58</f>
        <v/>
      </c>
      <c r="D48" s="183">
        <f>D39</f>
        <v/>
      </c>
      <c r="E48" s="183">
        <f>C58</f>
        <v/>
      </c>
      <c r="F48" s="183">
        <f>F58</f>
        <v/>
      </c>
      <c r="G48" s="183">
        <f>H39</f>
        <v/>
      </c>
      <c r="H48" s="217">
        <f>SUM(C48:G48)</f>
        <v/>
      </c>
      <c r="J48" s="3" t="n"/>
      <c r="K48" s="3" t="n"/>
    </row>
    <row r="49" ht="16.5" customHeight="1" s="307">
      <c r="A49" s="449" t="inlineStr">
        <is>
          <t>ENCON HV-7A</t>
        </is>
      </c>
      <c r="B49" s="397" t="n"/>
      <c r="C49" s="192">
        <f>B59</f>
        <v/>
      </c>
      <c r="D49" s="192">
        <f>D40</f>
        <v/>
      </c>
      <c r="E49" s="192">
        <f>C59</f>
        <v/>
      </c>
      <c r="F49" s="192">
        <f>F59</f>
        <v/>
      </c>
      <c r="G49" s="183">
        <f>H40</f>
        <v/>
      </c>
      <c r="H49" s="218">
        <f>SUM(C49:G49)</f>
        <v/>
      </c>
      <c r="J49" s="3" t="n"/>
      <c r="K49" s="3" t="n"/>
    </row>
    <row r="50" ht="15.75" customHeight="1" s="307">
      <c r="A50" s="219" t="n"/>
      <c r="B50" s="219" t="n"/>
      <c r="C50" s="220" t="n"/>
      <c r="D50" s="220" t="n"/>
      <c r="E50" s="450" t="n"/>
      <c r="F50" s="220" t="n"/>
      <c r="G50" s="220" t="n"/>
      <c r="H50" s="222" t="n"/>
      <c r="I50" s="222" t="n"/>
      <c r="J50" s="3" t="n"/>
    </row>
    <row r="51" ht="15.75" customHeight="1" s="307">
      <c r="A51" s="447" t="inlineStr">
        <is>
          <t>PRICE FOR VARIOUS SIZES OF ENCON `GAS’ BURNER &amp; ACCESSORIES (W.E.F JUL'22)</t>
        </is>
      </c>
      <c r="I51" s="223" t="n"/>
      <c r="J51" s="3" t="n"/>
    </row>
    <row r="52" ht="15.75" customHeight="1" s="307">
      <c r="A52" s="207" t="n"/>
      <c r="J52" s="3" t="n"/>
    </row>
    <row r="53" ht="15.75" customHeight="1" s="307">
      <c r="A53" s="208" t="inlineStr">
        <is>
          <t>Burner Size</t>
        </is>
      </c>
      <c r="B53" s="209" t="inlineStr">
        <is>
          <t>Burner Alone</t>
        </is>
      </c>
      <c r="C53" s="209" t="inlineStr">
        <is>
          <t>Ball Valve</t>
        </is>
      </c>
      <c r="D53" s="209" t="inlineStr">
        <is>
          <t>C.I.Burner Plate</t>
        </is>
      </c>
      <c r="E53" s="209" t="inlineStr">
        <is>
          <t>High Al.  whyteHeat K Burner Block</t>
        </is>
      </c>
      <c r="F53" s="209" t="inlineStr">
        <is>
          <t>Flexible Hoses Set</t>
        </is>
      </c>
      <c r="G53" s="209" t="inlineStr">
        <is>
          <t>Butterfly Valve</t>
        </is>
      </c>
      <c r="H53" s="210" t="inlineStr">
        <is>
          <t xml:space="preserve">Burner Set </t>
        </is>
      </c>
    </row>
    <row r="54" ht="15.75" customHeight="1" s="307">
      <c r="A54" s="179" t="inlineStr">
        <is>
          <t>ENCON 2A</t>
        </is>
      </c>
      <c r="B54" s="183">
        <f>B5</f>
        <v/>
      </c>
      <c r="C54" s="183">
        <f>2*Rates!K28*78%</f>
        <v/>
      </c>
      <c r="D54" s="183">
        <f>D5</f>
        <v/>
      </c>
      <c r="E54" s="183">
        <f>E5</f>
        <v/>
      </c>
      <c r="F54" s="183">
        <f>F5</f>
        <v/>
      </c>
      <c r="G54" s="183">
        <f>H5</f>
        <v/>
      </c>
      <c r="H54" s="181">
        <f>SUM(B54:G54)</f>
        <v/>
      </c>
    </row>
    <row r="55" ht="15.75" customHeight="1" s="307">
      <c r="A55" s="179" t="inlineStr">
        <is>
          <t>ENCON 3A</t>
        </is>
      </c>
      <c r="B55" s="183">
        <f>B6</f>
        <v/>
      </c>
      <c r="C55" s="183">
        <f>C54</f>
        <v/>
      </c>
      <c r="D55" s="183">
        <f>D6</f>
        <v/>
      </c>
      <c r="E55" s="183">
        <f>E6</f>
        <v/>
      </c>
      <c r="F55" s="183">
        <f>F6</f>
        <v/>
      </c>
      <c r="G55" s="183">
        <f>H6</f>
        <v/>
      </c>
      <c r="H55" s="181">
        <f>SUM(B55:G55)</f>
        <v/>
      </c>
      <c r="K55" s="3" t="n"/>
    </row>
    <row r="56" ht="15.75" customHeight="1" s="307">
      <c r="A56" s="179" t="inlineStr">
        <is>
          <t>ENCON 4A</t>
        </is>
      </c>
      <c r="B56" s="183">
        <f>B7</f>
        <v/>
      </c>
      <c r="C56" s="183">
        <f>2*Rates!K26*78%</f>
        <v/>
      </c>
      <c r="D56" s="183">
        <f>D7</f>
        <v/>
      </c>
      <c r="E56" s="183">
        <f>E7</f>
        <v/>
      </c>
      <c r="F56" s="183">
        <f>F7</f>
        <v/>
      </c>
      <c r="G56" s="183">
        <f>H7</f>
        <v/>
      </c>
      <c r="H56" s="181">
        <f>SUM(B56:G56)</f>
        <v/>
      </c>
      <c r="K56" s="3" t="n"/>
    </row>
    <row r="57" ht="15.75" customHeight="1" s="307">
      <c r="A57" s="179" t="inlineStr">
        <is>
          <t>ENCON 5A</t>
        </is>
      </c>
      <c r="B57" s="183">
        <f>B8</f>
        <v/>
      </c>
      <c r="C57" s="183">
        <f>2*Rates!K29*78%</f>
        <v/>
      </c>
      <c r="D57" s="183">
        <f>D8</f>
        <v/>
      </c>
      <c r="E57" s="183">
        <f>E8</f>
        <v/>
      </c>
      <c r="F57" s="183">
        <f>F8</f>
        <v/>
      </c>
      <c r="G57" s="183">
        <f>H8</f>
        <v/>
      </c>
      <c r="H57" s="181">
        <f>SUM(B57:G57)</f>
        <v/>
      </c>
      <c r="K57" s="3" t="n"/>
    </row>
    <row r="58" ht="15.75" customHeight="1" s="307">
      <c r="A58" s="179" t="inlineStr">
        <is>
          <t>ENCON 6A</t>
        </is>
      </c>
      <c r="B58" s="183">
        <f>B9</f>
        <v/>
      </c>
      <c r="C58" s="183">
        <f>2*Rates!K30*78%</f>
        <v/>
      </c>
      <c r="D58" s="183">
        <f>D9</f>
        <v/>
      </c>
      <c r="E58" s="183">
        <f>E9</f>
        <v/>
      </c>
      <c r="F58" s="183">
        <f>F9</f>
        <v/>
      </c>
      <c r="G58" s="183">
        <f>H9</f>
        <v/>
      </c>
      <c r="H58" s="181">
        <f>SUM(B58:G58)</f>
        <v/>
      </c>
      <c r="K58" s="3" t="n"/>
    </row>
    <row r="59" ht="15.75" customHeight="1" s="307">
      <c r="A59" s="184" t="inlineStr">
        <is>
          <t>ENCON 7A</t>
        </is>
      </c>
      <c r="B59" s="192">
        <f>B10</f>
        <v/>
      </c>
      <c r="C59" s="192">
        <f>C58</f>
        <v/>
      </c>
      <c r="D59" s="192">
        <f>D10</f>
        <v/>
      </c>
      <c r="E59" s="192">
        <f>E10</f>
        <v/>
      </c>
      <c r="F59" s="192">
        <f>F10</f>
        <v/>
      </c>
      <c r="G59" s="192">
        <f>H10</f>
        <v/>
      </c>
      <c r="H59" s="186">
        <f>SUM(B59:G59)</f>
        <v/>
      </c>
      <c r="K59" s="3" t="n"/>
    </row>
    <row r="60" ht="15.75" customHeight="1" s="307">
      <c r="A60" s="219" t="n"/>
      <c r="B60" s="219" t="n"/>
      <c r="C60" s="220" t="n"/>
      <c r="D60" s="220" t="n"/>
      <c r="E60" s="450" t="n"/>
      <c r="F60" s="220" t="n"/>
      <c r="G60" s="220" t="n"/>
      <c r="H60" s="222" t="n"/>
      <c r="I60" s="222" t="n"/>
    </row>
    <row r="61" ht="15.75" customHeight="1" s="307"/>
    <row r="62" ht="15.75" customHeight="1" s="307">
      <c r="A62" s="214" t="inlineStr">
        <is>
          <t>PRICE LIST FOR PILOT BURNER BURNERS</t>
        </is>
      </c>
      <c r="B62" s="214" t="n"/>
    </row>
    <row r="63" ht="15.75" customHeight="1" s="307">
      <c r="A63" s="224" t="n"/>
      <c r="B63" s="225" t="n"/>
      <c r="C63" s="225" t="n"/>
    </row>
    <row r="64" ht="15.75" customHeight="1" s="307">
      <c r="A64" s="7" t="inlineStr">
        <is>
          <t>ENCON-PB-LPG -10 KW</t>
        </is>
      </c>
      <c r="B64" s="394" t="n"/>
      <c r="C64" s="26" t="n">
        <v>11000</v>
      </c>
    </row>
    <row r="65" ht="15.75" customHeight="1" s="307">
      <c r="A65" s="7" t="inlineStr">
        <is>
          <t>ENCON( NG/LPG) -100 KW</t>
        </is>
      </c>
      <c r="B65" s="394" t="n"/>
      <c r="C65" s="26" t="n">
        <v>21000</v>
      </c>
    </row>
    <row r="66" ht="15.75" customHeight="1" s="307">
      <c r="A66" s="7" t="inlineStr">
        <is>
          <t>ENCON PB COG 100 KW</t>
        </is>
      </c>
      <c r="B66" s="394" t="n"/>
      <c r="C66" s="26" t="n">
        <v>32000</v>
      </c>
    </row>
    <row r="67" ht="15.75" customHeight="1" s="307">
      <c r="A67" s="30" t="inlineStr">
        <is>
          <t>Electrode for LPG pilot burner</t>
        </is>
      </c>
      <c r="B67" s="394" t="n"/>
      <c r="C67" s="26" t="n">
        <v>1650</v>
      </c>
    </row>
    <row r="68" ht="15.75" customHeight="1" s="307">
      <c r="A68" s="30" t="inlineStr">
        <is>
          <t>Electrode for COG pilot burner</t>
        </is>
      </c>
      <c r="B68" s="394" t="n"/>
      <c r="C68" s="26" t="n">
        <v>3300</v>
      </c>
    </row>
    <row r="69" ht="15.75" customHeight="1" s="307">
      <c r="A69" s="30" t="inlineStr">
        <is>
          <t xml:space="preserve">Burner Control Unit </t>
        </is>
      </c>
      <c r="B69" s="394" t="n"/>
      <c r="C69" s="26" t="n">
        <v>10000</v>
      </c>
    </row>
    <row r="70" ht="15.75" customHeight="1" s="307">
      <c r="A70" s="30" t="inlineStr">
        <is>
          <t>Ignition tranformer</t>
        </is>
      </c>
      <c r="B70" s="394" t="n"/>
      <c r="C70" s="26" t="n">
        <v>5500</v>
      </c>
    </row>
    <row r="71" ht="15.75" customHeight="1" s="307">
      <c r="A71" s="30" t="inlineStr">
        <is>
          <t>UV Sesnor with air jacket</t>
        </is>
      </c>
      <c r="B71" s="394" t="n"/>
      <c r="C71" s="26" t="n">
        <v>13000</v>
      </c>
    </row>
    <row r="72" ht="15.75" customHeight="1" s="307"/>
    <row r="73" ht="15.75" customHeight="1" s="307"/>
    <row r="74" ht="15.75" customHeight="1" s="307">
      <c r="A74" s="226" t="inlineStr">
        <is>
          <t>PRICE LIST FOR GAS Burner (W.E.F JUL'22)</t>
        </is>
      </c>
      <c r="B74" s="52" t="n"/>
      <c r="C74" s="52" t="n"/>
      <c r="D74" s="52" t="n"/>
      <c r="E74" s="52" t="n"/>
      <c r="F74" s="52" t="n"/>
      <c r="G74" s="52" t="n"/>
      <c r="H74" s="53" t="n"/>
    </row>
    <row r="75" ht="15.75" customHeight="1" s="307">
      <c r="A75" s="68" t="n"/>
      <c r="B75" s="3" t="n"/>
      <c r="C75" s="3" t="n"/>
      <c r="D75" s="3" t="n"/>
      <c r="E75" s="3" t="n"/>
      <c r="F75" s="3" t="n"/>
      <c r="G75" s="3" t="n"/>
      <c r="H75" s="67" t="n"/>
    </row>
    <row r="76" ht="15.75" customHeight="1" s="307">
      <c r="A76" s="227" t="inlineStr">
        <is>
          <t>GAIL design (Hole Type)</t>
        </is>
      </c>
      <c r="B76" s="178" t="inlineStr">
        <is>
          <t>Burner Alone (SS Pipe)</t>
        </is>
      </c>
      <c r="C76" s="178" t="inlineStr">
        <is>
          <t>C.I.Burner Plate</t>
        </is>
      </c>
      <c r="D76" s="178" t="inlineStr">
        <is>
          <t>High Al.  Burner Block</t>
        </is>
      </c>
      <c r="E76" s="178" t="inlineStr">
        <is>
          <t>Hose</t>
        </is>
      </c>
      <c r="F76" s="178" t="inlineStr">
        <is>
          <t>Butterfly Valve</t>
        </is>
      </c>
      <c r="G76" s="178" t="inlineStr">
        <is>
          <t>Ball Valve</t>
        </is>
      </c>
      <c r="H76" s="228" t="inlineStr">
        <is>
          <t>Burner Assly</t>
        </is>
      </c>
      <c r="I76" s="306" t="n"/>
      <c r="J76" s="306" t="n"/>
      <c r="K76" s="306" t="n"/>
      <c r="L76" s="306" t="n"/>
      <c r="M76" s="306" t="n"/>
      <c r="N76" s="306" t="n"/>
      <c r="O76" s="306" t="n"/>
      <c r="P76" s="306" t="n"/>
      <c r="Q76" s="306" t="n"/>
      <c r="R76" s="306" t="n"/>
      <c r="S76" s="306" t="n"/>
      <c r="T76" s="306" t="n"/>
      <c r="U76" s="306" t="n"/>
      <c r="V76" s="306" t="n"/>
      <c r="W76" s="306" t="n"/>
      <c r="X76" s="306" t="n"/>
      <c r="Y76" s="306" t="n"/>
      <c r="Z76" s="306" t="n"/>
    </row>
    <row r="77" ht="15.75" customHeight="1" s="307">
      <c r="A77" s="29" t="inlineStr">
        <is>
          <t>500 KW</t>
        </is>
      </c>
      <c r="B77" s="183" t="n">
        <v>26000</v>
      </c>
      <c r="C77" s="183">
        <f>D7</f>
        <v/>
      </c>
      <c r="D77" s="183">
        <f>E7</f>
        <v/>
      </c>
      <c r="E77" s="229">
        <f>F7</f>
        <v/>
      </c>
      <c r="F77" s="229">
        <f>H7</f>
        <v/>
      </c>
      <c r="G77" s="229">
        <f>C56</f>
        <v/>
      </c>
      <c r="H77" s="230">
        <f>SUM(B77:G77)</f>
        <v/>
      </c>
    </row>
    <row r="78" ht="15.75" customHeight="1" s="307">
      <c r="A78" s="29" t="inlineStr">
        <is>
          <t>1000 KW</t>
        </is>
      </c>
      <c r="B78" s="183" t="n">
        <v>37500</v>
      </c>
      <c r="C78" s="183">
        <f>D9</f>
        <v/>
      </c>
      <c r="D78" s="183">
        <f>E9</f>
        <v/>
      </c>
      <c r="E78" s="229">
        <f>F8</f>
        <v/>
      </c>
      <c r="F78" s="229">
        <f>I30</f>
        <v/>
      </c>
      <c r="G78" s="229">
        <f>C58</f>
        <v/>
      </c>
      <c r="H78" s="230">
        <f>SUM(B78:G78)</f>
        <v/>
      </c>
      <c r="K78" s="3" t="n"/>
    </row>
    <row r="79" ht="15.75" customHeight="1" s="307">
      <c r="A79" s="29" t="inlineStr">
        <is>
          <t>2000 KW</t>
        </is>
      </c>
      <c r="B79" s="183" t="n">
        <v>48500</v>
      </c>
      <c r="C79" s="183">
        <f>D59</f>
        <v/>
      </c>
      <c r="D79" s="183">
        <f>E10</f>
        <v/>
      </c>
      <c r="E79" s="229">
        <f>F9</f>
        <v/>
      </c>
      <c r="F79" s="229" t="n">
        <v>9500</v>
      </c>
      <c r="G79" s="229">
        <f>C59</f>
        <v/>
      </c>
      <c r="H79" s="230">
        <f>SUM(B79:G79)</f>
        <v/>
      </c>
      <c r="K79" s="3" t="n"/>
    </row>
    <row r="80" ht="15.75" customHeight="1" s="307">
      <c r="A80" s="68" t="n"/>
      <c r="B80" s="194" t="n"/>
      <c r="C80" s="194" t="n"/>
      <c r="D80" s="194" t="n"/>
      <c r="E80" s="194" t="n"/>
      <c r="F80" s="3" t="n"/>
      <c r="G80" s="3" t="n"/>
      <c r="H80" s="67" t="n"/>
      <c r="I80" s="205" t="n"/>
    </row>
    <row r="81" ht="15.75" customHeight="1" s="307">
      <c r="A81" s="227" t="inlineStr">
        <is>
          <t>Ada (Casting Type)</t>
        </is>
      </c>
      <c r="B81" s="178" t="inlineStr">
        <is>
          <t xml:space="preserve">Burner Alone </t>
        </is>
      </c>
      <c r="C81" s="178" t="inlineStr">
        <is>
          <t>C.I.Burner Plate</t>
        </is>
      </c>
      <c r="D81" s="178" t="inlineStr">
        <is>
          <t>High Al.  Burner Block</t>
        </is>
      </c>
      <c r="E81" s="178" t="inlineStr">
        <is>
          <t>Hose</t>
        </is>
      </c>
      <c r="F81" s="178" t="inlineStr">
        <is>
          <t>Butterfly Valve</t>
        </is>
      </c>
      <c r="G81" s="178" t="inlineStr">
        <is>
          <t>Ball Valve</t>
        </is>
      </c>
      <c r="H81" s="228" t="inlineStr">
        <is>
          <t>Burner Assly</t>
        </is>
      </c>
      <c r="I81" s="231" t="n"/>
      <c r="J81" s="306" t="n"/>
      <c r="K81" s="306" t="n"/>
      <c r="L81" s="306" t="n"/>
      <c r="M81" s="306" t="n"/>
      <c r="N81" s="306" t="n"/>
      <c r="O81" s="306" t="n"/>
      <c r="P81" s="306" t="n"/>
      <c r="Q81" s="306" t="n"/>
      <c r="R81" s="306" t="n"/>
      <c r="S81" s="306" t="n"/>
      <c r="T81" s="306" t="n"/>
      <c r="U81" s="306" t="n"/>
      <c r="V81" s="306" t="n"/>
      <c r="W81" s="306" t="n"/>
      <c r="X81" s="306" t="n"/>
      <c r="Y81" s="306" t="n"/>
      <c r="Z81" s="306" t="n"/>
    </row>
    <row r="82" ht="15.75" customHeight="1" s="307">
      <c r="A82" s="36" t="inlineStr">
        <is>
          <t>1000 KW</t>
        </is>
      </c>
      <c r="B82" s="192" t="n">
        <v>13540</v>
      </c>
      <c r="C82" s="192">
        <f>D9</f>
        <v/>
      </c>
      <c r="D82" s="192">
        <f>E8</f>
        <v/>
      </c>
      <c r="E82" s="232">
        <f>F8</f>
        <v/>
      </c>
      <c r="F82" s="37" t="n">
        <v>3000</v>
      </c>
      <c r="G82" s="37">
        <f>3728*0.55*2</f>
        <v/>
      </c>
      <c r="H82" s="233">
        <f>SUM(B82:G82)</f>
        <v/>
      </c>
      <c r="J82" s="3" t="n"/>
    </row>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mergeCells count="26">
    <mergeCell ref="A48:B48"/>
    <mergeCell ref="A64:B64"/>
    <mergeCell ref="A49:B49"/>
    <mergeCell ref="A51:H51"/>
    <mergeCell ref="A45:B45"/>
    <mergeCell ref="A36:B36"/>
    <mergeCell ref="A70:B70"/>
    <mergeCell ref="A69:B69"/>
    <mergeCell ref="A2:I2"/>
    <mergeCell ref="A33:I33"/>
    <mergeCell ref="A65:B65"/>
    <mergeCell ref="A46:B46"/>
    <mergeCell ref="A37:B37"/>
    <mergeCell ref="A66:B66"/>
    <mergeCell ref="A22:I22"/>
    <mergeCell ref="A12:K12"/>
    <mergeCell ref="A71:B71"/>
    <mergeCell ref="A47:B47"/>
    <mergeCell ref="A42:H42"/>
    <mergeCell ref="A35:B35"/>
    <mergeCell ref="A38:B38"/>
    <mergeCell ref="A68:B68"/>
    <mergeCell ref="A44:B44"/>
    <mergeCell ref="A40:B40"/>
    <mergeCell ref="A67:B67"/>
    <mergeCell ref="A39:B39"/>
  </mergeCells>
  <pageMargins left="0.7086614173228347" right="0.7086614173228347" top="0.7480314960629921" bottom="0.7480314960629921" header="0" footer="0"/>
  <pageSetup orientation="portrait" paperSize="8" scale="69"/>
</worksheet>
</file>

<file path=xl/worksheets/sheet12.xml><?xml version="1.0" encoding="utf-8"?>
<worksheet xmlns="http://schemas.openxmlformats.org/spreadsheetml/2006/main">
  <sheetPr>
    <tabColor rgb="FF92D050"/>
    <outlinePr summaryBelow="1" summaryRight="1"/>
    <pageSetUpPr fitToPage="1"/>
  </sheetPr>
  <dimension ref="A1:O33"/>
  <sheetViews>
    <sheetView workbookViewId="0">
      <selection activeCell="A1" sqref="A1"/>
    </sheetView>
  </sheetViews>
  <sheetFormatPr baseColWidth="8" defaultColWidth="14.44140625" defaultRowHeight="15" customHeight="1"/>
  <cols>
    <col width="7" customWidth="1" style="307" min="1" max="1"/>
    <col width="48.109375" customWidth="1" style="307" min="2" max="2"/>
    <col width="10.33203125" customWidth="1" style="307" min="3" max="3"/>
    <col width="17.88671875" customWidth="1" style="307" min="4" max="4"/>
    <col width="8.6640625" customWidth="1" style="307" min="5" max="5"/>
    <col width="6.88671875" customWidth="1" style="307" min="6" max="6"/>
    <col width="51.33203125" customWidth="1" style="307" min="7" max="7"/>
    <col width="10.33203125" customWidth="1" style="307" min="8" max="8"/>
    <col width="17.88671875" customWidth="1" style="307" min="9" max="9"/>
    <col width="8.6640625" customWidth="1" style="307" min="10" max="10"/>
    <col width="6.88671875" customWidth="1" style="307" min="11" max="11"/>
    <col width="48.109375" customWidth="1" style="307" min="12" max="12"/>
    <col width="10.33203125" customWidth="1" style="307" min="13" max="13"/>
    <col width="17.6640625" customWidth="1" style="307" min="14" max="14"/>
    <col width="8.6640625" customWidth="1" style="307" min="15" max="26"/>
  </cols>
  <sheetData>
    <row r="1" ht="15.6" customHeight="1" s="307">
      <c r="A1" s="234" t="inlineStr">
        <is>
          <t>S.NO.</t>
        </is>
      </c>
      <c r="B1" s="235" t="inlineStr">
        <is>
          <t>10 TON HORIZONTAL LADLE PREHEATER</t>
        </is>
      </c>
      <c r="C1" s="236" t="inlineStr">
        <is>
          <t>QTY</t>
        </is>
      </c>
      <c r="D1" s="451" t="inlineStr">
        <is>
          <t>AMOUNT(Rs.)</t>
        </is>
      </c>
      <c r="E1" s="3" t="n"/>
      <c r="F1" s="238" t="inlineStr">
        <is>
          <t>S.NO.</t>
        </is>
      </c>
      <c r="G1" s="235" t="inlineStr">
        <is>
          <t>15 TON HORIZONTAL LADLE PREHEATER</t>
        </is>
      </c>
      <c r="H1" s="236" t="inlineStr">
        <is>
          <t>QTY</t>
        </is>
      </c>
      <c r="I1" s="451" t="inlineStr">
        <is>
          <t>AMOUNT(Rs.)</t>
        </is>
      </c>
      <c r="J1" s="3" t="n"/>
      <c r="K1" s="239" t="inlineStr">
        <is>
          <t>S.NO.</t>
        </is>
      </c>
      <c r="L1" s="240" t="inlineStr">
        <is>
          <t>20 TON HORIZONTAL LADLE PREHEATER</t>
        </is>
      </c>
      <c r="M1" s="241" t="inlineStr">
        <is>
          <t>QTY</t>
        </is>
      </c>
      <c r="N1" s="452" t="inlineStr">
        <is>
          <t>AMOUNT(Rs.)</t>
        </is>
      </c>
      <c r="O1" s="3" t="n"/>
    </row>
    <row r="2" ht="15.6" customHeight="1" s="307">
      <c r="A2" s="243" t="n">
        <v>1</v>
      </c>
      <c r="B2" s="244" t="inlineStr">
        <is>
          <t>MS Structure</t>
        </is>
      </c>
      <c r="C2" s="244" t="inlineStr">
        <is>
          <t>1096 Kgs.</t>
        </is>
      </c>
      <c r="D2" s="453">
        <f>ROUND(1096*Rates!C12*2.1,-2)</f>
        <v/>
      </c>
      <c r="E2" s="3" t="n"/>
      <c r="F2" s="243" t="n">
        <v>1</v>
      </c>
      <c r="G2" s="244" t="inlineStr">
        <is>
          <t>MS Structure</t>
        </is>
      </c>
      <c r="H2" s="244" t="inlineStr">
        <is>
          <t>1236 Kgs.</t>
        </is>
      </c>
      <c r="I2" s="454">
        <f>ROUND(2.1*1236*Rates!C12,-2)</f>
        <v/>
      </c>
      <c r="J2" s="3" t="n"/>
      <c r="K2" s="243" t="n">
        <v>1</v>
      </c>
      <c r="L2" s="244" t="inlineStr">
        <is>
          <t>MS Structure</t>
        </is>
      </c>
      <c r="M2" s="244" t="inlineStr">
        <is>
          <t>1416 Kgs.</t>
        </is>
      </c>
      <c r="N2" s="454">
        <f>ROUND(1416*2.1*Rates!C12,-2)</f>
        <v/>
      </c>
      <c r="O2" s="3" t="n"/>
    </row>
    <row r="3" ht="15.6" customHeight="1" s="307">
      <c r="A3" s="455" t="n">
        <v>2</v>
      </c>
      <c r="B3" s="117" t="inlineStr">
        <is>
          <t>Combustion Equipment:</t>
        </is>
      </c>
      <c r="C3" s="117" t="n"/>
      <c r="D3" s="453" t="n"/>
      <c r="E3" s="3" t="n"/>
      <c r="F3" s="455" t="n">
        <v>2</v>
      </c>
      <c r="G3" s="248" t="inlineStr">
        <is>
          <t>Combustion Equipment:</t>
        </is>
      </c>
      <c r="H3" s="371" t="n"/>
      <c r="I3" s="456" t="n"/>
      <c r="J3" s="3" t="n"/>
      <c r="K3" s="455" t="n">
        <v>2</v>
      </c>
      <c r="L3" s="248" t="inlineStr">
        <is>
          <t>Combustion Equipment:</t>
        </is>
      </c>
      <c r="M3" s="371" t="n"/>
      <c r="N3" s="456" t="n"/>
      <c r="O3" s="3" t="n"/>
    </row>
    <row r="4" ht="15.6" customHeight="1" s="307">
      <c r="A4" s="457" t="n"/>
      <c r="B4" s="250" t="inlineStr">
        <is>
          <t>a. Encon Film Burner -3A</t>
        </is>
      </c>
      <c r="C4" s="117" t="inlineStr">
        <is>
          <t>3A</t>
        </is>
      </c>
      <c r="D4" s="453">
        <f>BURNER!I6</f>
        <v/>
      </c>
      <c r="E4" s="3" t="n"/>
      <c r="F4" s="457" t="n"/>
      <c r="G4" s="251" t="inlineStr">
        <is>
          <t>a. Encon Film Burner (4A) – 1Set.</t>
        </is>
      </c>
      <c r="H4" s="252" t="n">
        <v>1</v>
      </c>
      <c r="I4" s="458">
        <f>BURNER!I7</f>
        <v/>
      </c>
      <c r="J4" s="3" t="n"/>
      <c r="K4" s="457" t="n"/>
      <c r="L4" s="251" t="inlineStr">
        <is>
          <t>a. Encon Film Burner (4A) – 1Set.</t>
        </is>
      </c>
      <c r="M4" s="117" t="n">
        <v>1</v>
      </c>
      <c r="N4" s="458">
        <f>BURNER!I7</f>
        <v/>
      </c>
      <c r="O4" s="3" t="n"/>
    </row>
    <row r="5" ht="15.6" customHeight="1" s="307">
      <c r="A5" s="457" t="n"/>
      <c r="B5" s="250" t="inlineStr">
        <is>
          <t>b. Blower 5/40"</t>
        </is>
      </c>
      <c r="C5" s="254" t="inlineStr">
        <is>
          <t>5/40"</t>
        </is>
      </c>
      <c r="D5" s="453">
        <f>Blower!G17</f>
        <v/>
      </c>
      <c r="E5" s="3" t="n"/>
      <c r="F5" s="457" t="n"/>
      <c r="G5" s="251" t="inlineStr">
        <is>
          <t>b. Blower 10/40” – 1 No.</t>
        </is>
      </c>
      <c r="H5" s="252" t="n">
        <v>1</v>
      </c>
      <c r="I5" s="458">
        <f>(Blower!J19*1.8)+(Blower!K18*1.5)</f>
        <v/>
      </c>
      <c r="J5" s="3" t="n"/>
      <c r="K5" s="457" t="n"/>
      <c r="L5" s="251" t="inlineStr">
        <is>
          <t>b. Blower 15/40” – 1 No.</t>
        </is>
      </c>
      <c r="M5" s="117" t="n">
        <v>1</v>
      </c>
      <c r="N5" s="458">
        <f>(Blower!J20*1.8)+(Blower!K19*1.5)</f>
        <v/>
      </c>
      <c r="O5" s="3" t="n"/>
    </row>
    <row r="6" ht="15.6" customHeight="1" s="307">
      <c r="A6" s="459" t="n"/>
      <c r="B6" s="250" t="inlineStr">
        <is>
          <t>c. H &amp; P Unit 3kW-1No,(HPD-3)</t>
        </is>
      </c>
      <c r="C6" s="117" t="inlineStr">
        <is>
          <t>HPD-3</t>
        </is>
      </c>
      <c r="D6" s="453">
        <f>ROUND(HPU!F49*1.8,-2)</f>
        <v/>
      </c>
      <c r="E6" s="3" t="n"/>
      <c r="F6" s="459" t="n"/>
      <c r="G6" s="255" t="inlineStr">
        <is>
          <t>c. H &amp; P Unit 6 kW – 1No .(HPD-6)</t>
        </is>
      </c>
      <c r="H6" s="256" t="n">
        <v>1</v>
      </c>
      <c r="I6" s="460">
        <f>ROUND(HPU!V48*1.8,-2)</f>
        <v/>
      </c>
      <c r="J6" s="3" t="n"/>
      <c r="K6" s="459" t="n"/>
      <c r="L6" s="255" t="inlineStr">
        <is>
          <t>c. H &amp; P Unit 6 kW – 1No .(HPD-6)</t>
        </is>
      </c>
      <c r="M6" s="117" t="n">
        <v>1</v>
      </c>
      <c r="N6" s="460">
        <f>ROUND(HPU!V48*1.8,-2)</f>
        <v/>
      </c>
      <c r="O6" s="3" t="n"/>
    </row>
    <row r="7" ht="15.6" customHeight="1" s="307">
      <c r="A7" s="243" t="n">
        <v>3</v>
      </c>
      <c r="B7" s="244" t="inlineStr">
        <is>
          <t xml:space="preserve">Ceramic fiber </t>
        </is>
      </c>
      <c r="C7" s="117" t="inlineStr">
        <is>
          <t>9 Rolls</t>
        </is>
      </c>
      <c r="D7" s="453">
        <f>ROUND(2.1*Rates!C29*9,-2)</f>
        <v/>
      </c>
      <c r="E7" s="3" t="n"/>
      <c r="F7" s="243" t="n">
        <v>3</v>
      </c>
      <c r="G7" s="244" t="inlineStr">
        <is>
          <t xml:space="preserve">Ceramic fiber </t>
        </is>
      </c>
      <c r="H7" s="244" t="inlineStr">
        <is>
          <t>11 Rolls</t>
        </is>
      </c>
      <c r="I7" s="454">
        <f>ROUND(2.1*11*Rates!C29,-2)</f>
        <v/>
      </c>
      <c r="J7" s="3" t="n"/>
      <c r="K7" s="243" t="n">
        <v>3</v>
      </c>
      <c r="L7" s="244" t="inlineStr">
        <is>
          <t xml:space="preserve">Ceramic fiber </t>
        </is>
      </c>
      <c r="M7" s="244" t="inlineStr">
        <is>
          <t>13 Rolls</t>
        </is>
      </c>
      <c r="N7" s="454">
        <f>2.1*13*Rates!C29</f>
        <v/>
      </c>
      <c r="O7" s="3" t="n"/>
    </row>
    <row r="8" ht="15.6" customHeight="1" s="307">
      <c r="A8" s="243" t="n">
        <v>4</v>
      </c>
      <c r="B8" s="244" t="inlineStr">
        <is>
          <t>Control Panel</t>
        </is>
      </c>
      <c r="C8" s="117" t="inlineStr">
        <is>
          <t>1Set</t>
        </is>
      </c>
      <c r="D8" s="461">
        <f>2.1*60000</f>
        <v/>
      </c>
      <c r="E8" s="3" t="n"/>
      <c r="F8" s="243" t="n">
        <v>4</v>
      </c>
      <c r="G8" s="244" t="inlineStr">
        <is>
          <t>Control Panel</t>
        </is>
      </c>
      <c r="H8" s="244" t="inlineStr">
        <is>
          <t>1Set</t>
        </is>
      </c>
      <c r="I8" s="461">
        <f>2.1*60000</f>
        <v/>
      </c>
      <c r="J8" s="3" t="n"/>
      <c r="K8" s="243" t="n">
        <v>4</v>
      </c>
      <c r="L8" s="244" t="inlineStr">
        <is>
          <t>Control Panel</t>
        </is>
      </c>
      <c r="M8" s="244" t="inlineStr">
        <is>
          <t>1Set</t>
        </is>
      </c>
      <c r="N8" s="461">
        <f>2.1*60000</f>
        <v/>
      </c>
      <c r="O8" s="3" t="n"/>
    </row>
    <row r="9" ht="15.6" customHeight="1" s="307">
      <c r="A9" s="243" t="n">
        <v>5</v>
      </c>
      <c r="B9" s="244" t="inlineStr">
        <is>
          <t>Pipeline and Fittings, Nut, Bolts, paint</t>
        </is>
      </c>
      <c r="C9" s="117" t="n"/>
      <c r="D9" s="453">
        <f>2.1*22000</f>
        <v/>
      </c>
      <c r="E9" s="3" t="n"/>
      <c r="F9" s="243" t="n">
        <v>5</v>
      </c>
      <c r="G9" s="244" t="inlineStr">
        <is>
          <t>Pipeline and Fittings, Nut, Bolts, paint</t>
        </is>
      </c>
      <c r="H9" s="244" t="n"/>
      <c r="I9" s="454">
        <f>2.1*24000</f>
        <v/>
      </c>
      <c r="J9" s="3" t="n"/>
      <c r="K9" s="243" t="n">
        <v>5</v>
      </c>
      <c r="L9" s="244" t="inlineStr">
        <is>
          <t>Pipeline and Fittings, Nut, Bolts, paint</t>
        </is>
      </c>
      <c r="M9" s="244" t="n"/>
      <c r="N9" s="454">
        <f>2.1*55000</f>
        <v/>
      </c>
      <c r="O9" s="3" t="n"/>
    </row>
    <row r="10" ht="15.6" customHeight="1" s="307">
      <c r="A10" s="243" t="n">
        <v>6</v>
      </c>
      <c r="B10" s="244" t="inlineStr">
        <is>
          <t>Trolley Drive Mechanism</t>
        </is>
      </c>
      <c r="C10" s="259" t="n"/>
      <c r="D10" s="462">
        <f>1.8*69000</f>
        <v/>
      </c>
      <c r="E10" s="3" t="n"/>
      <c r="F10" s="243" t="n">
        <v>6</v>
      </c>
      <c r="G10" s="244" t="inlineStr">
        <is>
          <t>Trolley Drive Mechanism</t>
        </is>
      </c>
      <c r="H10" s="244" t="n"/>
      <c r="I10" s="463">
        <f>1.8*70500</f>
        <v/>
      </c>
      <c r="J10" s="3" t="n"/>
      <c r="K10" s="243" t="n">
        <v>6</v>
      </c>
      <c r="L10" s="244" t="inlineStr">
        <is>
          <t>Trolley Drive Mechanism</t>
        </is>
      </c>
      <c r="M10" s="244" t="n"/>
      <c r="N10" s="462">
        <f>1.8*72000</f>
        <v/>
      </c>
      <c r="O10" s="3" t="n"/>
    </row>
    <row r="11" ht="15.6" customHeight="1" s="307">
      <c r="A11" s="36" t="n"/>
      <c r="B11" s="37" t="n"/>
      <c r="C11" s="262" t="inlineStr">
        <is>
          <t>TOTAL</t>
        </is>
      </c>
      <c r="D11" s="464">
        <f>SUM(D2:D10)</f>
        <v/>
      </c>
      <c r="E11" s="3" t="n"/>
      <c r="F11" s="264" t="n"/>
      <c r="G11" s="265" t="n"/>
      <c r="H11" s="266" t="inlineStr">
        <is>
          <t>TOTAL</t>
        </is>
      </c>
      <c r="I11" s="465">
        <f>SUM(I2:I10)</f>
        <v/>
      </c>
      <c r="J11" s="3" t="n"/>
      <c r="K11" s="264" t="n"/>
      <c r="L11" s="265" t="n"/>
      <c r="M11" s="266" t="inlineStr">
        <is>
          <t>TOTAL</t>
        </is>
      </c>
      <c r="N11" s="465">
        <f>SUM(N2:N10)</f>
        <v/>
      </c>
      <c r="O11" s="3" t="n"/>
    </row>
    <row r="12" ht="15.6" customHeight="1" s="307">
      <c r="A12" s="3" t="n"/>
      <c r="B12" s="3" t="n"/>
      <c r="C12" s="268" t="n"/>
      <c r="D12" s="466" t="n"/>
      <c r="E12" s="3" t="n"/>
      <c r="F12" s="3" t="n"/>
      <c r="G12" s="3" t="n"/>
      <c r="H12" s="3" t="n"/>
      <c r="I12" s="3" t="n"/>
      <c r="J12" s="3" t="n"/>
      <c r="K12" s="3" t="n"/>
      <c r="L12" s="3" t="n"/>
      <c r="M12" s="3" t="n"/>
      <c r="N12" s="3" t="n"/>
      <c r="O12" s="3" t="n"/>
    </row>
    <row r="13" ht="15.6" customHeight="1" s="307">
      <c r="A13" s="270" t="inlineStr">
        <is>
          <t>S.NO.</t>
        </is>
      </c>
      <c r="B13" s="271" t="inlineStr">
        <is>
          <t>30 TON HORIZONTAL LADLE PREHEATER</t>
        </is>
      </c>
      <c r="C13" s="272" t="inlineStr">
        <is>
          <t>QTY</t>
        </is>
      </c>
      <c r="D13" s="467" t="inlineStr">
        <is>
          <t>AMOUNT(Rs.)</t>
        </is>
      </c>
      <c r="E13" s="3" t="n"/>
      <c r="F13" s="239" t="inlineStr">
        <is>
          <t>S.NO.</t>
        </is>
      </c>
      <c r="G13" s="240" t="inlineStr">
        <is>
          <t>35-40 TON HORIZONTAL LADLE PREHEATER</t>
        </is>
      </c>
      <c r="H13" s="241" t="inlineStr">
        <is>
          <t>QTY</t>
        </is>
      </c>
      <c r="I13" s="452" t="inlineStr">
        <is>
          <t>AMOUNT(Rs.)</t>
        </is>
      </c>
      <c r="J13" s="3" t="n"/>
      <c r="K13" s="239" t="inlineStr">
        <is>
          <t>S.NO.</t>
        </is>
      </c>
      <c r="L13" s="240" t="inlineStr">
        <is>
          <t>60 TON HORIZONTAL LADLE PREHEATER</t>
        </is>
      </c>
      <c r="M13" s="241" t="inlineStr">
        <is>
          <t>QTY</t>
        </is>
      </c>
      <c r="N13" s="468" t="inlineStr">
        <is>
          <t>AMOUNT(Rs.)</t>
        </is>
      </c>
      <c r="O13" s="3" t="n"/>
    </row>
    <row r="14" ht="15.6" customHeight="1" s="307">
      <c r="A14" s="108" t="n">
        <v>1</v>
      </c>
      <c r="B14" s="109" t="inlineStr">
        <is>
          <t>MS Structure</t>
        </is>
      </c>
      <c r="C14" s="109" t="inlineStr">
        <is>
          <t>1450 Kgs.</t>
        </is>
      </c>
      <c r="D14" s="469">
        <f>2.1*1450*Rates!C12</f>
        <v/>
      </c>
      <c r="E14" s="3" t="n"/>
      <c r="F14" s="243" t="n">
        <v>1</v>
      </c>
      <c r="G14" s="244" t="inlineStr">
        <is>
          <t>MS Structure</t>
        </is>
      </c>
      <c r="H14" s="244" t="inlineStr">
        <is>
          <t>1500 Kgs.</t>
        </is>
      </c>
      <c r="I14" s="454">
        <f>2.1*1500*Rates!C12</f>
        <v/>
      </c>
      <c r="J14" s="3" t="n"/>
      <c r="K14" s="243" t="n">
        <v>1</v>
      </c>
      <c r="L14" s="244" t="inlineStr">
        <is>
          <t>MS Structure</t>
        </is>
      </c>
      <c r="M14" s="244" t="inlineStr">
        <is>
          <t>1683 Kgs.</t>
        </is>
      </c>
      <c r="N14" s="470">
        <f>ROUND(2.1*1683*Rates!C12,-2)</f>
        <v/>
      </c>
      <c r="O14" s="3" t="n"/>
    </row>
    <row r="15" ht="15.6" customHeight="1" s="307">
      <c r="A15" s="116" t="n">
        <v>2</v>
      </c>
      <c r="B15" s="117" t="inlineStr">
        <is>
          <t>Combustion Equipment:</t>
        </is>
      </c>
      <c r="C15" s="117" t="n"/>
      <c r="D15" s="453" t="n"/>
      <c r="E15" s="3" t="n"/>
      <c r="F15" s="455" t="n">
        <v>2</v>
      </c>
      <c r="G15" s="248" t="inlineStr">
        <is>
          <t>Combustion Equipment:</t>
        </is>
      </c>
      <c r="H15" s="371" t="n"/>
      <c r="I15" s="456" t="n"/>
      <c r="J15" s="3" t="n"/>
      <c r="K15" s="371" t="n">
        <v>2</v>
      </c>
      <c r="L15" s="248" t="inlineStr">
        <is>
          <t>Combustion Equipment:</t>
        </is>
      </c>
      <c r="M15" s="371" t="n"/>
      <c r="N15" s="456" t="n"/>
      <c r="O15" s="3" t="n"/>
    </row>
    <row r="16" ht="15.6" customHeight="1" s="307">
      <c r="A16" s="471" t="n"/>
      <c r="B16" s="250" t="inlineStr">
        <is>
          <t>a. Encon Film Burner (5A) – 1Set.</t>
        </is>
      </c>
      <c r="C16" s="117" t="n">
        <v>1</v>
      </c>
      <c r="D16" s="453">
        <f>BURNER!I8</f>
        <v/>
      </c>
      <c r="E16" s="3" t="n"/>
      <c r="F16" s="457" t="n"/>
      <c r="G16" s="251" t="inlineStr">
        <is>
          <t>a. Encon Film Burner (5A) – 1Set.</t>
        </is>
      </c>
      <c r="H16" s="117" t="n">
        <v>1</v>
      </c>
      <c r="I16" s="458">
        <f>BURNER!I8</f>
        <v/>
      </c>
      <c r="J16" s="3" t="n"/>
      <c r="K16" s="278" t="n"/>
      <c r="L16" s="251" t="inlineStr">
        <is>
          <t>a. Encon Film Burner (5A) – 1Set.</t>
        </is>
      </c>
      <c r="M16" s="117" t="n">
        <v>1</v>
      </c>
      <c r="N16" s="458">
        <f>BURNER!I8</f>
        <v/>
      </c>
      <c r="O16" s="3" t="n"/>
    </row>
    <row r="17" ht="15.6" customHeight="1" s="307">
      <c r="A17" s="471" t="n"/>
      <c r="B17" s="250" t="inlineStr">
        <is>
          <t>b. Blower20/40” – 1 No.</t>
        </is>
      </c>
      <c r="C17" s="117" t="n">
        <v>1</v>
      </c>
      <c r="D17" s="453">
        <f>(Blower!J21*1.8)+(Blower!K20*1.5)</f>
        <v/>
      </c>
      <c r="E17" s="3" t="n"/>
      <c r="F17" s="457" t="n"/>
      <c r="G17" s="251" t="inlineStr">
        <is>
          <t>b. Blower 20/40” – 1 No.</t>
        </is>
      </c>
      <c r="H17" s="117" t="n">
        <v>1</v>
      </c>
      <c r="I17" s="458">
        <f>Blower!J21*1.8+Blower!K20*1.5</f>
        <v/>
      </c>
      <c r="J17" s="3" t="n"/>
      <c r="K17" s="278" t="n"/>
      <c r="L17" s="251" t="inlineStr">
        <is>
          <t>b. Blower30/40” – 1 No.</t>
        </is>
      </c>
      <c r="M17" s="117" t="n">
        <v>1</v>
      </c>
      <c r="N17" s="458">
        <f>Blower!J23*1.5+Blower!K22*1.5</f>
        <v/>
      </c>
      <c r="O17" s="3" t="n"/>
    </row>
    <row r="18" ht="15.6" customHeight="1" s="307">
      <c r="A18" s="432" t="n"/>
      <c r="B18" s="250" t="inlineStr">
        <is>
          <t>c. H &amp; P Unit 12 kW – 1No .(HPD-12)</t>
        </is>
      </c>
      <c r="C18" s="117" t="n">
        <v>1</v>
      </c>
      <c r="D18" s="453">
        <f>ROUND(HPU!BB49*1.8,-2)</f>
        <v/>
      </c>
      <c r="E18" s="3" t="n"/>
      <c r="F18" s="459" t="n"/>
      <c r="G18" s="255" t="inlineStr">
        <is>
          <t>c. H &amp; P Unit 12 kW – 1No .(HPD-12)</t>
        </is>
      </c>
      <c r="H18" s="117" t="n">
        <v>1</v>
      </c>
      <c r="I18" s="460">
        <f>ROUND(HPU!BB49*1.8,-2)</f>
        <v/>
      </c>
      <c r="J18" s="3" t="n"/>
      <c r="K18" s="243" t="n"/>
      <c r="L18" s="255" t="inlineStr">
        <is>
          <t>c. H &amp; P Unit 20 kW – 1No .(HPD-20)</t>
        </is>
      </c>
      <c r="M18" s="117" t="n">
        <v>1</v>
      </c>
      <c r="N18" s="460">
        <f>ROUND(HPU!CH49*1.8,-2)</f>
        <v/>
      </c>
      <c r="O18" s="3" t="n"/>
    </row>
    <row r="19" ht="15.6" customHeight="1" s="307">
      <c r="A19" s="116" t="n">
        <v>3</v>
      </c>
      <c r="B19" s="117" t="inlineStr">
        <is>
          <t xml:space="preserve">Ceramic fiber </t>
        </is>
      </c>
      <c r="C19" s="117" t="inlineStr">
        <is>
          <t>14 Rolls</t>
        </is>
      </c>
      <c r="D19" s="453">
        <f>2.1*14*Rates!C29</f>
        <v/>
      </c>
      <c r="E19" s="3" t="n"/>
      <c r="F19" s="243" t="n">
        <v>3</v>
      </c>
      <c r="G19" s="244" t="inlineStr">
        <is>
          <t xml:space="preserve">Ceramic fiber </t>
        </is>
      </c>
      <c r="H19" s="244" t="inlineStr">
        <is>
          <t>15 Rolls</t>
        </is>
      </c>
      <c r="I19" s="454">
        <f>ROUND(2.1*15*Rates!C29,-2)</f>
        <v/>
      </c>
      <c r="J19" s="3" t="n"/>
      <c r="K19" s="243" t="n">
        <v>3</v>
      </c>
      <c r="L19" s="244" t="inlineStr">
        <is>
          <t xml:space="preserve">Ceramic fiber </t>
        </is>
      </c>
      <c r="M19" s="244" t="inlineStr">
        <is>
          <t>19Rolls</t>
        </is>
      </c>
      <c r="N19" s="470">
        <f>1.8*19*Rates!C29</f>
        <v/>
      </c>
      <c r="O19" s="3" t="n"/>
    </row>
    <row r="20" ht="15.6" customHeight="1" s="307">
      <c r="A20" s="116" t="n">
        <v>4</v>
      </c>
      <c r="B20" s="117" t="inlineStr">
        <is>
          <t>Control Panel</t>
        </is>
      </c>
      <c r="C20" s="117" t="inlineStr">
        <is>
          <t>1Set</t>
        </is>
      </c>
      <c r="D20" s="461">
        <f>2.1*75000</f>
        <v/>
      </c>
      <c r="E20" s="3" t="n"/>
      <c r="F20" s="243" t="n">
        <v>4</v>
      </c>
      <c r="G20" s="244" t="inlineStr">
        <is>
          <t>Control Panel</t>
        </is>
      </c>
      <c r="H20" s="244" t="inlineStr">
        <is>
          <t>1Set</t>
        </is>
      </c>
      <c r="I20" s="461">
        <f>2.1*75000</f>
        <v/>
      </c>
      <c r="J20" s="3" t="n"/>
      <c r="K20" s="243" t="n">
        <v>4</v>
      </c>
      <c r="L20" s="244" t="inlineStr">
        <is>
          <t>Trolley Drive System</t>
        </is>
      </c>
      <c r="M20" s="244" t="n"/>
      <c r="N20" s="472">
        <f>2.1*106000</f>
        <v/>
      </c>
      <c r="O20" s="3" t="n"/>
    </row>
    <row r="21" ht="15.75" customHeight="1" s="307">
      <c r="A21" s="116" t="n">
        <v>5</v>
      </c>
      <c r="B21" s="117" t="inlineStr">
        <is>
          <t>Pipeline and Fittings, Nut, Bolts, paint</t>
        </is>
      </c>
      <c r="C21" s="117" t="n"/>
      <c r="D21" s="453">
        <f>2.1*65000</f>
        <v/>
      </c>
      <c r="E21" s="3" t="n"/>
      <c r="F21" s="243" t="n">
        <v>5</v>
      </c>
      <c r="G21" s="244" t="inlineStr">
        <is>
          <t>Pipeline and Fittings, Nut, Bolts, paint</t>
        </is>
      </c>
      <c r="H21" s="244" t="n"/>
      <c r="I21" s="454">
        <f>2.1*78000</f>
        <v/>
      </c>
      <c r="J21" s="3" t="n"/>
      <c r="K21" s="243" t="n">
        <v>5</v>
      </c>
      <c r="L21" s="244" t="inlineStr">
        <is>
          <t>Control Panel</t>
        </is>
      </c>
      <c r="M21" s="244" t="inlineStr">
        <is>
          <t>1Set</t>
        </is>
      </c>
      <c r="N21" s="472">
        <f>1.8*75000</f>
        <v/>
      </c>
      <c r="O21" s="3" t="n"/>
    </row>
    <row r="22" ht="15.75" customHeight="1" s="307">
      <c r="A22" s="116" t="n">
        <v>6</v>
      </c>
      <c r="B22" s="117" t="inlineStr">
        <is>
          <t>Trolley Drive Mechanism</t>
        </is>
      </c>
      <c r="C22" s="117" t="n"/>
      <c r="D22" s="461">
        <f>1.8*77500</f>
        <v/>
      </c>
      <c r="E22" s="3" t="n"/>
      <c r="F22" s="243" t="n">
        <v>6</v>
      </c>
      <c r="G22" s="244" t="inlineStr">
        <is>
          <t>Trolley Drive Mechanism</t>
        </is>
      </c>
      <c r="H22" s="244" t="n"/>
      <c r="I22" s="462">
        <f>1.8*80000</f>
        <v/>
      </c>
      <c r="J22" s="3" t="n"/>
      <c r="K22" s="243" t="n">
        <v>6</v>
      </c>
      <c r="L22" s="244" t="inlineStr">
        <is>
          <t>Pipeline and Fittings, Nut, Bolts, paint</t>
        </is>
      </c>
      <c r="M22" s="244" t="n"/>
      <c r="N22" s="470">
        <f>2.1*80000</f>
        <v/>
      </c>
      <c r="O22" s="3" t="n"/>
    </row>
    <row r="23" ht="15.75" customHeight="1" s="307">
      <c r="A23" s="36" t="n"/>
      <c r="B23" s="37" t="n"/>
      <c r="C23" s="280" t="inlineStr">
        <is>
          <t>TOTAL</t>
        </is>
      </c>
      <c r="D23" s="464">
        <f>SUM(D14:D22)</f>
        <v/>
      </c>
      <c r="E23" s="3" t="n"/>
      <c r="F23" s="264" t="n"/>
      <c r="G23" s="265" t="n"/>
      <c r="H23" s="281" t="inlineStr">
        <is>
          <t>TOTAL</t>
        </is>
      </c>
      <c r="I23" s="465">
        <f>SUM(I14:I22)</f>
        <v/>
      </c>
      <c r="J23" s="3" t="n"/>
      <c r="K23" s="376" t="inlineStr">
        <is>
          <t>Total</t>
        </is>
      </c>
      <c r="L23" s="386" t="n"/>
      <c r="M23" s="386" t="n"/>
      <c r="N23" s="473">
        <f>SUM(N14:N22)</f>
        <v/>
      </c>
      <c r="O23" s="3" t="n"/>
    </row>
    <row r="24" ht="15.75" customHeight="1" s="307">
      <c r="A24" s="3" t="n"/>
      <c r="B24" s="3" t="n"/>
      <c r="C24" s="268" t="n"/>
      <c r="D24" s="398" t="n"/>
      <c r="E24" s="3" t="n"/>
      <c r="F24" s="3" t="n"/>
      <c r="G24" s="3" t="n"/>
      <c r="H24" s="3" t="n"/>
      <c r="I24" s="3" t="n"/>
      <c r="J24" s="3" t="n"/>
      <c r="K24" s="3" t="n"/>
      <c r="L24" s="3" t="n"/>
      <c r="M24" s="3" t="n"/>
      <c r="N24" s="3" t="n"/>
      <c r="O24" s="3" t="n"/>
    </row>
    <row r="25" ht="15.75" customHeight="1" s="307">
      <c r="A25" s="136" t="inlineStr">
        <is>
          <t>Note:</t>
        </is>
      </c>
      <c r="B25" s="3" t="n"/>
      <c r="C25" s="3" t="n"/>
      <c r="D25" s="3" t="n"/>
      <c r="E25" s="3" t="n"/>
      <c r="F25" s="3" t="n"/>
      <c r="G25" s="3" t="n"/>
      <c r="H25" s="3" t="n"/>
      <c r="I25" s="474" t="n"/>
      <c r="J25" s="474" t="n"/>
      <c r="K25" s="3" t="n"/>
      <c r="L25" s="3" t="n"/>
      <c r="M25" s="3" t="n"/>
      <c r="N25" s="3" t="n"/>
      <c r="O25" s="3" t="n"/>
    </row>
    <row r="26" ht="15.75" customHeight="1" s="307">
      <c r="A26" s="420" t="inlineStr">
        <is>
          <t>1. LPG Pilot for the above system will cost Rs.1,00,000.00 extra</t>
        </is>
      </c>
      <c r="F26" s="3" t="n"/>
      <c r="G26" s="3" t="n"/>
      <c r="H26" s="3" t="n"/>
      <c r="I26" s="461" t="n"/>
      <c r="J26" s="2" t="inlineStr">
        <is>
          <t>Change colored cell manually in this sheet</t>
        </is>
      </c>
      <c r="K26" s="3" t="n"/>
      <c r="L26" s="3" t="n"/>
      <c r="M26" s="3" t="n"/>
      <c r="N26" s="3" t="n"/>
      <c r="O26" s="3" t="n"/>
    </row>
    <row r="27" ht="15.75" customHeight="1" s="307">
      <c r="A27" s="336" t="n"/>
      <c r="B27" s="336" t="n"/>
      <c r="C27" s="336" t="n"/>
      <c r="D27" s="336" t="n"/>
      <c r="E27" s="336" t="n"/>
      <c r="F27" s="3" t="n"/>
      <c r="G27" s="3" t="n"/>
      <c r="H27" s="3" t="n"/>
      <c r="I27" s="3" t="n"/>
      <c r="J27" s="474" t="n"/>
      <c r="K27" s="3" t="n"/>
      <c r="L27" s="3" t="n"/>
      <c r="M27" s="3" t="n"/>
      <c r="N27" s="3" t="n"/>
      <c r="O27" s="3" t="n"/>
    </row>
    <row r="28" ht="15.75" customHeight="1" s="307">
      <c r="A28" s="177" t="inlineStr">
        <is>
          <t xml:space="preserve"> </t>
        </is>
      </c>
      <c r="B28" s="3" t="n"/>
      <c r="C28" s="3" t="n"/>
      <c r="D28" s="3" t="n"/>
      <c r="E28" s="3" t="n"/>
      <c r="F28" s="3" t="n"/>
      <c r="G28" s="3" t="n"/>
      <c r="H28" s="3" t="n"/>
      <c r="I28" s="3" t="n"/>
      <c r="J28" s="474" t="n"/>
      <c r="K28" s="3" t="n"/>
      <c r="L28" s="3" t="n"/>
      <c r="M28" s="3" t="n"/>
      <c r="N28" s="3" t="n"/>
      <c r="O28" s="3" t="n"/>
    </row>
    <row r="29" ht="15.75" customHeight="1" s="307">
      <c r="A29" s="475" t="inlineStr">
        <is>
          <t xml:space="preserve">Prices </t>
        </is>
      </c>
      <c r="B29" s="431" t="n"/>
      <c r="C29" s="476" t="inlineStr">
        <is>
          <t>Prices quoted are ex-works, Faridabad.</t>
        </is>
      </c>
      <c r="D29" s="400" t="n"/>
      <c r="E29" s="400" t="n"/>
      <c r="F29" s="400" t="n"/>
      <c r="G29" s="401" t="n"/>
      <c r="H29" s="3" t="n"/>
      <c r="I29" s="3" t="n"/>
      <c r="J29" s="3" t="n"/>
      <c r="K29" s="3" t="n"/>
      <c r="L29" s="3" t="n"/>
      <c r="M29" s="3" t="n"/>
      <c r="N29" s="3" t="n"/>
      <c r="O29" s="3" t="n"/>
    </row>
    <row r="30" ht="15.75" customHeight="1" s="307">
      <c r="A30" s="477" t="inlineStr">
        <is>
          <t>Packing &amp; Forwarding</t>
        </is>
      </c>
      <c r="B30" s="394" t="n"/>
      <c r="C30" s="478" t="inlineStr">
        <is>
          <t>4% &amp; 2% respectively</t>
        </is>
      </c>
      <c r="D30" s="393" t="n"/>
      <c r="E30" s="393" t="n"/>
      <c r="F30" s="393" t="n"/>
      <c r="G30" s="479" t="n"/>
      <c r="H30" s="3" t="n"/>
      <c r="I30" s="3" t="n"/>
      <c r="J30" s="3" t="n"/>
      <c r="K30" s="3" t="n"/>
      <c r="L30" s="3" t="n"/>
      <c r="M30" s="3" t="n"/>
      <c r="N30" s="3" t="n"/>
      <c r="O30" s="3" t="n"/>
    </row>
    <row r="31" ht="15.75" customHeight="1" s="307">
      <c r="A31" s="477" t="inlineStr">
        <is>
          <t xml:space="preserve">Taxes &amp; Duties </t>
        </is>
      </c>
      <c r="B31" s="394" t="n"/>
      <c r="C31" s="478" t="inlineStr">
        <is>
          <t>As applicable shall be charged extra.  At present Excise Duty is 14 %   Education Cess 2%  and   Secondary Higher Education cess @ 1% . CST @ 2% against Form C otherwise 12.5%.</t>
        </is>
      </c>
      <c r="D31" s="393" t="n"/>
      <c r="E31" s="393" t="n"/>
      <c r="F31" s="393" t="n"/>
      <c r="G31" s="479" t="n"/>
      <c r="H31" s="3" t="n"/>
      <c r="I31" s="3" t="n"/>
      <c r="J31" s="3" t="n"/>
      <c r="K31" s="3" t="n"/>
      <c r="L31" s="3" t="n"/>
      <c r="M31" s="3" t="n"/>
      <c r="N31" s="3" t="n"/>
      <c r="O31" s="3" t="n"/>
    </row>
    <row r="32" ht="15.75" customHeight="1" s="307">
      <c r="A32" s="477" t="inlineStr">
        <is>
          <t xml:space="preserve">Terms of Payment </t>
        </is>
      </c>
      <c r="B32" s="394" t="n"/>
      <c r="C32" s="478" t="inlineStr">
        <is>
          <t>50% Advance alongwith purchase order. 50% payment with taxes and duties against despatch.</t>
        </is>
      </c>
      <c r="D32" s="393" t="n"/>
      <c r="E32" s="393" t="n"/>
      <c r="F32" s="393" t="n"/>
      <c r="G32" s="479" t="n"/>
      <c r="H32" s="3" t="n"/>
      <c r="I32" s="3" t="n"/>
      <c r="J32" s="3" t="n"/>
      <c r="K32" s="3" t="n"/>
      <c r="L32" s="3" t="n"/>
      <c r="M32" s="3" t="n"/>
      <c r="N32" s="3" t="n"/>
      <c r="O32" s="3" t="n"/>
    </row>
    <row r="33" ht="15.75" customHeight="1" s="307">
      <c r="A33" s="480" t="inlineStr">
        <is>
          <t>Validity</t>
        </is>
      </c>
      <c r="B33" s="397" t="n"/>
      <c r="C33" s="481" t="inlineStr">
        <is>
          <t>45 Days.</t>
        </is>
      </c>
      <c r="D33" s="396" t="n"/>
      <c r="E33" s="396" t="n"/>
      <c r="F33" s="396" t="n"/>
      <c r="G33" s="482" t="n"/>
      <c r="H33" s="3" t="n"/>
      <c r="I33" s="3" t="n"/>
      <c r="J33" s="3" t="n"/>
      <c r="K33" s="3" t="n"/>
      <c r="L33" s="3" t="n"/>
      <c r="M33" s="3" t="n"/>
      <c r="N33" s="3" t="n"/>
      <c r="O33" s="3" t="n"/>
    </row>
    <row r="34" ht="15.75" customHeight="1" s="307"/>
    <row r="35" ht="15.75" customHeight="1" s="307"/>
    <row r="36" ht="15.75" customHeight="1" s="307"/>
    <row r="37" ht="15.75" customHeight="1" s="307"/>
    <row r="38" ht="15.75" customHeight="1" s="307"/>
    <row r="39" ht="15.75" customHeight="1" s="307"/>
    <row r="40" ht="15.75" customHeight="1" s="307"/>
    <row r="41" ht="15.75" customHeight="1" s="307"/>
    <row r="42" ht="15.75" customHeight="1" s="307"/>
    <row r="43" ht="15.75" customHeight="1" s="307"/>
    <row r="44" ht="15.75" customHeight="1" s="307"/>
    <row r="45" ht="15.75" customHeight="1" s="307"/>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mergeCells count="17">
    <mergeCell ref="C29:G29"/>
    <mergeCell ref="A30:B30"/>
    <mergeCell ref="C30:G30"/>
    <mergeCell ref="A29:B29"/>
    <mergeCell ref="A26:E26"/>
    <mergeCell ref="F3:F6"/>
    <mergeCell ref="C32:G32"/>
    <mergeCell ref="A33:B33"/>
    <mergeCell ref="K3:K6"/>
    <mergeCell ref="C33:G33"/>
    <mergeCell ref="K23:M23"/>
    <mergeCell ref="A32:B32"/>
    <mergeCell ref="A3:A6"/>
    <mergeCell ref="A15:A18"/>
    <mergeCell ref="C31:G31"/>
    <mergeCell ref="F15:F18"/>
    <mergeCell ref="A31:B31"/>
  </mergeCells>
  <pageMargins left="0.25" right="0.25" top="0.75" bottom="0.75" header="0" footer="0"/>
  <pageSetup orientation="landscape" paperSize="8" scale="75"/>
</worksheet>
</file>

<file path=xl/worksheets/sheet13.xml><?xml version="1.0" encoding="utf-8"?>
<worksheet xmlns="http://schemas.openxmlformats.org/spreadsheetml/2006/main">
  <sheetPr>
    <tabColor rgb="FF92D050"/>
    <outlinePr summaryBelow="1" summaryRight="1"/>
    <pageSetUpPr fitToPage="1"/>
  </sheetPr>
  <dimension ref="A1:R45"/>
  <sheetViews>
    <sheetView workbookViewId="0">
      <selection activeCell="A1" sqref="A1"/>
    </sheetView>
  </sheetViews>
  <sheetFormatPr baseColWidth="8" defaultColWidth="14.44140625" defaultRowHeight="15" customHeight="1"/>
  <cols>
    <col width="6.88671875" customWidth="1" style="307" min="1" max="1"/>
    <col width="48.44140625" customWidth="1" style="307" min="2" max="2"/>
    <col width="10.33203125" customWidth="1" style="307" min="3" max="3"/>
    <col width="17.44140625" customWidth="1" style="307" min="4" max="4"/>
    <col width="4" customWidth="1" style="307" min="5" max="5"/>
    <col width="6.88671875" customWidth="1" style="307" min="6" max="6"/>
    <col width="48.44140625" customWidth="1" style="307" min="7" max="7"/>
    <col width="10.33203125" customWidth="1" style="307" min="8" max="8"/>
    <col width="17.44140625" customWidth="1" style="307" min="9" max="9"/>
    <col width="8.6640625" customWidth="1" style="307" min="10" max="10"/>
    <col width="6.88671875" customWidth="1" style="307" min="11" max="11"/>
    <col width="48.44140625" customWidth="1" style="307" min="12" max="12"/>
    <col width="10.33203125" customWidth="1" style="307" min="13" max="13"/>
    <col width="17.44140625" customWidth="1" style="307" min="14" max="14"/>
    <col width="8.6640625" customWidth="1" style="307" min="15" max="26"/>
  </cols>
  <sheetData>
    <row r="1" ht="14.4" customHeight="1" s="307">
      <c r="A1" s="3" t="n"/>
      <c r="B1" s="3" t="n"/>
      <c r="C1" s="3" t="n"/>
      <c r="D1" s="398" t="n"/>
      <c r="E1" s="3" t="n"/>
      <c r="F1" s="3" t="n"/>
      <c r="G1" s="3" t="n"/>
      <c r="H1" s="3" t="n"/>
      <c r="I1" s="3" t="n"/>
      <c r="J1" s="3" t="n"/>
      <c r="K1" s="3" t="n"/>
      <c r="L1" s="3" t="n"/>
      <c r="M1" s="3" t="n"/>
      <c r="N1" s="3" t="n"/>
      <c r="O1" s="3" t="n"/>
      <c r="P1" s="3" t="n"/>
      <c r="Q1" s="3" t="n"/>
      <c r="R1" s="3" t="n"/>
    </row>
    <row r="2" ht="15.6" customHeight="1" s="307">
      <c r="A2" s="234" t="inlineStr">
        <is>
          <t>S.NO.</t>
        </is>
      </c>
      <c r="B2" s="235" t="inlineStr">
        <is>
          <t>DESCRIPTION( Vertical 10 ton lps)</t>
        </is>
      </c>
      <c r="C2" s="236" t="inlineStr">
        <is>
          <t>QTY</t>
        </is>
      </c>
      <c r="D2" s="451" t="inlineStr">
        <is>
          <t>AMOUNT(Rs.)</t>
        </is>
      </c>
      <c r="E2" s="3" t="n"/>
      <c r="F2" s="238" t="inlineStr">
        <is>
          <t>S.NO.</t>
        </is>
      </c>
      <c r="G2" s="236" t="inlineStr">
        <is>
          <t>DESCRIPTION( Vertical 12-14 ton lps)</t>
        </is>
      </c>
      <c r="H2" s="236" t="inlineStr">
        <is>
          <t>QTY</t>
        </is>
      </c>
      <c r="I2" s="451" t="inlineStr">
        <is>
          <t>AMOUNT(Rs.)</t>
        </is>
      </c>
      <c r="J2" s="3" t="n"/>
      <c r="K2" s="238" t="inlineStr">
        <is>
          <t>S.NO.</t>
        </is>
      </c>
      <c r="L2" s="236" t="inlineStr">
        <is>
          <t>DESCRIPTION( Vertical 15 ton lps)</t>
        </is>
      </c>
      <c r="M2" s="236" t="inlineStr">
        <is>
          <t>QTY</t>
        </is>
      </c>
      <c r="N2" s="451" t="inlineStr">
        <is>
          <t>AMOUNT(Rs.)</t>
        </is>
      </c>
      <c r="O2" s="3" t="n"/>
      <c r="P2" s="3" t="n"/>
      <c r="Q2" s="3" t="n"/>
      <c r="R2" s="3" t="n"/>
    </row>
    <row r="3" ht="15.6" customHeight="1" s="307">
      <c r="A3" s="116" t="n">
        <v>1</v>
      </c>
      <c r="B3" s="117" t="inlineStr">
        <is>
          <t>MS Structure</t>
        </is>
      </c>
      <c r="C3" s="117" t="inlineStr">
        <is>
          <t>1096 Kgs.</t>
        </is>
      </c>
      <c r="D3" s="453">
        <f>1096*Rates!C13*2.1</f>
        <v/>
      </c>
      <c r="E3" s="3" t="n"/>
      <c r="F3" s="243" t="n">
        <v>1</v>
      </c>
      <c r="G3" s="244" t="inlineStr">
        <is>
          <t>MS Structure</t>
        </is>
      </c>
      <c r="H3" s="244" t="inlineStr">
        <is>
          <t>1130 Kgs.</t>
        </is>
      </c>
      <c r="I3" s="454">
        <f>2.1*1130*Rates!C12</f>
        <v/>
      </c>
      <c r="J3" s="3" t="n"/>
      <c r="K3" s="243" t="n">
        <v>1</v>
      </c>
      <c r="L3" s="244" t="inlineStr">
        <is>
          <t>MS Structure</t>
        </is>
      </c>
      <c r="M3" s="244" t="inlineStr">
        <is>
          <t>1215Kgs.</t>
        </is>
      </c>
      <c r="N3" s="454">
        <f>2.1*1215*Rates!C12</f>
        <v/>
      </c>
      <c r="O3" s="3" t="n"/>
      <c r="P3" s="3" t="n"/>
      <c r="Q3" s="3" t="n"/>
      <c r="R3" s="3" t="n"/>
    </row>
    <row r="4" ht="15.6" customHeight="1" s="307">
      <c r="A4" s="374" t="n">
        <v>2</v>
      </c>
      <c r="B4" s="117" t="inlineStr">
        <is>
          <t>Combustion Equipment:</t>
        </is>
      </c>
      <c r="C4" s="117" t="n"/>
      <c r="D4" s="453" t="n"/>
      <c r="E4" s="3" t="n"/>
      <c r="F4" s="371" t="n">
        <v>2</v>
      </c>
      <c r="G4" s="248" t="inlineStr">
        <is>
          <t>Combustion Equipment:</t>
        </is>
      </c>
      <c r="H4" s="371" t="n"/>
      <c r="I4" s="456" t="n"/>
      <c r="J4" s="3" t="n"/>
      <c r="K4" s="371" t="n">
        <v>2</v>
      </c>
      <c r="L4" s="248" t="inlineStr">
        <is>
          <t>Combustion Equipment:</t>
        </is>
      </c>
      <c r="M4" s="371" t="n"/>
      <c r="N4" s="456" t="n"/>
      <c r="O4" s="3" t="n"/>
      <c r="P4" s="3" t="n"/>
      <c r="Q4" s="3" t="n"/>
      <c r="R4" s="3" t="n"/>
    </row>
    <row r="5" ht="15.6" customHeight="1" s="307">
      <c r="A5" s="284" t="n"/>
      <c r="B5" s="250" t="inlineStr">
        <is>
          <t>a. Encon Film Burner -3A</t>
        </is>
      </c>
      <c r="C5" s="117" t="inlineStr">
        <is>
          <t>3A</t>
        </is>
      </c>
      <c r="D5" s="453">
        <f>BURNER!I6</f>
        <v/>
      </c>
      <c r="E5" s="3" t="n"/>
      <c r="F5" s="278" t="n"/>
      <c r="G5" s="251" t="inlineStr">
        <is>
          <t>a. Encon Film Burner (4A) – 1Set.</t>
        </is>
      </c>
      <c r="H5" s="252" t="n">
        <v>1</v>
      </c>
      <c r="I5" s="483">
        <f>BURNER!I7</f>
        <v/>
      </c>
      <c r="J5" s="3" t="n"/>
      <c r="K5" s="278" t="n"/>
      <c r="L5" s="251" t="inlineStr">
        <is>
          <t>a. Encon Film Burner (4A) – 1Set.</t>
        </is>
      </c>
      <c r="M5" s="252" t="n">
        <v>1</v>
      </c>
      <c r="N5" s="458">
        <f>BURNER!I7</f>
        <v/>
      </c>
      <c r="O5" s="3" t="n"/>
      <c r="P5" s="3" t="n"/>
      <c r="Q5" s="3" t="n"/>
      <c r="R5" s="3" t="n"/>
    </row>
    <row r="6" ht="15.6" customHeight="1" s="307">
      <c r="A6" s="284" t="n"/>
      <c r="B6" s="250" t="inlineStr">
        <is>
          <t>b. Blower 5/40"</t>
        </is>
      </c>
      <c r="C6" s="254" t="inlineStr">
        <is>
          <t>5/40"</t>
        </is>
      </c>
      <c r="D6" s="453">
        <f>Blower!G17</f>
        <v/>
      </c>
      <c r="E6" s="3" t="n"/>
      <c r="F6" s="278" t="n"/>
      <c r="G6" s="251" t="inlineStr">
        <is>
          <t>b. Blower 7.5/40” – 1 No.</t>
        </is>
      </c>
      <c r="H6" s="252" t="n">
        <v>1</v>
      </c>
      <c r="I6" s="458">
        <f>Blower!J18*1.8+Blower!K17*1.5</f>
        <v/>
      </c>
      <c r="J6" s="3" t="n"/>
      <c r="K6" s="278" t="n"/>
      <c r="L6" s="251" t="inlineStr">
        <is>
          <t>b. Blower 10/40” – 1 No.</t>
        </is>
      </c>
      <c r="M6" s="252" t="n">
        <v>1</v>
      </c>
      <c r="N6" s="458">
        <f>Blower!J19*1.8+Blower!K18*1.8</f>
        <v/>
      </c>
      <c r="O6" s="3" t="n"/>
      <c r="P6" s="3" t="n"/>
      <c r="Q6" s="3" t="n"/>
      <c r="R6" s="3" t="n"/>
    </row>
    <row r="7" ht="15.6" customHeight="1" s="307">
      <c r="A7" s="108" t="n"/>
      <c r="B7" s="250" t="inlineStr">
        <is>
          <t>c. H &amp; P Unit 3kW-1No,(HPD-3)</t>
        </is>
      </c>
      <c r="C7" s="117" t="inlineStr">
        <is>
          <t>HPD-3</t>
        </is>
      </c>
      <c r="D7" s="453">
        <f>HPU!F49*1.8</f>
        <v/>
      </c>
      <c r="E7" s="3" t="n"/>
      <c r="F7" s="243" t="n"/>
      <c r="G7" s="255" t="inlineStr">
        <is>
          <t>c. H &amp; P Unit 6 kW – 1No .(HPD-6)</t>
        </is>
      </c>
      <c r="H7" s="256" t="n">
        <v>1</v>
      </c>
      <c r="I7" s="460">
        <f>HPU!V48*1.8</f>
        <v/>
      </c>
      <c r="J7" s="3" t="n"/>
      <c r="K7" s="243" t="n"/>
      <c r="L7" s="255" t="inlineStr">
        <is>
          <t>c. H &amp; P Unit 6 kW – 1No .(HPD-6)</t>
        </is>
      </c>
      <c r="M7" s="256" t="n">
        <v>1</v>
      </c>
      <c r="N7" s="460">
        <f>HPU!V48*1.8</f>
        <v/>
      </c>
      <c r="O7" s="3" t="n"/>
      <c r="P7" s="3" t="n"/>
      <c r="Q7" s="3" t="n"/>
      <c r="R7" s="3" t="n"/>
    </row>
    <row r="8" ht="15.6" customHeight="1" s="307">
      <c r="A8" s="116" t="n">
        <v>3</v>
      </c>
      <c r="B8" s="117" t="inlineStr">
        <is>
          <t xml:space="preserve">Ceramic fiber </t>
        </is>
      </c>
      <c r="C8" s="117" t="inlineStr">
        <is>
          <t>9 Rolls</t>
        </is>
      </c>
      <c r="D8" s="453">
        <f>2.1*9*Rates!C29</f>
        <v/>
      </c>
      <c r="E8" s="3" t="n"/>
      <c r="F8" s="243" t="n">
        <v>3</v>
      </c>
      <c r="G8" s="244" t="inlineStr">
        <is>
          <t xml:space="preserve">Ceramic fiber </t>
        </is>
      </c>
      <c r="H8" s="244" t="inlineStr">
        <is>
          <t>8 Rolls</t>
        </is>
      </c>
      <c r="I8" s="454">
        <f>2.1*8*Rates!C29</f>
        <v/>
      </c>
      <c r="J8" s="3" t="n"/>
      <c r="K8" s="243" t="n">
        <v>3</v>
      </c>
      <c r="L8" s="244" t="inlineStr">
        <is>
          <t xml:space="preserve">Ceramic fiber </t>
        </is>
      </c>
      <c r="M8" s="244" t="inlineStr">
        <is>
          <t>9 Rolls</t>
        </is>
      </c>
      <c r="N8" s="454">
        <f>2.1*9*Rates!C29</f>
        <v/>
      </c>
      <c r="O8" s="3" t="n"/>
      <c r="P8" s="3" t="n"/>
      <c r="Q8" s="3" t="n"/>
      <c r="R8" s="3" t="n"/>
    </row>
    <row r="9" ht="15.6" customHeight="1" s="307">
      <c r="A9" s="116" t="n">
        <v>4</v>
      </c>
      <c r="B9" s="117" t="inlineStr">
        <is>
          <t>Control Panel</t>
        </is>
      </c>
      <c r="C9" s="117" t="inlineStr">
        <is>
          <t>1Set</t>
        </is>
      </c>
      <c r="D9" s="461">
        <f>2.1*50000</f>
        <v/>
      </c>
      <c r="E9" s="3" t="n"/>
      <c r="F9" s="243" t="n">
        <v>4</v>
      </c>
      <c r="G9" s="244" t="inlineStr">
        <is>
          <t>Control Panel</t>
        </is>
      </c>
      <c r="H9" s="244" t="inlineStr">
        <is>
          <t>1Set</t>
        </is>
      </c>
      <c r="I9" s="461">
        <f>2.1*50000</f>
        <v/>
      </c>
      <c r="J9" s="3" t="n"/>
      <c r="K9" s="243" t="n">
        <v>4</v>
      </c>
      <c r="L9" s="244" t="inlineStr">
        <is>
          <t>Control Panel</t>
        </is>
      </c>
      <c r="M9" s="244" t="inlineStr">
        <is>
          <t>1Set</t>
        </is>
      </c>
      <c r="N9" s="461">
        <f>2.1*55000</f>
        <v/>
      </c>
      <c r="O9" s="3" t="n"/>
      <c r="P9" s="3" t="n"/>
      <c r="Q9" s="3" t="n"/>
      <c r="R9" s="3" t="n"/>
    </row>
    <row r="10" ht="15.6" customHeight="1" s="307">
      <c r="A10" s="116" t="n">
        <v>5</v>
      </c>
      <c r="B10" s="117" t="inlineStr">
        <is>
          <t>Swirling  mech, Pipeline and Fittings, Nut, Bolts, paint</t>
        </is>
      </c>
      <c r="C10" s="117" t="n"/>
      <c r="D10" s="453">
        <f>2.1*59490</f>
        <v/>
      </c>
      <c r="E10" s="3" t="n"/>
      <c r="F10" s="243" t="n">
        <v>5</v>
      </c>
      <c r="G10" s="244" t="inlineStr">
        <is>
          <t>Swirling  mech, Pipeline and Fittings, Nut, Bolts, paint</t>
        </is>
      </c>
      <c r="H10" s="244" t="n"/>
      <c r="I10" s="454">
        <f>2.1*66213</f>
        <v/>
      </c>
      <c r="J10" s="3" t="n"/>
      <c r="K10" s="243" t="n">
        <v>5</v>
      </c>
      <c r="L10" s="244" t="inlineStr">
        <is>
          <t>Swirling  mech, Pipeline and Fittings, Nut, Bolts, paint</t>
        </is>
      </c>
      <c r="M10" s="244" t="n"/>
      <c r="N10" s="454">
        <f>2.1*70000</f>
        <v/>
      </c>
      <c r="O10" s="3" t="n"/>
      <c r="P10" s="3" t="n"/>
      <c r="Q10" s="3" t="n"/>
      <c r="R10" s="3" t="n"/>
    </row>
    <row r="11" ht="15.6" customHeight="1" s="307">
      <c r="A11" s="36" t="n"/>
      <c r="B11" s="37" t="n"/>
      <c r="C11" s="262" t="inlineStr">
        <is>
          <t>TOTAL</t>
        </is>
      </c>
      <c r="D11" s="464">
        <f>SUM(D3:D10)</f>
        <v/>
      </c>
      <c r="E11" s="3" t="n"/>
      <c r="F11" s="264" t="n"/>
      <c r="G11" s="265" t="n"/>
      <c r="H11" s="266" t="inlineStr">
        <is>
          <t>TOTAL</t>
        </is>
      </c>
      <c r="I11" s="484">
        <f>SUM(I3:I10)</f>
        <v/>
      </c>
      <c r="J11" s="3" t="n"/>
      <c r="K11" s="264" t="n"/>
      <c r="L11" s="265" t="n"/>
      <c r="M11" s="266" t="inlineStr">
        <is>
          <t>TOTAL</t>
        </is>
      </c>
      <c r="N11" s="465">
        <f>SUM(N3:N10)</f>
        <v/>
      </c>
      <c r="O11" s="3" t="n"/>
      <c r="P11" s="3" t="n"/>
      <c r="Q11" s="3" t="n"/>
      <c r="R11" s="3" t="n"/>
    </row>
    <row r="12" ht="15.6" customHeight="1" s="307">
      <c r="A12" s="3" t="n"/>
      <c r="B12" s="3" t="n"/>
      <c r="C12" s="268" t="n"/>
      <c r="D12" s="466" t="n"/>
      <c r="E12" s="3" t="n"/>
      <c r="F12" s="3" t="n"/>
      <c r="G12" s="3" t="n"/>
      <c r="H12" s="3" t="n"/>
      <c r="I12" s="3" t="n"/>
      <c r="J12" s="3" t="n"/>
      <c r="K12" s="3" t="n"/>
      <c r="L12" s="3" t="n"/>
      <c r="M12" s="3" t="n"/>
      <c r="N12" s="3" t="n"/>
      <c r="O12" s="3" t="n"/>
      <c r="P12" s="3" t="n"/>
      <c r="Q12" s="3" t="n"/>
      <c r="R12" s="3" t="n"/>
    </row>
    <row r="13" ht="15.6" customHeight="1" s="307">
      <c r="A13" s="239" t="inlineStr">
        <is>
          <t>S.NO.</t>
        </is>
      </c>
      <c r="B13" s="236" t="inlineStr">
        <is>
          <t>DESCRIPTION( Vertical 16-20 ton lps)</t>
        </is>
      </c>
      <c r="C13" s="241" t="inlineStr">
        <is>
          <t>QTY</t>
        </is>
      </c>
      <c r="D13" s="452" t="inlineStr">
        <is>
          <t>AMOUNT(Rs.)</t>
        </is>
      </c>
      <c r="E13" s="3" t="n"/>
      <c r="F13" s="239" t="inlineStr">
        <is>
          <t>S.NO.</t>
        </is>
      </c>
      <c r="G13" s="236" t="inlineStr">
        <is>
          <t>DESCRIPTION( Vertical 30 ton lps)</t>
        </is>
      </c>
      <c r="H13" s="241" t="inlineStr">
        <is>
          <t>QTY</t>
        </is>
      </c>
      <c r="I13" s="452" t="inlineStr">
        <is>
          <t>AMOUNT(Rs.)</t>
        </is>
      </c>
      <c r="J13" s="3" t="n"/>
      <c r="K13" s="239" t="inlineStr">
        <is>
          <t>S.NO.</t>
        </is>
      </c>
      <c r="L13" s="236" t="inlineStr">
        <is>
          <t>DESCRIPTION( Vertical 30 to 40 ton lps)</t>
        </is>
      </c>
      <c r="M13" s="241" t="inlineStr">
        <is>
          <t>QTY</t>
        </is>
      </c>
      <c r="N13" s="452" t="inlineStr">
        <is>
          <t>AMOUNT(Rs.)</t>
        </is>
      </c>
      <c r="O13" s="3" t="n"/>
      <c r="P13" s="3" t="n"/>
      <c r="Q13" s="3" t="n"/>
      <c r="R13" s="3" t="n"/>
    </row>
    <row r="14" ht="15.6" customHeight="1" s="307">
      <c r="A14" s="243" t="n">
        <v>1</v>
      </c>
      <c r="B14" s="244" t="inlineStr">
        <is>
          <t>MS Structure</t>
        </is>
      </c>
      <c r="C14" s="244" t="inlineStr">
        <is>
          <t>1300Kgs.</t>
        </is>
      </c>
      <c r="D14" s="454">
        <f>2.1*1300*Rates!C12</f>
        <v/>
      </c>
      <c r="E14" s="3" t="n"/>
      <c r="F14" s="243" t="n">
        <v>1</v>
      </c>
      <c r="G14" s="244" t="inlineStr">
        <is>
          <t>MS Structure</t>
        </is>
      </c>
      <c r="H14" s="244" t="inlineStr">
        <is>
          <t>1354 Kgs.</t>
        </is>
      </c>
      <c r="I14" s="454">
        <f>2.1*1354*Rates!C12</f>
        <v/>
      </c>
      <c r="J14" s="3" t="n"/>
      <c r="K14" s="243" t="n">
        <v>1</v>
      </c>
      <c r="L14" s="244" t="inlineStr">
        <is>
          <t>MS Structure</t>
        </is>
      </c>
      <c r="M14" s="287" t="inlineStr">
        <is>
          <t>1773 Kgs.</t>
        </is>
      </c>
      <c r="N14" s="454">
        <f>2.1*1773*Rates!C12</f>
        <v/>
      </c>
      <c r="O14" s="3" t="n"/>
      <c r="P14" s="3" t="n"/>
      <c r="Q14" s="3" t="n"/>
      <c r="R14" s="3" t="n"/>
    </row>
    <row r="15" ht="15.6" customHeight="1" s="307">
      <c r="A15" s="371" t="n">
        <v>2</v>
      </c>
      <c r="B15" s="248" t="inlineStr">
        <is>
          <t>Combustion Equipment:</t>
        </is>
      </c>
      <c r="C15" s="371" t="n"/>
      <c r="D15" s="456" t="n"/>
      <c r="E15" s="3" t="n"/>
      <c r="F15" s="371" t="n">
        <v>2</v>
      </c>
      <c r="G15" s="248" t="inlineStr">
        <is>
          <t>Combustion Equipment:</t>
        </is>
      </c>
      <c r="H15" s="371" t="n"/>
      <c r="I15" s="456" t="n"/>
      <c r="J15" s="3" t="n"/>
      <c r="K15" s="371" t="n">
        <v>2</v>
      </c>
      <c r="L15" s="248" t="inlineStr">
        <is>
          <t>Combustion Equipment:</t>
        </is>
      </c>
      <c r="M15" s="288" t="n"/>
      <c r="N15" s="456" t="n"/>
      <c r="O15" s="3" t="n"/>
      <c r="P15" s="3" t="n"/>
      <c r="Q15" s="3" t="n"/>
      <c r="R15" s="3" t="n"/>
    </row>
    <row r="16" ht="15.6" customHeight="1" s="307">
      <c r="A16" s="278" t="n"/>
      <c r="B16" s="251" t="inlineStr">
        <is>
          <t>a. Encon Film Burner (4A) – 1Set.</t>
        </is>
      </c>
      <c r="C16" s="117" t="n">
        <v>1</v>
      </c>
      <c r="D16" s="458">
        <f>BURNER!I7</f>
        <v/>
      </c>
      <c r="E16" s="3" t="n"/>
      <c r="F16" s="278" t="n"/>
      <c r="G16" s="251" t="inlineStr">
        <is>
          <t>a. Encon Film Burner (5A) – 1Set.</t>
        </is>
      </c>
      <c r="H16" s="117" t="n">
        <v>1</v>
      </c>
      <c r="I16" s="458">
        <f>BURNER!I8</f>
        <v/>
      </c>
      <c r="J16" s="3" t="n"/>
      <c r="K16" s="278" t="n"/>
      <c r="L16" s="251" t="inlineStr">
        <is>
          <t>a. Encon Film Burner (5A) – 1Set.</t>
        </is>
      </c>
      <c r="M16" s="118" t="n">
        <v>1</v>
      </c>
      <c r="N16" s="458">
        <f>BURNER!I8</f>
        <v/>
      </c>
      <c r="O16" s="3" t="n"/>
      <c r="P16" s="3" t="n"/>
      <c r="Q16" s="3" t="n"/>
      <c r="R16" s="3" t="n"/>
    </row>
    <row r="17" ht="15.6" customHeight="1" s="307">
      <c r="A17" s="278" t="n"/>
      <c r="B17" s="251" t="inlineStr">
        <is>
          <t>b. Blower 15/40” – 1 No.</t>
        </is>
      </c>
      <c r="C17" s="117" t="n">
        <v>1</v>
      </c>
      <c r="D17" s="458">
        <f>Blower!J20*1.8+Blower!K19*1.5</f>
        <v/>
      </c>
      <c r="E17" s="3" t="n"/>
      <c r="F17" s="278" t="n"/>
      <c r="G17" s="251" t="inlineStr">
        <is>
          <t>b. Blower20/40” – 1 No.</t>
        </is>
      </c>
      <c r="H17" s="117" t="n">
        <v>1</v>
      </c>
      <c r="I17" s="458">
        <f>Blower!J21*1.8+Blower!K20*1.5</f>
        <v/>
      </c>
      <c r="J17" s="3" t="n"/>
      <c r="K17" s="278" t="n"/>
      <c r="L17" s="251" t="inlineStr">
        <is>
          <t>b. Blower 20/40” – 1 No.</t>
        </is>
      </c>
      <c r="M17" s="118" t="n">
        <v>1</v>
      </c>
      <c r="N17" s="458">
        <f>Blower!J21*1.8+Blower!K20*1.5</f>
        <v/>
      </c>
      <c r="O17" s="3" t="n"/>
      <c r="P17" s="3" t="n"/>
      <c r="Q17" s="3" t="n"/>
      <c r="R17" s="3" t="n"/>
    </row>
    <row r="18" ht="15.6" customHeight="1" s="307">
      <c r="A18" s="243" t="n"/>
      <c r="B18" s="255" t="inlineStr">
        <is>
          <t>c. H &amp; P Unit 6 kW – 1No .(HPD-6)</t>
        </is>
      </c>
      <c r="C18" s="117" t="n">
        <v>1</v>
      </c>
      <c r="D18" s="460">
        <f>HPU!V48*1.8</f>
        <v/>
      </c>
      <c r="E18" s="3" t="n"/>
      <c r="F18" s="243" t="n"/>
      <c r="G18" s="255" t="inlineStr">
        <is>
          <t>c. H &amp; P Unit 12 kW – 1No .(HPD-12)</t>
        </is>
      </c>
      <c r="H18" s="117" t="n">
        <v>1</v>
      </c>
      <c r="I18" s="460">
        <f>HPU!BB49*1.8</f>
        <v/>
      </c>
      <c r="J18" s="3" t="n"/>
      <c r="K18" s="243" t="n"/>
      <c r="L18" s="255" t="inlineStr">
        <is>
          <t>c. H &amp; P Unit 12 kW – 1No .(HPD-12)</t>
        </is>
      </c>
      <c r="M18" s="118" t="n">
        <v>1</v>
      </c>
      <c r="N18" s="460">
        <f>HPU!BB49*1.8</f>
        <v/>
      </c>
      <c r="O18" s="3" t="n"/>
      <c r="P18" s="3" t="n"/>
      <c r="Q18" s="3" t="n"/>
      <c r="R18" s="3" t="n"/>
    </row>
    <row r="19" ht="15.6" customHeight="1" s="307">
      <c r="A19" s="243" t="n">
        <v>3</v>
      </c>
      <c r="B19" s="244" t="inlineStr">
        <is>
          <t xml:space="preserve">Ceramic fiber </t>
        </is>
      </c>
      <c r="C19" s="244" t="inlineStr">
        <is>
          <t>10 Rolls</t>
        </is>
      </c>
      <c r="D19" s="454">
        <f>2.1*10*Rates!C29</f>
        <v/>
      </c>
      <c r="E19" s="3" t="n"/>
      <c r="F19" s="243" t="n">
        <v>3</v>
      </c>
      <c r="G19" s="244" t="inlineStr">
        <is>
          <t xml:space="preserve">Ceramic fiber </t>
        </is>
      </c>
      <c r="H19" s="244" t="inlineStr">
        <is>
          <t>11Rolls</t>
        </is>
      </c>
      <c r="I19" s="454">
        <f>2.1*11*Rates!C29</f>
        <v/>
      </c>
      <c r="J19" s="3" t="n"/>
      <c r="K19" s="243" t="n">
        <v>3</v>
      </c>
      <c r="L19" s="244" t="inlineStr">
        <is>
          <t xml:space="preserve">Ceramic fiber </t>
        </is>
      </c>
      <c r="M19" s="287" t="inlineStr">
        <is>
          <t>13Rolls</t>
        </is>
      </c>
      <c r="N19" s="454">
        <f>2.1*13*Rates!C29</f>
        <v/>
      </c>
      <c r="O19" s="3" t="n"/>
      <c r="P19" s="3" t="n"/>
      <c r="Q19" s="3" t="n"/>
      <c r="R19" s="3" t="n"/>
    </row>
    <row r="20" ht="15.6" customHeight="1" s="307">
      <c r="A20" s="243" t="n">
        <v>4</v>
      </c>
      <c r="B20" s="244" t="inlineStr">
        <is>
          <t>Control Panel</t>
        </is>
      </c>
      <c r="C20" s="244" t="inlineStr">
        <is>
          <t>1Set</t>
        </is>
      </c>
      <c r="D20" s="461">
        <f>2.1*55000</f>
        <v/>
      </c>
      <c r="E20" s="3" t="n"/>
      <c r="F20" s="243" t="n">
        <v>4</v>
      </c>
      <c r="G20" s="244" t="inlineStr">
        <is>
          <t>Control Panel</t>
        </is>
      </c>
      <c r="H20" s="244" t="inlineStr">
        <is>
          <t>1Set</t>
        </is>
      </c>
      <c r="I20" s="461">
        <f>2.1*70000</f>
        <v/>
      </c>
      <c r="J20" s="3" t="n"/>
      <c r="K20" s="243" t="n">
        <v>4</v>
      </c>
      <c r="L20" s="244" t="inlineStr">
        <is>
          <t>Control Panel</t>
        </is>
      </c>
      <c r="M20" s="287" t="inlineStr">
        <is>
          <t>1Set</t>
        </is>
      </c>
      <c r="N20" s="461">
        <f>2.1*70000</f>
        <v/>
      </c>
      <c r="O20" s="3" t="n"/>
      <c r="P20" s="3" t="n"/>
      <c r="Q20" s="3" t="n"/>
      <c r="R20" s="3" t="n"/>
    </row>
    <row r="21" ht="15.75" customHeight="1" s="307">
      <c r="A21" s="243" t="n">
        <v>5</v>
      </c>
      <c r="B21" s="244" t="inlineStr">
        <is>
          <t>Swirling  mech, Pipeline and Fittings, Nut, Bolts, paint</t>
        </is>
      </c>
      <c r="C21" s="244" t="n"/>
      <c r="D21" s="454">
        <f>2.1*75415</f>
        <v/>
      </c>
      <c r="E21" s="3" t="n"/>
      <c r="F21" s="243" t="n">
        <v>5</v>
      </c>
      <c r="G21" s="244" t="inlineStr">
        <is>
          <t>Swirling  mech, Pipeline and Fittings, Nut, Bolts, paint</t>
        </is>
      </c>
      <c r="H21" s="244" t="n"/>
      <c r="I21" s="454">
        <f>2.1*80000</f>
        <v/>
      </c>
      <c r="J21" s="3" t="n"/>
      <c r="K21" s="243" t="n">
        <v>5</v>
      </c>
      <c r="L21" s="244" t="inlineStr">
        <is>
          <t>Swirling  mech, Pipeline and Fittings, Nut, Bolts, paint</t>
        </is>
      </c>
      <c r="M21" s="287" t="n"/>
      <c r="N21" s="454">
        <f>2.1*85000</f>
        <v/>
      </c>
      <c r="O21" s="3" t="n"/>
      <c r="P21" s="3" t="n"/>
      <c r="Q21" s="3" t="n"/>
      <c r="R21" s="3" t="n"/>
    </row>
    <row r="22" ht="15.75" customHeight="1" s="307">
      <c r="A22" s="264" t="n"/>
      <c r="B22" s="265" t="n"/>
      <c r="C22" s="266" t="inlineStr">
        <is>
          <t>TOTAL</t>
        </is>
      </c>
      <c r="D22" s="465">
        <f>SUM(D14:D21)</f>
        <v/>
      </c>
      <c r="E22" s="3" t="n"/>
      <c r="F22" s="264" t="n"/>
      <c r="G22" s="265" t="n"/>
      <c r="H22" s="281" t="inlineStr">
        <is>
          <t>TOTAL</t>
        </is>
      </c>
      <c r="I22" s="465">
        <f>SUM(I14:I21)</f>
        <v/>
      </c>
      <c r="J22" s="3" t="n"/>
      <c r="K22" s="264" t="n"/>
      <c r="L22" s="265" t="n"/>
      <c r="M22" s="281" t="inlineStr">
        <is>
          <t>TOTAL</t>
        </is>
      </c>
      <c r="N22" s="465">
        <f>SUM(N14:N21)</f>
        <v/>
      </c>
      <c r="O22" s="3" t="n"/>
      <c r="P22" s="3" t="n"/>
      <c r="Q22" s="3" t="n"/>
      <c r="R22" s="3" t="n"/>
    </row>
    <row r="23" ht="15.75" customHeight="1" s="307">
      <c r="A23" s="3" t="n"/>
      <c r="B23" s="3" t="n"/>
      <c r="C23" s="268" t="n"/>
      <c r="D23" s="398" t="n"/>
      <c r="E23" s="3" t="n"/>
      <c r="F23" s="3" t="n"/>
      <c r="G23" s="3" t="n"/>
      <c r="H23" s="3" t="n"/>
      <c r="I23" s="3" t="n"/>
      <c r="J23" s="3" t="n"/>
      <c r="K23" s="3" t="n"/>
      <c r="L23" s="3" t="n"/>
      <c r="M23" s="3" t="n"/>
      <c r="N23" s="3" t="n"/>
      <c r="O23" s="3" t="n"/>
      <c r="P23" s="3" t="n"/>
      <c r="Q23" s="3" t="n"/>
      <c r="R23" s="3" t="n"/>
    </row>
    <row r="24" ht="15.75" customHeight="1" s="307">
      <c r="A24" s="239" t="inlineStr">
        <is>
          <t>S.NO.</t>
        </is>
      </c>
      <c r="B24" s="236" t="inlineStr">
        <is>
          <t>DESCRIPTION( Vertical 50 to 60 ton lps)</t>
        </is>
      </c>
      <c r="C24" s="241" t="inlineStr">
        <is>
          <t>QTY</t>
        </is>
      </c>
      <c r="D24" s="452" t="inlineStr">
        <is>
          <t>AMOUNT(Rs.)</t>
        </is>
      </c>
      <c r="E24" s="3" t="n"/>
      <c r="F24" s="3" t="n"/>
      <c r="G24" s="3" t="n"/>
      <c r="H24" s="3" t="n"/>
      <c r="I24" s="3" t="n"/>
      <c r="J24" s="3" t="n"/>
      <c r="K24" s="3" t="n"/>
      <c r="L24" s="3" t="n"/>
      <c r="M24" s="3" t="n"/>
      <c r="N24" s="3" t="n"/>
      <c r="O24" s="3" t="n"/>
      <c r="P24" s="3" t="n"/>
      <c r="Q24" s="3" t="n"/>
      <c r="R24" s="3" t="n"/>
    </row>
    <row r="25" ht="15.75" customHeight="1" s="307">
      <c r="A25" s="243" t="n">
        <v>1</v>
      </c>
      <c r="B25" s="244" t="inlineStr">
        <is>
          <t>MS Structure</t>
        </is>
      </c>
      <c r="C25" s="244" t="inlineStr">
        <is>
          <t>1800 Kgs.</t>
        </is>
      </c>
      <c r="D25" s="454">
        <f>2.1*1800*45</f>
        <v/>
      </c>
      <c r="E25" s="3" t="n"/>
      <c r="F25" s="3" t="n"/>
      <c r="G25" s="3" t="n"/>
      <c r="H25" s="3" t="n"/>
      <c r="I25" s="3" t="n"/>
      <c r="J25" s="3" t="n"/>
      <c r="K25" s="3" t="n"/>
      <c r="L25" s="3" t="n"/>
      <c r="M25" s="3" t="n"/>
      <c r="N25" s="3" t="n"/>
      <c r="O25" s="3" t="n"/>
      <c r="P25" s="3" t="n"/>
      <c r="Q25" s="3" t="n"/>
      <c r="R25" s="3" t="n"/>
    </row>
    <row r="26" ht="15.75" customHeight="1" s="307">
      <c r="A26" s="371" t="n">
        <v>2</v>
      </c>
      <c r="B26" s="248" t="inlineStr">
        <is>
          <t>Combustion Equipment:</t>
        </is>
      </c>
      <c r="C26" s="371" t="n"/>
      <c r="D26" s="456" t="n"/>
      <c r="E26" s="3" t="n"/>
      <c r="F26" s="3" t="n"/>
      <c r="G26" s="461" t="n"/>
      <c r="H26" s="2" t="inlineStr">
        <is>
          <t>Change colored cell manually in this sheet</t>
        </is>
      </c>
      <c r="I26" s="3" t="n"/>
      <c r="J26" s="3" t="n"/>
      <c r="K26" s="3" t="n"/>
      <c r="L26" s="3" t="n"/>
      <c r="M26" s="3" t="n"/>
      <c r="N26" s="3" t="n"/>
      <c r="O26" s="3" t="n"/>
      <c r="P26" s="3" t="n"/>
      <c r="Q26" s="3" t="n"/>
      <c r="R26" s="3" t="n"/>
    </row>
    <row r="27" ht="15.75" customHeight="1" s="307">
      <c r="A27" s="278" t="n"/>
      <c r="B27" s="251" t="inlineStr">
        <is>
          <t>a. Encon Film Burner (5A) – 1Set.</t>
        </is>
      </c>
      <c r="C27" s="117" t="n">
        <v>1</v>
      </c>
      <c r="D27" s="458">
        <f>BURNER!I8</f>
        <v/>
      </c>
      <c r="E27" s="3" t="n"/>
      <c r="F27" s="3" t="n"/>
      <c r="G27" s="3" t="n"/>
      <c r="H27" s="3" t="n"/>
      <c r="I27" s="3" t="n"/>
      <c r="J27" s="3" t="n"/>
      <c r="K27" s="3" t="n"/>
      <c r="L27" s="3" t="n"/>
      <c r="M27" s="3" t="n"/>
      <c r="N27" s="3" t="n"/>
      <c r="O27" s="3" t="n"/>
      <c r="P27" s="3" t="n"/>
      <c r="Q27" s="3" t="n"/>
      <c r="R27" s="3" t="n"/>
    </row>
    <row r="28" ht="15.75" customHeight="1" s="307">
      <c r="A28" s="278" t="n"/>
      <c r="B28" s="251" t="inlineStr">
        <is>
          <t>b. Blower30/40” – 1 No.</t>
        </is>
      </c>
      <c r="C28" s="117" t="n">
        <v>1</v>
      </c>
      <c r="D28" s="458">
        <f>Blower!J23*1.8+Blower!K22*1.5</f>
        <v/>
      </c>
      <c r="E28" s="3" t="n"/>
      <c r="F28" s="3" t="n"/>
      <c r="G28" s="3" t="n"/>
      <c r="H28" s="3" t="n"/>
      <c r="I28" s="3" t="n"/>
      <c r="J28" s="3" t="n"/>
      <c r="K28" s="3" t="n"/>
      <c r="L28" s="3" t="n"/>
      <c r="M28" s="3" t="n"/>
      <c r="N28" s="3" t="n"/>
      <c r="O28" s="3" t="n"/>
      <c r="P28" s="3" t="n"/>
      <c r="Q28" s="3" t="n"/>
      <c r="R28" s="3" t="n"/>
    </row>
    <row r="29" ht="15.75" customHeight="1" s="307">
      <c r="A29" s="243" t="n"/>
      <c r="B29" s="255" t="inlineStr">
        <is>
          <t>c. H &amp; P Unit 20 kW – 1No .(HPD-20)</t>
        </is>
      </c>
      <c r="C29" s="117" t="n">
        <v>1</v>
      </c>
      <c r="D29" s="460">
        <f>HPU!CH49*1.8</f>
        <v/>
      </c>
      <c r="E29" s="3" t="n"/>
      <c r="F29" s="3" t="n"/>
      <c r="G29" s="3" t="n"/>
      <c r="H29" s="3" t="n"/>
      <c r="I29" s="3" t="n"/>
      <c r="J29" s="3" t="n"/>
      <c r="K29" s="3" t="n"/>
      <c r="L29" s="3" t="n"/>
      <c r="M29" s="3" t="n"/>
      <c r="N29" s="3" t="n"/>
      <c r="O29" s="3" t="n"/>
      <c r="P29" s="3" t="n"/>
      <c r="Q29" s="3" t="n"/>
      <c r="R29" s="3" t="n"/>
    </row>
    <row r="30" ht="15.75" customHeight="1" s="307">
      <c r="A30" s="243" t="n">
        <v>3</v>
      </c>
      <c r="B30" s="244" t="inlineStr">
        <is>
          <t xml:space="preserve">Ceramic fiber </t>
        </is>
      </c>
      <c r="C30" s="244" t="inlineStr">
        <is>
          <t>19Rolls</t>
        </is>
      </c>
      <c r="D30" s="454">
        <f>2.1*19*Rates!C29</f>
        <v/>
      </c>
      <c r="E30" s="3" t="n"/>
      <c r="F30" s="3" t="n"/>
      <c r="G30" s="3" t="n"/>
      <c r="H30" s="3" t="n"/>
      <c r="I30" s="3" t="n"/>
      <c r="J30" s="3" t="n"/>
      <c r="K30" s="3" t="n"/>
      <c r="L30" s="3" t="n"/>
      <c r="M30" s="3" t="n"/>
      <c r="N30" s="3" t="n"/>
      <c r="O30" s="3" t="n"/>
      <c r="P30" s="3" t="n"/>
      <c r="Q30" s="3" t="n"/>
      <c r="R30" s="3" t="n"/>
    </row>
    <row r="31" ht="15.75" customHeight="1" s="307">
      <c r="A31" s="243" t="n">
        <v>4</v>
      </c>
      <c r="B31" s="244" t="inlineStr">
        <is>
          <t>Control Panel</t>
        </is>
      </c>
      <c r="C31" s="244" t="inlineStr">
        <is>
          <t>1Set</t>
        </is>
      </c>
      <c r="D31" s="461">
        <f>2.1*70000</f>
        <v/>
      </c>
      <c r="E31" s="3" t="n"/>
      <c r="F31" s="3" t="n"/>
      <c r="G31" s="3" t="n"/>
      <c r="H31" s="3" t="n"/>
      <c r="I31" s="3" t="n"/>
      <c r="J31" s="3" t="n"/>
      <c r="K31" s="3" t="n"/>
      <c r="L31" s="3" t="n"/>
      <c r="M31" s="3" t="n"/>
      <c r="N31" s="3" t="n"/>
      <c r="O31" s="3" t="n"/>
      <c r="P31" s="3" t="n"/>
      <c r="Q31" s="3" t="n"/>
      <c r="R31" s="3" t="n"/>
    </row>
    <row r="32" ht="15.75" customHeight="1" s="307">
      <c r="A32" s="243" t="n">
        <v>5</v>
      </c>
      <c r="B32" s="244" t="inlineStr">
        <is>
          <t>Swirling  mech, Pipeline and Fittings, Nut, Bolts, paint</t>
        </is>
      </c>
      <c r="C32" s="244" t="n"/>
      <c r="D32" s="454">
        <f>2.1*90000</f>
        <v/>
      </c>
      <c r="E32" s="3" t="n"/>
      <c r="F32" s="3" t="n"/>
      <c r="G32" s="3" t="n"/>
      <c r="H32" s="3" t="n"/>
      <c r="I32" s="3" t="n"/>
      <c r="J32" s="3" t="n"/>
      <c r="K32" s="3" t="n"/>
      <c r="L32" s="3" t="n"/>
      <c r="M32" s="3" t="n"/>
      <c r="N32" s="3" t="n"/>
      <c r="O32" s="3" t="n"/>
      <c r="P32" s="3" t="n"/>
      <c r="Q32" s="3" t="n"/>
      <c r="R32" s="3" t="n"/>
    </row>
    <row r="33" ht="15.75" customHeight="1" s="307">
      <c r="A33" s="264" t="n"/>
      <c r="B33" s="265" t="n"/>
      <c r="C33" s="281" t="inlineStr">
        <is>
          <t>TOTAL</t>
        </is>
      </c>
      <c r="D33" s="465">
        <f>SUM(D25:D32)</f>
        <v/>
      </c>
      <c r="E33" s="3" t="n"/>
      <c r="F33" s="3" t="n"/>
      <c r="G33" s="3" t="n"/>
      <c r="H33" s="3" t="n"/>
      <c r="I33" s="3" t="n"/>
      <c r="J33" s="3" t="n"/>
      <c r="K33" s="3" t="n"/>
      <c r="L33" s="3" t="n"/>
      <c r="M33" s="3" t="n"/>
      <c r="N33" s="3" t="n"/>
      <c r="O33" s="3" t="n"/>
      <c r="P33" s="3" t="n"/>
      <c r="Q33" s="3" t="n"/>
      <c r="R33" s="3" t="n"/>
    </row>
    <row r="34" ht="15.75" customHeight="1" s="307">
      <c r="A34" s="3" t="n"/>
      <c r="B34" s="3" t="n"/>
      <c r="C34" s="268" t="n"/>
      <c r="D34" s="466" t="n"/>
      <c r="E34" s="3" t="n"/>
      <c r="F34" s="3" t="n"/>
      <c r="G34" s="3" t="n"/>
      <c r="H34" s="3" t="n"/>
      <c r="I34" s="3" t="n"/>
      <c r="J34" s="3" t="n"/>
      <c r="K34" s="3" t="n"/>
      <c r="L34" s="3" t="n"/>
      <c r="M34" s="3" t="n"/>
      <c r="N34" s="3" t="n"/>
      <c r="O34" s="3" t="n"/>
      <c r="P34" s="3" t="n"/>
      <c r="Q34" s="3" t="n"/>
      <c r="R34" s="3" t="n"/>
    </row>
    <row r="35" ht="15.75" customHeight="1" s="307">
      <c r="A35" s="289" t="n"/>
      <c r="B35" s="289" t="n"/>
      <c r="C35" s="289" t="n"/>
      <c r="D35" s="289" t="n"/>
      <c r="E35" s="289" t="n"/>
      <c r="F35" s="290" t="n"/>
      <c r="G35" s="290" t="n"/>
      <c r="H35" s="3" t="n"/>
      <c r="I35" s="3" t="n"/>
      <c r="J35" s="3" t="n"/>
      <c r="K35" s="3" t="n"/>
      <c r="L35" s="3" t="n"/>
      <c r="M35" s="3" t="n"/>
      <c r="N35" s="3" t="n"/>
      <c r="O35" s="3" t="n"/>
      <c r="P35" s="3" t="n"/>
      <c r="Q35" s="3" t="n"/>
      <c r="R35" s="3" t="n"/>
    </row>
    <row r="36" ht="15.75" customHeight="1" s="307">
      <c r="A36" s="136" t="inlineStr">
        <is>
          <t>Note:</t>
        </is>
      </c>
      <c r="B36" s="3" t="n"/>
      <c r="C36" s="3" t="n"/>
      <c r="D36" s="3" t="n"/>
      <c r="E36" s="3" t="n"/>
      <c r="F36" s="3" t="n"/>
      <c r="G36" s="3" t="n"/>
      <c r="H36" s="3" t="n"/>
      <c r="I36" s="3" t="n"/>
      <c r="J36" s="3" t="n"/>
      <c r="K36" s="3" t="n"/>
      <c r="L36" s="3" t="n"/>
      <c r="M36" s="3" t="n"/>
      <c r="N36" s="3" t="n"/>
      <c r="O36" s="3" t="n"/>
      <c r="P36" s="3" t="n"/>
      <c r="Q36" s="3" t="n"/>
      <c r="R36" s="3" t="n"/>
    </row>
    <row r="37" ht="15.75" customHeight="1" s="307">
      <c r="A37" s="177" t="inlineStr">
        <is>
          <t>1. LPG Pilot for the above system will cost Rs.1,00,000.00 extra</t>
        </is>
      </c>
      <c r="B37" s="177" t="n"/>
      <c r="C37" s="177" t="n"/>
      <c r="D37" s="177" t="n"/>
      <c r="E37" s="177" t="n"/>
      <c r="F37" s="177" t="n"/>
      <c r="G37" s="177" t="n"/>
      <c r="H37" s="3" t="n"/>
      <c r="I37" s="3" t="n"/>
      <c r="J37" s="3" t="n"/>
      <c r="K37" s="3" t="n"/>
      <c r="L37" s="3" t="n"/>
      <c r="M37" s="3" t="n"/>
      <c r="N37" s="3" t="n"/>
      <c r="O37" s="3" t="n"/>
      <c r="P37" s="3" t="n"/>
      <c r="Q37" s="3" t="n"/>
      <c r="R37" s="3" t="n"/>
    </row>
    <row r="38" ht="15.75" customHeight="1" s="307">
      <c r="A38" s="177" t="inlineStr">
        <is>
          <t xml:space="preserve">2. System will hydraulic system for lowering and lifting will cost Rs.1,50,000.00 extra </t>
        </is>
      </c>
      <c r="B38" s="177" t="n"/>
      <c r="C38" s="177" t="n"/>
      <c r="D38" s="177" t="n"/>
      <c r="E38" s="177" t="n"/>
      <c r="F38" s="177" t="n"/>
      <c r="G38" s="177" t="n"/>
      <c r="H38" s="3" t="n"/>
      <c r="I38" s="3" t="n"/>
      <c r="J38" s="3" t="n"/>
      <c r="K38" s="3" t="n"/>
      <c r="L38" s="3" t="n"/>
      <c r="M38" s="3" t="n"/>
      <c r="N38" s="3" t="n"/>
      <c r="O38" s="3" t="n"/>
      <c r="P38" s="3" t="n"/>
      <c r="Q38" s="3" t="n"/>
      <c r="R38" s="3" t="n"/>
    </row>
    <row r="39" ht="15.75" customHeight="1" s="307">
      <c r="A39" s="177" t="inlineStr">
        <is>
          <t xml:space="preserve"> </t>
        </is>
      </c>
      <c r="B39" s="3" t="n"/>
      <c r="C39" s="3" t="n"/>
      <c r="D39" s="3" t="n"/>
      <c r="E39" s="3" t="n"/>
      <c r="F39" s="3" t="n"/>
      <c r="G39" s="3" t="n"/>
      <c r="H39" s="3" t="n"/>
      <c r="I39" s="3" t="n"/>
      <c r="J39" s="3" t="n"/>
      <c r="K39" s="3" t="n"/>
      <c r="L39" s="3" t="n"/>
      <c r="M39" s="3" t="n"/>
      <c r="N39" s="3" t="n"/>
      <c r="O39" s="3" t="n"/>
      <c r="P39" s="3" t="n"/>
      <c r="Q39" s="3" t="n"/>
      <c r="R39" s="3" t="n"/>
    </row>
    <row r="40" ht="15.75" customHeight="1" s="307">
      <c r="A40" s="291" t="inlineStr">
        <is>
          <t xml:space="preserve">Prices </t>
        </is>
      </c>
      <c r="B40" s="292" t="n"/>
      <c r="C40" s="293" t="inlineStr">
        <is>
          <t>Prices quoted are ex-works, Faridabad.</t>
        </is>
      </c>
      <c r="D40" s="294" t="n"/>
      <c r="E40" s="294" t="n"/>
      <c r="F40" s="294" t="n"/>
      <c r="G40" s="295" t="n"/>
      <c r="H40" s="3" t="n"/>
      <c r="I40" s="3" t="n"/>
      <c r="J40" s="3" t="n"/>
      <c r="K40" s="3" t="n"/>
      <c r="L40" s="3" t="n"/>
      <c r="M40" s="3" t="n"/>
      <c r="N40" s="3" t="n"/>
      <c r="O40" s="3" t="n"/>
      <c r="P40" s="3" t="n"/>
      <c r="Q40" s="3" t="n"/>
      <c r="R40" s="3" t="n"/>
    </row>
    <row r="41" ht="15.75" customHeight="1" s="307">
      <c r="A41" s="296" t="inlineStr">
        <is>
          <t>Packing &amp; Forwarding</t>
        </is>
      </c>
      <c r="B41" s="297" t="n"/>
      <c r="C41" s="298" t="inlineStr">
        <is>
          <t>4% &amp; 2% respectively</t>
        </is>
      </c>
      <c r="D41" s="299" t="n"/>
      <c r="E41" s="299" t="n"/>
      <c r="F41" s="299" t="n"/>
      <c r="G41" s="300" t="n"/>
      <c r="H41" s="3" t="n"/>
      <c r="I41" s="3" t="n"/>
      <c r="J41" s="3" t="n"/>
      <c r="K41" s="3" t="n"/>
      <c r="L41" s="3" t="n"/>
      <c r="M41" s="3" t="n"/>
      <c r="N41" s="3" t="n"/>
      <c r="O41" s="3" t="n"/>
      <c r="P41" s="3" t="n"/>
      <c r="Q41" s="3" t="n"/>
      <c r="R41" s="3" t="n"/>
    </row>
    <row r="42" ht="15.75" customHeight="1" s="307">
      <c r="A42" s="296" t="inlineStr">
        <is>
          <t xml:space="preserve">Taxes &amp; Duties </t>
        </is>
      </c>
      <c r="B42" s="297" t="n"/>
      <c r="C42" s="298" t="inlineStr">
        <is>
          <t>As applicable shall be charged extra.  At present Excise Duty is 14 %   Education Cess 2%  and   Secondary Higher Education cess @ 1% . CST @ 2% against Form C otherwise 12.5%.</t>
        </is>
      </c>
      <c r="D42" s="299" t="n"/>
      <c r="E42" s="299" t="n"/>
      <c r="F42" s="299" t="n"/>
      <c r="G42" s="300" t="n"/>
      <c r="H42" s="3" t="n"/>
      <c r="I42" s="3" t="n"/>
      <c r="J42" s="3" t="n"/>
      <c r="K42" s="3" t="n"/>
      <c r="L42" s="3" t="n"/>
      <c r="M42" s="3" t="n"/>
      <c r="N42" s="3" t="n"/>
      <c r="O42" s="3" t="n"/>
      <c r="P42" s="3" t="n"/>
      <c r="Q42" s="3" t="n"/>
      <c r="R42" s="3" t="n"/>
    </row>
    <row r="43" ht="15.75" customHeight="1" s="307">
      <c r="A43" s="296" t="inlineStr">
        <is>
          <t xml:space="preserve">Terms of Payment </t>
        </is>
      </c>
      <c r="B43" s="297" t="n"/>
      <c r="C43" s="298" t="inlineStr">
        <is>
          <t>50% Advance alongwith purchase order. 50% payment with taxes and duties against despatch.</t>
        </is>
      </c>
      <c r="D43" s="299" t="n"/>
      <c r="E43" s="299" t="n"/>
      <c r="F43" s="299" t="n"/>
      <c r="G43" s="300" t="n"/>
      <c r="H43" s="3" t="n"/>
      <c r="I43" s="3" t="n"/>
      <c r="J43" s="3" t="n"/>
      <c r="K43" s="3" t="n"/>
      <c r="L43" s="3" t="n"/>
      <c r="M43" s="3" t="n"/>
      <c r="N43" s="3" t="n"/>
      <c r="O43" s="3" t="n"/>
      <c r="P43" s="3" t="n"/>
      <c r="Q43" s="3" t="n"/>
      <c r="R43" s="3" t="n"/>
    </row>
    <row r="44" ht="15.75" customHeight="1" s="307">
      <c r="A44" s="301" t="inlineStr">
        <is>
          <t>Validity</t>
        </is>
      </c>
      <c r="B44" s="302" t="n"/>
      <c r="C44" s="303" t="inlineStr">
        <is>
          <t>45 Days.</t>
        </is>
      </c>
      <c r="D44" s="304" t="n"/>
      <c r="E44" s="304" t="n"/>
      <c r="F44" s="304" t="n"/>
      <c r="G44" s="305" t="n"/>
      <c r="H44" s="3" t="n"/>
      <c r="I44" s="3" t="n"/>
      <c r="J44" s="3" t="n"/>
      <c r="K44" s="3" t="n"/>
      <c r="L44" s="3" t="n"/>
      <c r="M44" s="3" t="n"/>
      <c r="N44" s="3" t="n"/>
      <c r="O44" s="3" t="n"/>
      <c r="P44" s="3" t="n"/>
      <c r="Q44" s="3" t="n"/>
      <c r="R44" s="3" t="n"/>
    </row>
    <row r="45" ht="15.75" customHeight="1" s="307">
      <c r="A45" s="336" t="n"/>
      <c r="B45" s="336" t="n"/>
      <c r="C45" s="336" t="n"/>
      <c r="D45" s="336" t="n"/>
      <c r="E45" s="336" t="n"/>
      <c r="F45" s="336" t="n"/>
      <c r="G45" s="336" t="n"/>
      <c r="H45" s="3" t="n"/>
      <c r="I45" s="3" t="n"/>
      <c r="J45" s="3" t="n"/>
      <c r="K45" s="3" t="n"/>
      <c r="L45" s="3" t="n"/>
      <c r="M45" s="3" t="n"/>
      <c r="N45" s="3" t="n"/>
      <c r="O45" s="3" t="n"/>
      <c r="P45" s="3" t="n"/>
      <c r="Q45" s="3" t="n"/>
      <c r="R45" s="3" t="n"/>
    </row>
    <row r="46" ht="15.75" customHeight="1" s="307"/>
    <row r="47" ht="15.75" customHeight="1" s="307"/>
    <row r="48" ht="15.75" customHeight="1" s="307"/>
    <row r="49" ht="15.75" customHeight="1" s="307"/>
    <row r="50" ht="15.75" customHeight="1" s="307"/>
    <row r="51" ht="15.75" customHeight="1" s="307"/>
    <row r="52" ht="15.75" customHeight="1" s="307"/>
    <row r="53" ht="15.75" customHeight="1" s="307"/>
    <row r="54" ht="15.75" customHeight="1" s="307"/>
    <row r="55" ht="15.75" customHeight="1" s="307"/>
    <row r="56" ht="15.75" customHeight="1" s="307"/>
    <row r="57" ht="15.75" customHeight="1" s="307"/>
    <row r="58" ht="15.75" customHeight="1" s="307"/>
    <row r="59" ht="15.75" customHeight="1" s="307"/>
    <row r="60" ht="15.75" customHeight="1" s="307"/>
    <row r="61" ht="15.75" customHeight="1" s="307"/>
    <row r="62" ht="15.75" customHeight="1" s="307"/>
    <row r="63" ht="15.75" customHeight="1" s="307"/>
    <row r="64" ht="15.75" customHeight="1" s="307"/>
    <row r="65" ht="15.75" customHeight="1" s="307"/>
    <row r="66" ht="15.75" customHeight="1" s="307"/>
    <row r="67" ht="15.75" customHeight="1" s="307"/>
    <row r="68" ht="15.75" customHeight="1" s="307"/>
    <row r="69" ht="15.75" customHeight="1" s="307"/>
    <row r="70" ht="15.75" customHeight="1" s="307"/>
    <row r="71" ht="15.75" customHeight="1" s="307"/>
    <row r="72" ht="15.75" customHeight="1" s="307"/>
    <row r="73" ht="15.75" customHeight="1" s="307"/>
    <row r="74" ht="15.75" customHeight="1" s="307"/>
    <row r="75" ht="15.75" customHeight="1" s="307"/>
    <row r="76" ht="15.75" customHeight="1" s="307"/>
    <row r="77" ht="15.75" customHeight="1" s="307"/>
    <row r="78" ht="15.75" customHeight="1" s="307"/>
    <row r="79" ht="15.75" customHeight="1" s="307"/>
    <row r="80" ht="15.75" customHeight="1" s="307"/>
    <row r="81" ht="15.75" customHeight="1" s="307"/>
    <row r="82" ht="15.75" customHeight="1" s="307"/>
    <row r="83" ht="15.75" customHeight="1" s="307"/>
    <row r="84" ht="15.75" customHeight="1" s="307"/>
    <row r="85" ht="15.75" customHeight="1" s="307"/>
    <row r="86" ht="15.75" customHeight="1" s="307"/>
    <row r="87" ht="15.75" customHeight="1" s="307"/>
    <row r="88" ht="15.75" customHeight="1" s="307"/>
    <row r="89" ht="15.75" customHeight="1" s="307"/>
    <row r="90" ht="15.75" customHeight="1" s="307"/>
    <row r="91" ht="15.75" customHeight="1" s="307"/>
    <row r="92" ht="15.75" customHeight="1" s="307"/>
    <row r="93" ht="15.75" customHeight="1" s="307"/>
    <row r="94" ht="15.75" customHeight="1" s="307"/>
    <row r="95" ht="15.75" customHeight="1" s="307"/>
    <row r="96" ht="15.75" customHeight="1" s="307"/>
    <row r="97" ht="15.75" customHeight="1" s="307"/>
    <row r="98" ht="15.75" customHeight="1" s="307"/>
    <row r="99" ht="15.75" customHeight="1" s="307"/>
    <row r="100" ht="15.75" customHeight="1" s="307"/>
    <row r="101" ht="15.75" customHeight="1" s="307"/>
    <row r="102" ht="15.75" customHeight="1" s="307"/>
    <row r="103" ht="15.75" customHeight="1" s="307"/>
    <row r="104" ht="15.75" customHeight="1" s="307"/>
    <row r="105" ht="15.75" customHeight="1" s="307"/>
    <row r="106" ht="15.75" customHeight="1" s="307"/>
    <row r="107" ht="15.75" customHeight="1" s="307"/>
    <row r="108" ht="15.75" customHeight="1" s="307"/>
    <row r="109" ht="15.75" customHeight="1" s="307"/>
    <row r="110" ht="15.75" customHeight="1" s="307"/>
    <row r="111" ht="15.75" customHeight="1" s="307"/>
    <row r="112" ht="15.75" customHeight="1" s="307"/>
    <row r="113" ht="15.75" customHeight="1" s="307"/>
    <row r="114" ht="15.75" customHeight="1" s="307"/>
    <row r="115" ht="15.75" customHeight="1" s="307"/>
    <row r="116" ht="15.75" customHeight="1" s="307"/>
    <row r="117" ht="15.75" customHeight="1" s="307"/>
    <row r="118" ht="15.75" customHeight="1" s="307"/>
    <row r="119" ht="15.75" customHeight="1" s="307"/>
    <row r="120" ht="15.75" customHeight="1" s="307"/>
    <row r="121" ht="15.75" customHeight="1" s="307"/>
    <row r="122" ht="15.75" customHeight="1" s="307"/>
    <row r="123" ht="15.75" customHeight="1" s="307"/>
    <row r="124" ht="15.75" customHeight="1" s="307"/>
    <row r="125" ht="15.75" customHeight="1" s="307"/>
    <row r="126" ht="15.75" customHeight="1" s="307"/>
    <row r="127" ht="15.75" customHeight="1" s="307"/>
    <row r="128" ht="15.75" customHeight="1" s="307"/>
    <row r="129" ht="15.75" customHeight="1" s="307"/>
    <row r="130" ht="15.75" customHeight="1" s="307"/>
    <row r="131" ht="15.75" customHeight="1" s="307"/>
    <row r="132" ht="15.75" customHeight="1" s="307"/>
    <row r="133" ht="15.75" customHeight="1" s="307"/>
    <row r="134" ht="15.75" customHeight="1" s="307"/>
    <row r="135" ht="15.75" customHeight="1" s="307"/>
    <row r="136" ht="15.75" customHeight="1" s="307"/>
    <row r="137" ht="15.75" customHeight="1" s="307"/>
    <row r="138" ht="15.75" customHeight="1" s="307"/>
    <row r="139" ht="15.75" customHeight="1" s="307"/>
    <row r="140" ht="15.75" customHeight="1" s="307"/>
    <row r="141" ht="15.75" customHeight="1" s="307"/>
    <row r="142" ht="15.75" customHeight="1" s="307"/>
    <row r="143" ht="15.75" customHeight="1" s="307"/>
    <row r="144" ht="15.75" customHeight="1" s="307"/>
    <row r="145" ht="15.75" customHeight="1" s="307"/>
    <row r="146" ht="15.75" customHeight="1" s="307"/>
    <row r="147" ht="15.75" customHeight="1" s="307"/>
    <row r="148" ht="15.75" customHeight="1" s="307"/>
    <row r="149" ht="15.75" customHeight="1" s="307"/>
    <row r="150" ht="15.75" customHeight="1" s="307"/>
    <row r="151" ht="15.75" customHeight="1" s="307"/>
    <row r="152" ht="15.75" customHeight="1" s="307"/>
    <row r="153" ht="15.75" customHeight="1" s="307"/>
    <row r="154" ht="15.75" customHeight="1" s="307"/>
    <row r="155" ht="15.75" customHeight="1" s="307"/>
    <row r="156" ht="15.75" customHeight="1" s="307"/>
    <row r="157" ht="15.75" customHeight="1" s="307"/>
    <row r="158" ht="15.75" customHeight="1" s="307"/>
    <row r="159" ht="15.75" customHeight="1" s="307"/>
    <row r="160" ht="15.75" customHeight="1" s="307"/>
    <row r="161" ht="15.75" customHeight="1" s="307"/>
    <row r="162" ht="15.75" customHeight="1" s="307"/>
    <row r="163" ht="15.75" customHeight="1" s="307"/>
    <row r="164" ht="15.75" customHeight="1" s="307"/>
    <row r="165" ht="15.75" customHeight="1" s="307"/>
    <row r="166" ht="15.75" customHeight="1" s="307"/>
    <row r="167" ht="15.75" customHeight="1" s="307"/>
    <row r="168" ht="15.75" customHeight="1" s="307"/>
    <row r="169" ht="15.75" customHeight="1" s="307"/>
    <row r="170" ht="15.75" customHeight="1" s="307"/>
    <row r="171" ht="15.75" customHeight="1" s="307"/>
    <row r="172" ht="15.75" customHeight="1" s="307"/>
    <row r="173" ht="15.75" customHeight="1" s="307"/>
    <row r="174" ht="15.75" customHeight="1" s="307"/>
    <row r="175" ht="15.75" customHeight="1" s="307"/>
    <row r="176" ht="15.75" customHeight="1" s="307"/>
    <row r="177" ht="15.75" customHeight="1" s="307"/>
    <row r="178" ht="15.75" customHeight="1" s="307"/>
    <row r="179" ht="15.75" customHeight="1" s="307"/>
    <row r="180" ht="15.75" customHeight="1" s="307"/>
    <row r="181" ht="15.75" customHeight="1" s="307"/>
    <row r="182" ht="15.75" customHeight="1" s="307"/>
    <row r="183" ht="15.75" customHeight="1" s="307"/>
    <row r="184" ht="15.75" customHeight="1" s="307"/>
    <row r="185" ht="15.75" customHeight="1" s="307"/>
    <row r="186" ht="15.75" customHeight="1" s="307"/>
    <row r="187" ht="15.75" customHeight="1" s="307"/>
    <row r="188" ht="15.75" customHeight="1" s="307"/>
    <row r="189" ht="15.75" customHeight="1" s="307"/>
    <row r="190" ht="15.75" customHeight="1" s="307"/>
    <row r="191" ht="15.75" customHeight="1" s="307"/>
    <row r="192" ht="15.75" customHeight="1" s="307"/>
    <row r="193" ht="15.75" customHeight="1" s="307"/>
    <row r="194" ht="15.75" customHeight="1" s="307"/>
    <row r="195" ht="15.75" customHeight="1" s="307"/>
    <row r="196" ht="15.75" customHeight="1" s="307"/>
    <row r="197" ht="15.75" customHeight="1" s="307"/>
    <row r="198" ht="15.75" customHeight="1" s="307"/>
    <row r="199" ht="15.75" customHeight="1" s="307"/>
    <row r="200" ht="15.75" customHeight="1" s="307"/>
    <row r="201" ht="15.75" customHeight="1" s="307"/>
    <row r="202" ht="15.75" customHeight="1" s="307"/>
    <row r="203" ht="15.75" customHeight="1" s="307"/>
    <row r="204" ht="15.75" customHeight="1" s="307"/>
    <row r="205" ht="15.75" customHeight="1" s="307"/>
    <row r="206" ht="15.75" customHeight="1" s="307"/>
    <row r="207" ht="15.75" customHeight="1" s="307"/>
    <row r="208" ht="15.75" customHeight="1" s="307"/>
    <row r="209" ht="15.75" customHeight="1" s="307"/>
    <row r="210" ht="15.75" customHeight="1" s="307"/>
    <row r="211" ht="15.75" customHeight="1" s="307"/>
    <row r="212" ht="15.75" customHeight="1" s="307"/>
    <row r="213" ht="15.75" customHeight="1" s="307"/>
    <row r="214" ht="15.75" customHeight="1" s="307"/>
    <row r="215" ht="15.75" customHeight="1" s="307"/>
    <row r="216" ht="15.75" customHeight="1" s="307"/>
    <row r="217" ht="15.75" customHeight="1" s="307"/>
    <row r="218" ht="15.75" customHeight="1" s="307"/>
    <row r="219" ht="15.75" customHeight="1" s="307"/>
    <row r="220" ht="15.75" customHeight="1" s="307"/>
    <row r="221" ht="15.75" customHeight="1" s="307"/>
    <row r="222" ht="15.75" customHeight="1" s="307"/>
    <row r="223" ht="15.75" customHeight="1" s="307"/>
    <row r="224" ht="15.75" customHeight="1" s="307"/>
    <row r="225" ht="15.75" customHeight="1" s="307"/>
    <row r="226" ht="15.75" customHeight="1" s="307"/>
    <row r="227" ht="15.75" customHeight="1" s="307"/>
    <row r="228" ht="15.75" customHeight="1" s="307"/>
    <row r="229" ht="15.75" customHeight="1" s="307"/>
    <row r="230" ht="15.75" customHeight="1" s="307"/>
    <row r="231" ht="15.75" customHeight="1" s="307"/>
    <row r="232" ht="15.75" customHeight="1" s="307"/>
    <row r="233" ht="15.75" customHeight="1" s="307"/>
    <row r="234" ht="15.75" customHeight="1" s="307"/>
    <row r="235" ht="15.75" customHeight="1" s="307"/>
    <row r="236" ht="15.75" customHeight="1" s="307"/>
    <row r="237" ht="15.75" customHeight="1" s="307"/>
    <row r="238" ht="15.75" customHeight="1" s="307"/>
    <row r="239" ht="15.75" customHeight="1" s="307"/>
    <row r="240" ht="15.75" customHeight="1" s="307"/>
    <row r="241" ht="15.75" customHeight="1" s="307"/>
    <row r="242" ht="15.75" customHeight="1" s="307"/>
    <row r="243" ht="15.75" customHeight="1" s="307"/>
    <row r="244" ht="15.75" customHeight="1" s="307"/>
    <row r="245" ht="15.75" customHeight="1" s="307"/>
    <row r="246" ht="15.75" customHeight="1" s="307"/>
    <row r="247" ht="15.75" customHeight="1" s="307"/>
    <row r="248" ht="15.75" customHeight="1" s="307"/>
    <row r="249" ht="15.75" customHeight="1" s="307"/>
    <row r="250" ht="15.75" customHeight="1" s="307"/>
    <row r="251" ht="15.75" customHeight="1" s="307"/>
    <row r="252" ht="15.75" customHeight="1" s="307"/>
    <row r="253" ht="15.75" customHeight="1" s="307"/>
    <row r="254" ht="15.75" customHeight="1" s="307"/>
    <row r="255" ht="15.75" customHeight="1" s="307"/>
    <row r="256" ht="15.75" customHeight="1" s="307"/>
    <row r="257" ht="15.75" customHeight="1" s="307"/>
    <row r="258" ht="15.75" customHeight="1" s="307"/>
    <row r="259" ht="15.75" customHeight="1" s="307"/>
    <row r="260" ht="15.75" customHeight="1" s="307"/>
    <row r="261" ht="15.75" customHeight="1" s="307"/>
    <row r="262" ht="15.75" customHeight="1" s="307"/>
    <row r="263" ht="15.75" customHeight="1" s="307"/>
    <row r="264" ht="15.75" customHeight="1" s="307"/>
    <row r="265" ht="15.75" customHeight="1" s="307"/>
    <row r="266" ht="15.75" customHeight="1" s="307"/>
    <row r="267" ht="15.75" customHeight="1" s="307"/>
    <row r="268" ht="15.75" customHeight="1" s="307"/>
    <row r="269" ht="15.75" customHeight="1" s="307"/>
    <row r="270" ht="15.75" customHeight="1" s="307"/>
    <row r="271" ht="15.75" customHeight="1" s="307"/>
    <row r="272" ht="15.75" customHeight="1" s="307"/>
    <row r="273" ht="15.75" customHeight="1" s="307"/>
    <row r="274" ht="15.75" customHeight="1" s="307"/>
    <row r="275" ht="15.75" customHeight="1" s="307"/>
    <row r="276" ht="15.75" customHeight="1" s="307"/>
    <row r="277" ht="15.75" customHeight="1" s="307"/>
    <row r="278" ht="15.75" customHeight="1" s="307"/>
    <row r="279" ht="15.75" customHeight="1" s="307"/>
    <row r="280" ht="15.75" customHeight="1" s="307"/>
    <row r="281" ht="15.75" customHeight="1" s="307"/>
    <row r="282" ht="15.75" customHeight="1" s="307"/>
    <row r="283" ht="15.75" customHeight="1" s="307"/>
    <row r="284" ht="15.75" customHeight="1" s="307"/>
    <row r="285" ht="15.75" customHeight="1" s="307"/>
    <row r="286" ht="15.75" customHeight="1" s="307"/>
    <row r="287" ht="15.75" customHeight="1" s="307"/>
    <row r="288" ht="15.75" customHeight="1" s="307"/>
    <row r="289" ht="15.75" customHeight="1" s="307"/>
    <row r="290" ht="15.75" customHeight="1" s="307"/>
    <row r="291" ht="15.75" customHeight="1" s="307"/>
    <row r="292" ht="15.75" customHeight="1" s="307"/>
    <row r="293" ht="15.75" customHeight="1" s="307"/>
    <row r="294" ht="15.75" customHeight="1" s="307"/>
    <row r="295" ht="15.75" customHeight="1" s="307"/>
    <row r="296" ht="15.75" customHeight="1" s="307"/>
    <row r="297" ht="15.75" customHeight="1" s="307"/>
    <row r="298" ht="15.75" customHeight="1" s="307"/>
    <row r="299" ht="15.75" customHeight="1" s="307"/>
    <row r="300" ht="15.75" customHeight="1" s="307"/>
    <row r="301" ht="15.75" customHeight="1" s="307"/>
    <row r="302" ht="15.75" customHeight="1" s="307"/>
    <row r="303" ht="15.75" customHeight="1" s="307"/>
    <row r="304" ht="15.75" customHeight="1" s="307"/>
    <row r="305" ht="15.75" customHeight="1" s="307"/>
    <row r="306" ht="15.75" customHeight="1" s="307"/>
    <row r="307" ht="15.75" customHeight="1" s="307"/>
    <row r="308" ht="15.75" customHeight="1" s="307"/>
    <row r="309" ht="15.75" customHeight="1" s="307"/>
    <row r="310" ht="15.75" customHeight="1" s="307"/>
    <row r="311" ht="15.75" customHeight="1" s="307"/>
    <row r="312" ht="15.75" customHeight="1" s="307"/>
    <row r="313" ht="15.75" customHeight="1" s="307"/>
    <row r="314" ht="15.75" customHeight="1" s="307"/>
    <row r="315" ht="15.75" customHeight="1" s="307"/>
    <row r="316" ht="15.75" customHeight="1" s="307"/>
    <row r="317" ht="15.75" customHeight="1" s="307"/>
    <row r="318" ht="15.75" customHeight="1" s="307"/>
    <row r="319" ht="15.75" customHeight="1" s="307"/>
    <row r="320" ht="15.75" customHeight="1" s="307"/>
    <row r="321" ht="15.75" customHeight="1" s="307"/>
    <row r="322" ht="15.75" customHeight="1" s="307"/>
    <row r="323" ht="15.75" customHeight="1" s="307"/>
    <row r="324" ht="15.75" customHeight="1" s="307"/>
    <row r="325" ht="15.75" customHeight="1" s="307"/>
    <row r="326" ht="15.75" customHeight="1" s="307"/>
    <row r="327" ht="15.75" customHeight="1" s="307"/>
    <row r="328" ht="15.75" customHeight="1" s="307"/>
    <row r="329" ht="15.75" customHeight="1" s="307"/>
    <row r="330" ht="15.75" customHeight="1" s="307"/>
    <row r="331" ht="15.75" customHeight="1" s="307"/>
    <row r="332" ht="15.75" customHeight="1" s="307"/>
    <row r="333" ht="15.75" customHeight="1" s="307"/>
    <row r="334" ht="15.75" customHeight="1" s="307"/>
    <row r="335" ht="15.75" customHeight="1" s="307"/>
    <row r="336" ht="15.75" customHeight="1" s="307"/>
    <row r="337" ht="15.75" customHeight="1" s="307"/>
    <row r="338" ht="15.75" customHeight="1" s="307"/>
    <row r="339" ht="15.75" customHeight="1" s="307"/>
    <row r="340" ht="15.75" customHeight="1" s="307"/>
    <row r="341" ht="15.75" customHeight="1" s="307"/>
    <row r="342" ht="15.75" customHeight="1" s="307"/>
    <row r="343" ht="15.75" customHeight="1" s="307"/>
    <row r="344" ht="15.75" customHeight="1" s="307"/>
    <row r="345" ht="15.75" customHeight="1" s="307"/>
    <row r="346" ht="15.75" customHeight="1" s="307"/>
    <row r="347" ht="15.75" customHeight="1" s="307"/>
    <row r="348" ht="15.75" customHeight="1" s="307"/>
    <row r="349" ht="15.75" customHeight="1" s="307"/>
    <row r="350" ht="15.75" customHeight="1" s="307"/>
    <row r="351" ht="15.75" customHeight="1" s="307"/>
    <row r="352" ht="15.75" customHeight="1" s="307"/>
    <row r="353" ht="15.75" customHeight="1" s="307"/>
    <row r="354" ht="15.75" customHeight="1" s="307"/>
    <row r="355" ht="15.75" customHeight="1" s="307"/>
    <row r="356" ht="15.75" customHeight="1" s="307"/>
    <row r="357" ht="15.75" customHeight="1" s="307"/>
    <row r="358" ht="15.75" customHeight="1" s="307"/>
    <row r="359" ht="15.75" customHeight="1" s="307"/>
    <row r="360" ht="15.75" customHeight="1" s="307"/>
    <row r="361" ht="15.75" customHeight="1" s="307"/>
    <row r="362" ht="15.75" customHeight="1" s="307"/>
    <row r="363" ht="15.75" customHeight="1" s="307"/>
    <row r="364" ht="15.75" customHeight="1" s="307"/>
    <row r="365" ht="15.75" customHeight="1" s="307"/>
    <row r="366" ht="15.75" customHeight="1" s="307"/>
    <row r="367" ht="15.75" customHeight="1" s="307"/>
    <row r="368" ht="15.75" customHeight="1" s="307"/>
    <row r="369" ht="15.75" customHeight="1" s="307"/>
    <row r="370" ht="15.75" customHeight="1" s="307"/>
    <row r="371" ht="15.75" customHeight="1" s="307"/>
    <row r="372" ht="15.75" customHeight="1" s="307"/>
    <row r="373" ht="15.75" customHeight="1" s="307"/>
    <row r="374" ht="15.75" customHeight="1" s="307"/>
    <row r="375" ht="15.75" customHeight="1" s="307"/>
    <row r="376" ht="15.75" customHeight="1" s="307"/>
    <row r="377" ht="15.75" customHeight="1" s="307"/>
    <row r="378" ht="15.75" customHeight="1" s="307"/>
    <row r="379" ht="15.75" customHeight="1" s="307"/>
    <row r="380" ht="15.75" customHeight="1" s="307"/>
    <row r="381" ht="15.75" customHeight="1" s="307"/>
    <row r="382" ht="15.75" customHeight="1" s="307"/>
    <row r="383" ht="15.75" customHeight="1" s="307"/>
    <row r="384" ht="15.75" customHeight="1" s="307"/>
    <row r="385" ht="15.75" customHeight="1" s="307"/>
    <row r="386" ht="15.75" customHeight="1" s="307"/>
    <row r="387" ht="15.75" customHeight="1" s="307"/>
    <row r="388" ht="15.75" customHeight="1" s="307"/>
    <row r="389" ht="15.75" customHeight="1" s="307"/>
    <row r="390" ht="15.75" customHeight="1" s="307"/>
    <row r="391" ht="15.75" customHeight="1" s="307"/>
    <row r="392" ht="15.75" customHeight="1" s="307"/>
    <row r="393" ht="15.75" customHeight="1" s="307"/>
    <row r="394" ht="15.75" customHeight="1" s="307"/>
    <row r="395" ht="15.75" customHeight="1" s="307"/>
    <row r="396" ht="15.75" customHeight="1" s="307"/>
    <row r="397" ht="15.75" customHeight="1" s="307"/>
    <row r="398" ht="15.75" customHeight="1" s="307"/>
    <row r="399" ht="15.75" customHeight="1" s="307"/>
    <row r="400" ht="15.75" customHeight="1" s="307"/>
    <row r="401" ht="15.75" customHeight="1" s="307"/>
    <row r="402" ht="15.75" customHeight="1" s="307"/>
    <row r="403" ht="15.75" customHeight="1" s="307"/>
    <row r="404" ht="15.75" customHeight="1" s="307"/>
    <row r="405" ht="15.75" customHeight="1" s="307"/>
    <row r="406" ht="15.75" customHeight="1" s="307"/>
    <row r="407" ht="15.75" customHeight="1" s="307"/>
    <row r="408" ht="15.75" customHeight="1" s="307"/>
    <row r="409" ht="15.75" customHeight="1" s="307"/>
    <row r="410" ht="15.75" customHeight="1" s="307"/>
    <row r="411" ht="15.75" customHeight="1" s="307"/>
    <row r="412" ht="15.75" customHeight="1" s="307"/>
    <row r="413" ht="15.75" customHeight="1" s="307"/>
    <row r="414" ht="15.75" customHeight="1" s="307"/>
    <row r="415" ht="15.75" customHeight="1" s="307"/>
    <row r="416" ht="15.75" customHeight="1" s="307"/>
    <row r="417" ht="15.75" customHeight="1" s="307"/>
    <row r="418" ht="15.75" customHeight="1" s="307"/>
    <row r="419" ht="15.75" customHeight="1" s="307"/>
    <row r="420" ht="15.75" customHeight="1" s="307"/>
    <row r="421" ht="15.75" customHeight="1" s="307"/>
    <row r="422" ht="15.75" customHeight="1" s="307"/>
    <row r="423" ht="15.75" customHeight="1" s="307"/>
    <row r="424" ht="15.75" customHeight="1" s="307"/>
    <row r="425" ht="15.75" customHeight="1" s="307"/>
    <row r="426" ht="15.75" customHeight="1" s="307"/>
    <row r="427" ht="15.75" customHeight="1" s="307"/>
    <row r="428" ht="15.75" customHeight="1" s="307"/>
    <row r="429" ht="15.75" customHeight="1" s="307"/>
    <row r="430" ht="15.75" customHeight="1" s="307"/>
    <row r="431" ht="15.75" customHeight="1" s="307"/>
    <row r="432" ht="15.75" customHeight="1" s="307"/>
    <row r="433" ht="15.75" customHeight="1" s="307"/>
    <row r="434" ht="15.75" customHeight="1" s="307"/>
    <row r="435" ht="15.75" customHeight="1" s="307"/>
    <row r="436" ht="15.75" customHeight="1" s="307"/>
    <row r="437" ht="15.75" customHeight="1" s="307"/>
    <row r="438" ht="15.75" customHeight="1" s="307"/>
    <row r="439" ht="15.75" customHeight="1" s="307"/>
    <row r="440" ht="15.75" customHeight="1" s="307"/>
    <row r="441" ht="15.75" customHeight="1" s="307"/>
    <row r="442" ht="15.75" customHeight="1" s="307"/>
    <row r="443" ht="15.75" customHeight="1" s="307"/>
    <row r="444" ht="15.75" customHeight="1" s="307"/>
    <row r="445" ht="15.75" customHeight="1" s="307"/>
    <row r="446" ht="15.75" customHeight="1" s="307"/>
    <row r="447" ht="15.75" customHeight="1" s="307"/>
    <row r="448" ht="15.75" customHeight="1" s="307"/>
    <row r="449" ht="15.75" customHeight="1" s="307"/>
    <row r="450" ht="15.75" customHeight="1" s="307"/>
    <row r="451" ht="15.75" customHeight="1" s="307"/>
    <row r="452" ht="15.75" customHeight="1" s="307"/>
    <row r="453" ht="15.75" customHeight="1" s="307"/>
    <row r="454" ht="15.75" customHeight="1" s="307"/>
    <row r="455" ht="15.75" customHeight="1" s="307"/>
    <row r="456" ht="15.75" customHeight="1" s="307"/>
    <row r="457" ht="15.75" customHeight="1" s="307"/>
    <row r="458" ht="15.75" customHeight="1" s="307"/>
    <row r="459" ht="15.75" customHeight="1" s="307"/>
    <row r="460" ht="15.75" customHeight="1" s="307"/>
    <row r="461" ht="15.75" customHeight="1" s="307"/>
    <row r="462" ht="15.75" customHeight="1" s="307"/>
    <row r="463" ht="15.75" customHeight="1" s="307"/>
    <row r="464" ht="15.75" customHeight="1" s="307"/>
    <row r="465" ht="15.75" customHeight="1" s="307"/>
    <row r="466" ht="15.75" customHeight="1" s="307"/>
    <row r="467" ht="15.75" customHeight="1" s="307"/>
    <row r="468" ht="15.75" customHeight="1" s="307"/>
    <row r="469" ht="15.75" customHeight="1" s="307"/>
    <row r="470" ht="15.75" customHeight="1" s="307"/>
    <row r="471" ht="15.75" customHeight="1" s="307"/>
    <row r="472" ht="15.75" customHeight="1" s="307"/>
    <row r="473" ht="15.75" customHeight="1" s="307"/>
    <row r="474" ht="15.75" customHeight="1" s="307"/>
    <row r="475" ht="15.75" customHeight="1" s="307"/>
    <row r="476" ht="15.75" customHeight="1" s="307"/>
    <row r="477" ht="15.75" customHeight="1" s="307"/>
    <row r="478" ht="15.75" customHeight="1" s="307"/>
    <row r="479" ht="15.75" customHeight="1" s="307"/>
    <row r="480" ht="15.75" customHeight="1" s="307"/>
    <row r="481" ht="15.75" customHeight="1" s="307"/>
    <row r="482" ht="15.75" customHeight="1" s="307"/>
    <row r="483" ht="15.75" customHeight="1" s="307"/>
    <row r="484" ht="15.75" customHeight="1" s="307"/>
    <row r="485" ht="15.75" customHeight="1" s="307"/>
    <row r="486" ht="15.75" customHeight="1" s="307"/>
    <row r="487" ht="15.75" customHeight="1" s="307"/>
    <row r="488" ht="15.75" customHeight="1" s="307"/>
    <row r="489" ht="15.75" customHeight="1" s="307"/>
    <row r="490" ht="15.75" customHeight="1" s="307"/>
    <row r="491" ht="15.75" customHeight="1" s="307"/>
    <row r="492" ht="15.75" customHeight="1" s="307"/>
    <row r="493" ht="15.75" customHeight="1" s="307"/>
    <row r="494" ht="15.75" customHeight="1" s="307"/>
    <row r="495" ht="15.75" customHeight="1" s="307"/>
    <row r="496" ht="15.75" customHeight="1" s="307"/>
    <row r="497" ht="15.75" customHeight="1" s="307"/>
    <row r="498" ht="15.75" customHeight="1" s="307"/>
    <row r="499" ht="15.75" customHeight="1" s="307"/>
    <row r="500" ht="15.75" customHeight="1" s="307"/>
    <row r="501" ht="15.75" customHeight="1" s="307"/>
    <row r="502" ht="15.75" customHeight="1" s="307"/>
    <row r="503" ht="15.75" customHeight="1" s="307"/>
    <row r="504" ht="15.75" customHeight="1" s="307"/>
    <row r="505" ht="15.75" customHeight="1" s="307"/>
    <row r="506" ht="15.75" customHeight="1" s="307"/>
    <row r="507" ht="15.75" customHeight="1" s="307"/>
    <row r="508" ht="15.75" customHeight="1" s="307"/>
    <row r="509" ht="15.75" customHeight="1" s="307"/>
    <row r="510" ht="15.75" customHeight="1" s="307"/>
    <row r="511" ht="15.75" customHeight="1" s="307"/>
    <row r="512" ht="15.75" customHeight="1" s="307"/>
    <row r="513" ht="15.75" customHeight="1" s="307"/>
    <row r="514" ht="15.75" customHeight="1" s="307"/>
    <row r="515" ht="15.75" customHeight="1" s="307"/>
    <row r="516" ht="15.75" customHeight="1" s="307"/>
    <row r="517" ht="15.75" customHeight="1" s="307"/>
    <row r="518" ht="15.75" customHeight="1" s="307"/>
    <row r="519" ht="15.75" customHeight="1" s="307"/>
    <row r="520" ht="15.75" customHeight="1" s="307"/>
    <row r="521" ht="15.75" customHeight="1" s="307"/>
    <row r="522" ht="15.75" customHeight="1" s="307"/>
    <row r="523" ht="15.75" customHeight="1" s="307"/>
    <row r="524" ht="15.75" customHeight="1" s="307"/>
    <row r="525" ht="15.75" customHeight="1" s="307"/>
    <row r="526" ht="15.75" customHeight="1" s="307"/>
    <row r="527" ht="15.75" customHeight="1" s="307"/>
    <row r="528" ht="15.75" customHeight="1" s="307"/>
    <row r="529" ht="15.75" customHeight="1" s="307"/>
    <row r="530" ht="15.75" customHeight="1" s="307"/>
    <row r="531" ht="15.75" customHeight="1" s="307"/>
    <row r="532" ht="15.75" customHeight="1" s="307"/>
    <row r="533" ht="15.75" customHeight="1" s="307"/>
    <row r="534" ht="15.75" customHeight="1" s="307"/>
    <row r="535" ht="15.75" customHeight="1" s="307"/>
    <row r="536" ht="15.75" customHeight="1" s="307"/>
    <row r="537" ht="15.75" customHeight="1" s="307"/>
    <row r="538" ht="15.75" customHeight="1" s="307"/>
    <row r="539" ht="15.75" customHeight="1" s="307"/>
    <row r="540" ht="15.75" customHeight="1" s="307"/>
    <row r="541" ht="15.75" customHeight="1" s="307"/>
    <row r="542" ht="15.75" customHeight="1" s="307"/>
    <row r="543" ht="15.75" customHeight="1" s="307"/>
    <row r="544" ht="15.75" customHeight="1" s="307"/>
    <row r="545" ht="15.75" customHeight="1" s="307"/>
    <row r="546" ht="15.75" customHeight="1" s="307"/>
    <row r="547" ht="15.75" customHeight="1" s="307"/>
    <row r="548" ht="15.75" customHeight="1" s="307"/>
    <row r="549" ht="15.75" customHeight="1" s="307"/>
    <row r="550" ht="15.75" customHeight="1" s="307"/>
    <row r="551" ht="15.75" customHeight="1" s="307"/>
    <row r="552" ht="15.75" customHeight="1" s="307"/>
    <row r="553" ht="15.75" customHeight="1" s="307"/>
    <row r="554" ht="15.75" customHeight="1" s="307"/>
    <row r="555" ht="15.75" customHeight="1" s="307"/>
    <row r="556" ht="15.75" customHeight="1" s="307"/>
    <row r="557" ht="15.75" customHeight="1" s="307"/>
    <row r="558" ht="15.75" customHeight="1" s="307"/>
    <row r="559" ht="15.75" customHeight="1" s="307"/>
    <row r="560" ht="15.75" customHeight="1" s="307"/>
    <row r="561" ht="15.75" customHeight="1" s="307"/>
    <row r="562" ht="15.75" customHeight="1" s="307"/>
    <row r="563" ht="15.75" customHeight="1" s="307"/>
    <row r="564" ht="15.75" customHeight="1" s="307"/>
    <row r="565" ht="15.75" customHeight="1" s="307"/>
    <row r="566" ht="15.75" customHeight="1" s="307"/>
    <row r="567" ht="15.75" customHeight="1" s="307"/>
    <row r="568" ht="15.75" customHeight="1" s="307"/>
    <row r="569" ht="15.75" customHeight="1" s="307"/>
    <row r="570" ht="15.75" customHeight="1" s="307"/>
    <row r="571" ht="15.75" customHeight="1" s="307"/>
    <row r="572" ht="15.75" customHeight="1" s="307"/>
    <row r="573" ht="15.75" customHeight="1" s="307"/>
    <row r="574" ht="15.75" customHeight="1" s="307"/>
    <row r="575" ht="15.75" customHeight="1" s="307"/>
    <row r="576" ht="15.75" customHeight="1" s="307"/>
    <row r="577" ht="15.75" customHeight="1" s="307"/>
    <row r="578" ht="15.75" customHeight="1" s="307"/>
    <row r="579" ht="15.75" customHeight="1" s="307"/>
    <row r="580" ht="15.75" customHeight="1" s="307"/>
    <row r="581" ht="15.75" customHeight="1" s="307"/>
    <row r="582" ht="15.75" customHeight="1" s="307"/>
    <row r="583" ht="15.75" customHeight="1" s="307"/>
    <row r="584" ht="15.75" customHeight="1" s="307"/>
    <row r="585" ht="15.75" customHeight="1" s="307"/>
    <row r="586" ht="15.75" customHeight="1" s="307"/>
    <row r="587" ht="15.75" customHeight="1" s="307"/>
    <row r="588" ht="15.75" customHeight="1" s="307"/>
    <row r="589" ht="15.75" customHeight="1" s="307"/>
    <row r="590" ht="15.75" customHeight="1" s="307"/>
    <row r="591" ht="15.75" customHeight="1" s="307"/>
    <row r="592" ht="15.75" customHeight="1" s="307"/>
    <row r="593" ht="15.75" customHeight="1" s="307"/>
    <row r="594" ht="15.75" customHeight="1" s="307"/>
    <row r="595" ht="15.75" customHeight="1" s="307"/>
    <row r="596" ht="15.75" customHeight="1" s="307"/>
    <row r="597" ht="15.75" customHeight="1" s="307"/>
    <row r="598" ht="15.75" customHeight="1" s="307"/>
    <row r="599" ht="15.75" customHeight="1" s="307"/>
    <row r="600" ht="15.75" customHeight="1" s="307"/>
    <row r="601" ht="15.75" customHeight="1" s="307"/>
    <row r="602" ht="15.75" customHeight="1" s="307"/>
    <row r="603" ht="15.75" customHeight="1" s="307"/>
    <row r="604" ht="15.75" customHeight="1" s="307"/>
    <row r="605" ht="15.75" customHeight="1" s="307"/>
    <row r="606" ht="15.75" customHeight="1" s="307"/>
    <row r="607" ht="15.75" customHeight="1" s="307"/>
    <row r="608" ht="15.75" customHeight="1" s="307"/>
    <row r="609" ht="15.75" customHeight="1" s="307"/>
    <row r="610" ht="15.75" customHeight="1" s="307"/>
    <row r="611" ht="15.75" customHeight="1" s="307"/>
    <row r="612" ht="15.75" customHeight="1" s="307"/>
    <row r="613" ht="15.75" customHeight="1" s="307"/>
    <row r="614" ht="15.75" customHeight="1" s="307"/>
    <row r="615" ht="15.75" customHeight="1" s="307"/>
    <row r="616" ht="15.75" customHeight="1" s="307"/>
    <row r="617" ht="15.75" customHeight="1" s="307"/>
    <row r="618" ht="15.75" customHeight="1" s="307"/>
    <row r="619" ht="15.75" customHeight="1" s="307"/>
    <row r="620" ht="15.75" customHeight="1" s="307"/>
    <row r="621" ht="15.75" customHeight="1" s="307"/>
    <row r="622" ht="15.75" customHeight="1" s="307"/>
    <row r="623" ht="15.75" customHeight="1" s="307"/>
    <row r="624" ht="15.75" customHeight="1" s="307"/>
    <row r="625" ht="15.75" customHeight="1" s="307"/>
    <row r="626" ht="15.75" customHeight="1" s="307"/>
    <row r="627" ht="15.75" customHeight="1" s="307"/>
    <row r="628" ht="15.75" customHeight="1" s="307"/>
    <row r="629" ht="15.75" customHeight="1" s="307"/>
    <row r="630" ht="15.75" customHeight="1" s="307"/>
    <row r="631" ht="15.75" customHeight="1" s="307"/>
    <row r="632" ht="15.75" customHeight="1" s="307"/>
    <row r="633" ht="15.75" customHeight="1" s="307"/>
    <row r="634" ht="15.75" customHeight="1" s="307"/>
    <row r="635" ht="15.75" customHeight="1" s="307"/>
    <row r="636" ht="15.75" customHeight="1" s="307"/>
    <row r="637" ht="15.75" customHeight="1" s="307"/>
    <row r="638" ht="15.75" customHeight="1" s="307"/>
    <row r="639" ht="15.75" customHeight="1" s="307"/>
    <row r="640" ht="15.75" customHeight="1" s="307"/>
    <row r="641" ht="15.75" customHeight="1" s="307"/>
    <row r="642" ht="15.75" customHeight="1" s="307"/>
    <row r="643" ht="15.75" customHeight="1" s="307"/>
    <row r="644" ht="15.75" customHeight="1" s="307"/>
    <row r="645" ht="15.75" customHeight="1" s="307"/>
    <row r="646" ht="15.75" customHeight="1" s="307"/>
    <row r="647" ht="15.75" customHeight="1" s="307"/>
    <row r="648" ht="15.75" customHeight="1" s="307"/>
    <row r="649" ht="15.75" customHeight="1" s="307"/>
    <row r="650" ht="15.75" customHeight="1" s="307"/>
    <row r="651" ht="15.75" customHeight="1" s="307"/>
    <row r="652" ht="15.75" customHeight="1" s="307"/>
    <row r="653" ht="15.75" customHeight="1" s="307"/>
    <row r="654" ht="15.75" customHeight="1" s="307"/>
    <row r="655" ht="15.75" customHeight="1" s="307"/>
    <row r="656" ht="15.75" customHeight="1" s="307"/>
    <row r="657" ht="15.75" customHeight="1" s="307"/>
    <row r="658" ht="15.75" customHeight="1" s="307"/>
    <row r="659" ht="15.75" customHeight="1" s="307"/>
    <row r="660" ht="15.75" customHeight="1" s="307"/>
    <row r="661" ht="15.75" customHeight="1" s="307"/>
    <row r="662" ht="15.75" customHeight="1" s="307"/>
    <row r="663" ht="15.75" customHeight="1" s="307"/>
    <row r="664" ht="15.75" customHeight="1" s="307"/>
    <row r="665" ht="15.75" customHeight="1" s="307"/>
    <row r="666" ht="15.75" customHeight="1" s="307"/>
    <row r="667" ht="15.75" customHeight="1" s="307"/>
    <row r="668" ht="15.75" customHeight="1" s="307"/>
    <row r="669" ht="15.75" customHeight="1" s="307"/>
    <row r="670" ht="15.75" customHeight="1" s="307"/>
    <row r="671" ht="15.75" customHeight="1" s="307"/>
    <row r="672" ht="15.75" customHeight="1" s="307"/>
    <row r="673" ht="15.75" customHeight="1" s="307"/>
    <row r="674" ht="15.75" customHeight="1" s="307"/>
    <row r="675" ht="15.75" customHeight="1" s="307"/>
    <row r="676" ht="15.75" customHeight="1" s="307"/>
    <row r="677" ht="15.75" customHeight="1" s="307"/>
    <row r="678" ht="15.75" customHeight="1" s="307"/>
    <row r="679" ht="15.75" customHeight="1" s="307"/>
    <row r="680" ht="15.75" customHeight="1" s="307"/>
    <row r="681" ht="15.75" customHeight="1" s="307"/>
    <row r="682" ht="15.75" customHeight="1" s="307"/>
    <row r="683" ht="15.75" customHeight="1" s="307"/>
    <row r="684" ht="15.75" customHeight="1" s="307"/>
    <row r="685" ht="15.75" customHeight="1" s="307"/>
    <row r="686" ht="15.75" customHeight="1" s="307"/>
    <row r="687" ht="15.75" customHeight="1" s="307"/>
    <row r="688" ht="15.75" customHeight="1" s="307"/>
    <row r="689" ht="15.75" customHeight="1" s="307"/>
    <row r="690" ht="15.75" customHeight="1" s="307"/>
    <row r="691" ht="15.75" customHeight="1" s="307"/>
    <row r="692" ht="15.75" customHeight="1" s="307"/>
    <row r="693" ht="15.75" customHeight="1" s="307"/>
    <row r="694" ht="15.75" customHeight="1" s="307"/>
    <row r="695" ht="15.75" customHeight="1" s="307"/>
    <row r="696" ht="15.75" customHeight="1" s="307"/>
    <row r="697" ht="15.75" customHeight="1" s="307"/>
    <row r="698" ht="15.75" customHeight="1" s="307"/>
    <row r="699" ht="15.75" customHeight="1" s="307"/>
    <row r="700" ht="15.75" customHeight="1" s="307"/>
    <row r="701" ht="15.75" customHeight="1" s="307"/>
    <row r="702" ht="15.75" customHeight="1" s="307"/>
    <row r="703" ht="15.75" customHeight="1" s="307"/>
    <row r="704" ht="15.75" customHeight="1" s="307"/>
    <row r="705" ht="15.75" customHeight="1" s="307"/>
    <row r="706" ht="15.75" customHeight="1" s="307"/>
    <row r="707" ht="15.75" customHeight="1" s="307"/>
    <row r="708" ht="15.75" customHeight="1" s="307"/>
    <row r="709" ht="15.75" customHeight="1" s="307"/>
    <row r="710" ht="15.75" customHeight="1" s="307"/>
    <row r="711" ht="15.75" customHeight="1" s="307"/>
    <row r="712" ht="15.75" customHeight="1" s="307"/>
    <row r="713" ht="15.75" customHeight="1" s="307"/>
    <row r="714" ht="15.75" customHeight="1" s="307"/>
    <row r="715" ht="15.75" customHeight="1" s="307"/>
    <row r="716" ht="15.75" customHeight="1" s="307"/>
    <row r="717" ht="15.75" customHeight="1" s="307"/>
    <row r="718" ht="15.75" customHeight="1" s="307"/>
    <row r="719" ht="15.75" customHeight="1" s="307"/>
    <row r="720" ht="15.75" customHeight="1" s="307"/>
    <row r="721" ht="15.75" customHeight="1" s="307"/>
    <row r="722" ht="15.75" customHeight="1" s="307"/>
    <row r="723" ht="15.75" customHeight="1" s="307"/>
    <row r="724" ht="15.75" customHeight="1" s="307"/>
    <row r="725" ht="15.75" customHeight="1" s="307"/>
    <row r="726" ht="15.75" customHeight="1" s="307"/>
    <row r="727" ht="15.75" customHeight="1" s="307"/>
    <row r="728" ht="15.75" customHeight="1" s="307"/>
    <row r="729" ht="15.75" customHeight="1" s="307"/>
    <row r="730" ht="15.75" customHeight="1" s="307"/>
    <row r="731" ht="15.75" customHeight="1" s="307"/>
    <row r="732" ht="15.75" customHeight="1" s="307"/>
    <row r="733" ht="15.75" customHeight="1" s="307"/>
    <row r="734" ht="15.75" customHeight="1" s="307"/>
    <row r="735" ht="15.75" customHeight="1" s="307"/>
    <row r="736" ht="15.75" customHeight="1" s="307"/>
    <row r="737" ht="15.75" customHeight="1" s="307"/>
    <row r="738" ht="15.75" customHeight="1" s="307"/>
    <row r="739" ht="15.75" customHeight="1" s="307"/>
    <row r="740" ht="15.75" customHeight="1" s="307"/>
    <row r="741" ht="15.75" customHeight="1" s="307"/>
    <row r="742" ht="15.75" customHeight="1" s="307"/>
    <row r="743" ht="15.75" customHeight="1" s="307"/>
    <row r="744" ht="15.75" customHeight="1" s="307"/>
    <row r="745" ht="15.75" customHeight="1" s="307"/>
    <row r="746" ht="15.75" customHeight="1" s="307"/>
    <row r="747" ht="15.75" customHeight="1" s="307"/>
    <row r="748" ht="15.75" customHeight="1" s="307"/>
    <row r="749" ht="15.75" customHeight="1" s="307"/>
    <row r="750" ht="15.75" customHeight="1" s="307"/>
    <row r="751" ht="15.75" customHeight="1" s="307"/>
    <row r="752" ht="15.75" customHeight="1" s="307"/>
    <row r="753" ht="15.75" customHeight="1" s="307"/>
    <row r="754" ht="15.75" customHeight="1" s="307"/>
    <row r="755" ht="15.75" customHeight="1" s="307"/>
    <row r="756" ht="15.75" customHeight="1" s="307"/>
    <row r="757" ht="15.75" customHeight="1" s="307"/>
    <row r="758" ht="15.75" customHeight="1" s="307"/>
    <row r="759" ht="15.75" customHeight="1" s="307"/>
    <row r="760" ht="15.75" customHeight="1" s="307"/>
    <row r="761" ht="15.75" customHeight="1" s="307"/>
    <row r="762" ht="15.75" customHeight="1" s="307"/>
    <row r="763" ht="15.75" customHeight="1" s="307"/>
    <row r="764" ht="15.75" customHeight="1" s="307"/>
    <row r="765" ht="15.75" customHeight="1" s="307"/>
    <row r="766" ht="15.75" customHeight="1" s="307"/>
    <row r="767" ht="15.75" customHeight="1" s="307"/>
    <row r="768" ht="15.75" customHeight="1" s="307"/>
    <row r="769" ht="15.75" customHeight="1" s="307"/>
    <row r="770" ht="15.75" customHeight="1" s="307"/>
    <row r="771" ht="15.75" customHeight="1" s="307"/>
    <row r="772" ht="15.75" customHeight="1" s="307"/>
    <row r="773" ht="15.75" customHeight="1" s="307"/>
    <row r="774" ht="15.75" customHeight="1" s="307"/>
    <row r="775" ht="15.75" customHeight="1" s="307"/>
    <row r="776" ht="15.75" customHeight="1" s="307"/>
    <row r="777" ht="15.75" customHeight="1" s="307"/>
    <row r="778" ht="15.75" customHeight="1" s="307"/>
    <row r="779" ht="15.75" customHeight="1" s="307"/>
    <row r="780" ht="15.75" customHeight="1" s="307"/>
    <row r="781" ht="15.75" customHeight="1" s="307"/>
    <row r="782" ht="15.75" customHeight="1" s="307"/>
    <row r="783" ht="15.75" customHeight="1" s="307"/>
    <row r="784" ht="15.75" customHeight="1" s="307"/>
    <row r="785" ht="15.75" customHeight="1" s="307"/>
    <row r="786" ht="15.75" customHeight="1" s="307"/>
    <row r="787" ht="15.75" customHeight="1" s="307"/>
    <row r="788" ht="15.75" customHeight="1" s="307"/>
    <row r="789" ht="15.75" customHeight="1" s="307"/>
    <row r="790" ht="15.75" customHeight="1" s="307"/>
    <row r="791" ht="15.75" customHeight="1" s="307"/>
    <row r="792" ht="15.75" customHeight="1" s="307"/>
    <row r="793" ht="15.75" customHeight="1" s="307"/>
    <row r="794" ht="15.75" customHeight="1" s="307"/>
    <row r="795" ht="15.75" customHeight="1" s="307"/>
    <row r="796" ht="15.75" customHeight="1" s="307"/>
    <row r="797" ht="15.75" customHeight="1" s="307"/>
    <row r="798" ht="15.75" customHeight="1" s="307"/>
    <row r="799" ht="15.75" customHeight="1" s="307"/>
    <row r="800" ht="15.75" customHeight="1" s="307"/>
    <row r="801" ht="15.75" customHeight="1" s="307"/>
    <row r="802" ht="15.75" customHeight="1" s="307"/>
    <row r="803" ht="15.75" customHeight="1" s="307"/>
    <row r="804" ht="15.75" customHeight="1" s="307"/>
    <row r="805" ht="15.75" customHeight="1" s="307"/>
    <row r="806" ht="15.75" customHeight="1" s="307"/>
    <row r="807" ht="15.75" customHeight="1" s="307"/>
    <row r="808" ht="15.75" customHeight="1" s="307"/>
    <row r="809" ht="15.75" customHeight="1" s="307"/>
    <row r="810" ht="15.75" customHeight="1" s="307"/>
    <row r="811" ht="15.75" customHeight="1" s="307"/>
    <row r="812" ht="15.75" customHeight="1" s="307"/>
    <row r="813" ht="15.75" customHeight="1" s="307"/>
    <row r="814" ht="15.75" customHeight="1" s="307"/>
    <row r="815" ht="15.75" customHeight="1" s="307"/>
    <row r="816" ht="15.75" customHeight="1" s="307"/>
    <row r="817" ht="15.75" customHeight="1" s="307"/>
    <row r="818" ht="15.75" customHeight="1" s="307"/>
    <row r="819" ht="15.75" customHeight="1" s="307"/>
    <row r="820" ht="15.75" customHeight="1" s="307"/>
    <row r="821" ht="15.75" customHeight="1" s="307"/>
    <row r="822" ht="15.75" customHeight="1" s="307"/>
    <row r="823" ht="15.75" customHeight="1" s="307"/>
    <row r="824" ht="15.75" customHeight="1" s="307"/>
    <row r="825" ht="15.75" customHeight="1" s="307"/>
    <row r="826" ht="15.75" customHeight="1" s="307"/>
    <row r="827" ht="15.75" customHeight="1" s="307"/>
    <row r="828" ht="15.75" customHeight="1" s="307"/>
    <row r="829" ht="15.75" customHeight="1" s="307"/>
    <row r="830" ht="15.75" customHeight="1" s="307"/>
    <row r="831" ht="15.75" customHeight="1" s="307"/>
    <row r="832" ht="15.75" customHeight="1" s="307"/>
    <row r="833" ht="15.75" customHeight="1" s="307"/>
    <row r="834" ht="15.75" customHeight="1" s="307"/>
    <row r="835" ht="15.75" customHeight="1" s="307"/>
    <row r="836" ht="15.75" customHeight="1" s="307"/>
    <row r="837" ht="15.75" customHeight="1" s="307"/>
    <row r="838" ht="15.75" customHeight="1" s="307"/>
    <row r="839" ht="15.75" customHeight="1" s="307"/>
    <row r="840" ht="15.75" customHeight="1" s="307"/>
    <row r="841" ht="15.75" customHeight="1" s="307"/>
    <row r="842" ht="15.75" customHeight="1" s="307"/>
    <row r="843" ht="15.75" customHeight="1" s="307"/>
    <row r="844" ht="15.75" customHeight="1" s="307"/>
    <row r="845" ht="15.75" customHeight="1" s="307"/>
    <row r="846" ht="15.75" customHeight="1" s="307"/>
    <row r="847" ht="15.75" customHeight="1" s="307"/>
    <row r="848" ht="15.75" customHeight="1" s="307"/>
    <row r="849" ht="15.75" customHeight="1" s="307"/>
    <row r="850" ht="15.75" customHeight="1" s="307"/>
    <row r="851" ht="15.75" customHeight="1" s="307"/>
    <row r="852" ht="15.75" customHeight="1" s="307"/>
    <row r="853" ht="15.75" customHeight="1" s="307"/>
    <row r="854" ht="15.75" customHeight="1" s="307"/>
    <row r="855" ht="15.75" customHeight="1" s="307"/>
    <row r="856" ht="15.75" customHeight="1" s="307"/>
    <row r="857" ht="15.75" customHeight="1" s="307"/>
    <row r="858" ht="15.75" customHeight="1" s="307"/>
    <row r="859" ht="15.75" customHeight="1" s="307"/>
    <row r="860" ht="15.75" customHeight="1" s="307"/>
    <row r="861" ht="15.75" customHeight="1" s="307"/>
    <row r="862" ht="15.75" customHeight="1" s="307"/>
    <row r="863" ht="15.75" customHeight="1" s="307"/>
    <row r="864" ht="15.75" customHeight="1" s="307"/>
    <row r="865" ht="15.75" customHeight="1" s="307"/>
    <row r="866" ht="15.75" customHeight="1" s="307"/>
    <row r="867" ht="15.75" customHeight="1" s="307"/>
    <row r="868" ht="15.75" customHeight="1" s="307"/>
    <row r="869" ht="15.75" customHeight="1" s="307"/>
    <row r="870" ht="15.75" customHeight="1" s="307"/>
    <row r="871" ht="15.75" customHeight="1" s="307"/>
    <row r="872" ht="15.75" customHeight="1" s="307"/>
    <row r="873" ht="15.75" customHeight="1" s="307"/>
    <row r="874" ht="15.75" customHeight="1" s="307"/>
    <row r="875" ht="15.75" customHeight="1" s="307"/>
    <row r="876" ht="15.75" customHeight="1" s="307"/>
    <row r="877" ht="15.75" customHeight="1" s="307"/>
    <row r="878" ht="15.75" customHeight="1" s="307"/>
    <row r="879" ht="15.75" customHeight="1" s="307"/>
    <row r="880" ht="15.75" customHeight="1" s="307"/>
    <row r="881" ht="15.75" customHeight="1" s="307"/>
    <row r="882" ht="15.75" customHeight="1" s="307"/>
    <row r="883" ht="15.75" customHeight="1" s="307"/>
    <row r="884" ht="15.75" customHeight="1" s="307"/>
    <row r="885" ht="15.75" customHeight="1" s="307"/>
    <row r="886" ht="15.75" customHeight="1" s="307"/>
    <row r="887" ht="15.75" customHeight="1" s="307"/>
    <row r="888" ht="15.75" customHeight="1" s="307"/>
    <row r="889" ht="15.75" customHeight="1" s="307"/>
    <row r="890" ht="15.75" customHeight="1" s="307"/>
    <row r="891" ht="15.75" customHeight="1" s="307"/>
    <row r="892" ht="15.75" customHeight="1" s="307"/>
    <row r="893" ht="15.75" customHeight="1" s="307"/>
    <row r="894" ht="15.75" customHeight="1" s="307"/>
    <row r="895" ht="15.75" customHeight="1" s="307"/>
    <row r="896" ht="15.75" customHeight="1" s="307"/>
    <row r="897" ht="15.75" customHeight="1" s="307"/>
    <row r="898" ht="15.75" customHeight="1" s="307"/>
    <row r="899" ht="15.75" customHeight="1" s="307"/>
    <row r="900" ht="15.75" customHeight="1" s="307"/>
    <row r="901" ht="15.75" customHeight="1" s="307"/>
    <row r="902" ht="15.75" customHeight="1" s="307"/>
    <row r="903" ht="15.75" customHeight="1" s="307"/>
    <row r="904" ht="15.75" customHeight="1" s="307"/>
    <row r="905" ht="15.75" customHeight="1" s="307"/>
    <row r="906" ht="15.75" customHeight="1" s="307"/>
    <row r="907" ht="15.75" customHeight="1" s="307"/>
    <row r="908" ht="15.75" customHeight="1" s="307"/>
    <row r="909" ht="15.75" customHeight="1" s="307"/>
    <row r="910" ht="15.75" customHeight="1" s="307"/>
    <row r="911" ht="15.75" customHeight="1" s="307"/>
    <row r="912" ht="15.75" customHeight="1" s="307"/>
    <row r="913" ht="15.75" customHeight="1" s="307"/>
    <row r="914" ht="15.75" customHeight="1" s="307"/>
    <row r="915" ht="15.75" customHeight="1" s="307"/>
    <row r="916" ht="15.75" customHeight="1" s="307"/>
    <row r="917" ht="15.75" customHeight="1" s="307"/>
    <row r="918" ht="15.75" customHeight="1" s="307"/>
    <row r="919" ht="15.75" customHeight="1" s="307"/>
    <row r="920" ht="15.75" customHeight="1" s="307"/>
    <row r="921" ht="15.75" customHeight="1" s="307"/>
    <row r="922" ht="15.75" customHeight="1" s="307"/>
    <row r="923" ht="15.75" customHeight="1" s="307"/>
    <row r="924" ht="15.75" customHeight="1" s="307"/>
    <row r="925" ht="15.75" customHeight="1" s="307"/>
    <row r="926" ht="15.75" customHeight="1" s="307"/>
    <row r="927" ht="15.75" customHeight="1" s="307"/>
    <row r="928" ht="15.75" customHeight="1" s="307"/>
    <row r="929" ht="15.75" customHeight="1" s="307"/>
    <row r="930" ht="15.75" customHeight="1" s="307"/>
    <row r="931" ht="15.75" customHeight="1" s="307"/>
    <row r="932" ht="15.75" customHeight="1" s="307"/>
    <row r="933" ht="15.75" customHeight="1" s="307"/>
    <row r="934" ht="15.75" customHeight="1" s="307"/>
    <row r="935" ht="15.75" customHeight="1" s="307"/>
    <row r="936" ht="15.75" customHeight="1" s="307"/>
    <row r="937" ht="15.75" customHeight="1" s="307"/>
    <row r="938" ht="15.75" customHeight="1" s="307"/>
    <row r="939" ht="15.75" customHeight="1" s="307"/>
    <row r="940" ht="15.75" customHeight="1" s="307"/>
    <row r="941" ht="15.75" customHeight="1" s="307"/>
    <row r="942" ht="15.75" customHeight="1" s="307"/>
    <row r="943" ht="15.75" customHeight="1" s="307"/>
    <row r="944" ht="15.75" customHeight="1" s="307"/>
    <row r="945" ht="15.75" customHeight="1" s="307"/>
    <row r="946" ht="15.75" customHeight="1" s="307"/>
    <row r="947" ht="15.75" customHeight="1" s="307"/>
    <row r="948" ht="15.75" customHeight="1" s="307"/>
    <row r="949" ht="15.75" customHeight="1" s="307"/>
    <row r="950" ht="15.75" customHeight="1" s="307"/>
    <row r="951" ht="15.75" customHeight="1" s="307"/>
    <row r="952" ht="15.75" customHeight="1" s="307"/>
    <row r="953" ht="15.75" customHeight="1" s="307"/>
    <row r="954" ht="15.75" customHeight="1" s="307"/>
    <row r="955" ht="15.75" customHeight="1" s="307"/>
    <row r="956" ht="15.75" customHeight="1" s="307"/>
    <row r="957" ht="15.75" customHeight="1" s="307"/>
    <row r="958" ht="15.75" customHeight="1" s="307"/>
    <row r="959" ht="15.75" customHeight="1" s="307"/>
    <row r="960" ht="15.75" customHeight="1" s="307"/>
    <row r="961" ht="15.75" customHeight="1" s="307"/>
    <row r="962" ht="15.75" customHeight="1" s="307"/>
    <row r="963" ht="15.75" customHeight="1" s="307"/>
    <row r="964" ht="15.75" customHeight="1" s="307"/>
    <row r="965" ht="15.75" customHeight="1" s="307"/>
    <row r="966" ht="15.75" customHeight="1" s="307"/>
    <row r="967" ht="15.75" customHeight="1" s="307"/>
    <row r="968" ht="15.75" customHeight="1" s="307"/>
    <row r="969" ht="15.75" customHeight="1" s="307"/>
    <row r="970" ht="15.75" customHeight="1" s="307"/>
    <row r="971" ht="15.75" customHeight="1" s="307"/>
    <row r="972" ht="15.75" customHeight="1" s="307"/>
    <row r="973" ht="15.75" customHeight="1" s="307"/>
    <row r="974" ht="15.75" customHeight="1" s="307"/>
    <row r="975" ht="15.75" customHeight="1" s="307"/>
    <row r="976" ht="15.75" customHeight="1" s="307"/>
    <row r="977" ht="15.75" customHeight="1" s="307"/>
    <row r="978" ht="15.75" customHeight="1" s="307"/>
    <row r="979" ht="15.75" customHeight="1" s="307"/>
    <row r="980" ht="15.75" customHeight="1" s="307"/>
    <row r="981" ht="15.75" customHeight="1" s="307"/>
    <row r="982" ht="15.75" customHeight="1" s="307"/>
    <row r="983" ht="15.75" customHeight="1" s="307"/>
    <row r="984" ht="15.75" customHeight="1" s="307"/>
    <row r="985" ht="15.75" customHeight="1" s="307"/>
    <row r="986" ht="15.75" customHeight="1" s="307"/>
    <row r="987" ht="15.75" customHeight="1" s="307"/>
    <row r="988" ht="15.75" customHeight="1" s="307"/>
    <row r="989" ht="15.75" customHeight="1" s="307"/>
    <row r="990" ht="15.75" customHeight="1" s="307"/>
    <row r="991" ht="15.75" customHeight="1" s="307"/>
    <row r="992" ht="15.75" customHeight="1" s="307"/>
    <row r="993" ht="15.75" customHeight="1" s="307"/>
    <row r="994" ht="15.75" customHeight="1" s="307"/>
    <row r="995" ht="15.75" customHeight="1" s="307"/>
    <row r="996" ht="15.75" customHeight="1" s="307"/>
    <row r="997" ht="15.75" customHeight="1" s="307"/>
    <row r="998" ht="15.75" customHeight="1" s="307"/>
    <row r="999" ht="15.75" customHeight="1" s="307"/>
    <row r="1000" ht="15.75" customHeight="1" s="307"/>
  </sheetData>
  <pageMargins left="0.2362204724409449" right="0.2362204724409449" top="0.7480314960629921" bottom="0.7480314960629921" header="0" footer="0"/>
  <pageSetup orientation="landscape" paperSize="8" scale="7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encon-pr07</dc:creator>
  <dcterms:created xmlns:dcterms="http://purl.org/dc/terms/" xmlns:xsi="http://www.w3.org/2001/XMLSchema-instance" xsi:type="dcterms:W3CDTF">2021-07-09T12:32:42Z</dcterms:created>
  <dcterms:modified xmlns:dcterms="http://purl.org/dc/terms/" xmlns:xsi="http://www.w3.org/2001/XMLSchema-instance" xsi:type="dcterms:W3CDTF">2026-04-09T10:21:18Z</dcterms:modified>
  <cp:lastModifiedBy>Rupanjana Mitra</cp:lastModifiedBy>
  <cp:lastPrinted>2026-03-26T09:30:14Z</cp:lastPrinted>
</cp:coreProperties>
</file>